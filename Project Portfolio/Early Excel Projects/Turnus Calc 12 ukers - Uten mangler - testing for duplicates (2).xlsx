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685712432a03e47/CV og Søknader/Prosjekter/"/>
    </mc:Choice>
  </mc:AlternateContent>
  <xr:revisionPtr revIDLastSave="65" documentId="8_{B47CFD8F-B158-45DA-AE27-81BD73DE86F3}" xr6:coauthVersionLast="47" xr6:coauthVersionMax="47" xr10:uidLastSave="{3845EE28-10D5-4F7F-AFA2-F985AA16E7B9}"/>
  <workbookProtection workbookAlgorithmName="SHA-512" workbookHashValue="uab/I4B5YHT1hnSL1JxUOKA+VeMo4sjyQD6/I/xPKXWJrVLdyL3UAwOk4+tldFPuIObzlu+eydos9+le7yc9cQ==" workbookSaltValue="2TE46tV6sRSJU6jDE/mJ/g==" workbookSpinCount="100000" lockStructure="1"/>
  <bookViews>
    <workbookView xWindow="12710" yWindow="-1070" windowWidth="19380" windowHeight="10260" activeTab="1" xr2:uid="{00000000-000D-0000-FFFF-FFFF00000000}"/>
  </bookViews>
  <sheets>
    <sheet name="Vaktplan" sheetId="9" r:id="rId1"/>
    <sheet name="Ansatt A" sheetId="10" r:id="rId2"/>
    <sheet name="Ansatt B" sheetId="11" r:id="rId3"/>
    <sheet name="Ansatt C" sheetId="12" r:id="rId4"/>
    <sheet name="Ansatt D" sheetId="13" r:id="rId5"/>
    <sheet name="Ansatt E" sheetId="14" r:id="rId6"/>
    <sheet name="Ansatt F" sheetId="15" r:id="rId7"/>
    <sheet name="Ansatt G" sheetId="16" r:id="rId8"/>
    <sheet name="Ansatt H" sheetId="17" r:id="rId9"/>
    <sheet name="Ansatt I" sheetId="18" r:id="rId10"/>
    <sheet name="Ansatt J" sheetId="19" r:id="rId11"/>
    <sheet name="Ansatt K" sheetId="20" r:id="rId12"/>
    <sheet name="Ansatt L" sheetId="21" r:id="rId13"/>
    <sheet name="Ansatt M" sheetId="22" r:id="rId14"/>
    <sheet name="Ansatt N" sheetId="23" r:id="rId15"/>
    <sheet name="Ansatt O" sheetId="24" r:id="rId16"/>
    <sheet name="Ansatt P" sheetId="25" r:id="rId17"/>
    <sheet name="Ansatt Q" sheetId="26" r:id="rId18"/>
    <sheet name="Ansatt R" sheetId="27" r:id="rId19"/>
    <sheet name="Ansatt S" sheetId="28" r:id="rId20"/>
    <sheet name="Ansatt T" sheetId="29" r:id="rId21"/>
    <sheet name="Ansatt U" sheetId="30" r:id="rId22"/>
    <sheet name="Ansatt V" sheetId="31" r:id="rId23"/>
    <sheet name="Ansatt W" sheetId="32" r:id="rId24"/>
    <sheet name="Ansatt X" sheetId="33" r:id="rId25"/>
    <sheet name="Ansatt Y" sheetId="34" r:id="rId26"/>
    <sheet name="Ansatt Z" sheetId="35" r:id="rId27"/>
  </sheets>
  <definedNames>
    <definedName name="Antall_uker_i_turnus_1_8_dropdown">#REF!</definedName>
    <definedName name="Ja_og_nei">#REF!</definedName>
    <definedName name="kost">#REF!</definedName>
    <definedName name="Ukedager">#REF!</definedName>
    <definedName name="UkeSatsTime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7" i="35" l="1"/>
  <c r="AG17" i="35"/>
  <c r="AF17" i="35"/>
  <c r="AC17" i="35"/>
  <c r="AB17" i="35"/>
  <c r="AA17" i="35"/>
  <c r="X17" i="35"/>
  <c r="W17" i="35"/>
  <c r="V17" i="35"/>
  <c r="S17" i="35"/>
  <c r="R17" i="35"/>
  <c r="Q17" i="35"/>
  <c r="N17" i="35"/>
  <c r="M17" i="35"/>
  <c r="L17" i="35"/>
  <c r="I17" i="35"/>
  <c r="H17" i="35"/>
  <c r="G17" i="35"/>
  <c r="D17" i="35"/>
  <c r="C17" i="35"/>
  <c r="B17" i="35"/>
  <c r="AH16" i="35"/>
  <c r="AG16" i="35"/>
  <c r="AF16" i="35"/>
  <c r="AC16" i="35"/>
  <c r="AB16" i="35"/>
  <c r="AA16" i="35"/>
  <c r="X16" i="35"/>
  <c r="W16" i="35"/>
  <c r="V16" i="35"/>
  <c r="S16" i="35"/>
  <c r="R16" i="35"/>
  <c r="Q16" i="35"/>
  <c r="N16" i="35"/>
  <c r="M16" i="35"/>
  <c r="L16" i="35"/>
  <c r="I16" i="35"/>
  <c r="H16" i="35"/>
  <c r="G16" i="35"/>
  <c r="D16" i="35"/>
  <c r="C16" i="35"/>
  <c r="B16" i="35"/>
  <c r="AH15" i="35"/>
  <c r="AG15" i="35"/>
  <c r="AF15" i="35"/>
  <c r="AC15" i="35"/>
  <c r="AB15" i="35"/>
  <c r="AA15" i="35"/>
  <c r="X15" i="35"/>
  <c r="W15" i="35"/>
  <c r="V15" i="35"/>
  <c r="S15" i="35"/>
  <c r="R15" i="35"/>
  <c r="Q15" i="35"/>
  <c r="N15" i="35"/>
  <c r="M15" i="35"/>
  <c r="L15" i="35"/>
  <c r="I15" i="35"/>
  <c r="H15" i="35"/>
  <c r="G15" i="35"/>
  <c r="D15" i="35"/>
  <c r="C15" i="35"/>
  <c r="B15" i="35"/>
  <c r="AH14" i="35"/>
  <c r="AG14" i="35"/>
  <c r="AF14" i="35"/>
  <c r="AC14" i="35"/>
  <c r="AB14" i="35"/>
  <c r="AA14" i="35"/>
  <c r="X14" i="35"/>
  <c r="W14" i="35"/>
  <c r="V14" i="35"/>
  <c r="S14" i="35"/>
  <c r="R14" i="35"/>
  <c r="Q14" i="35"/>
  <c r="N14" i="35"/>
  <c r="M14" i="35"/>
  <c r="L14" i="35"/>
  <c r="I14" i="35"/>
  <c r="H14" i="35"/>
  <c r="G14" i="35"/>
  <c r="D14" i="35"/>
  <c r="C14" i="35"/>
  <c r="B14" i="35"/>
  <c r="AH13" i="35"/>
  <c r="AG13" i="35"/>
  <c r="AF13" i="35"/>
  <c r="AC13" i="35"/>
  <c r="AB13" i="35"/>
  <c r="AA13" i="35"/>
  <c r="X13" i="35"/>
  <c r="W13" i="35"/>
  <c r="V13" i="35"/>
  <c r="S13" i="35"/>
  <c r="R13" i="35"/>
  <c r="Q13" i="35"/>
  <c r="N13" i="35"/>
  <c r="M13" i="35"/>
  <c r="L13" i="35"/>
  <c r="I13" i="35"/>
  <c r="H13" i="35"/>
  <c r="G13" i="35"/>
  <c r="D13" i="35"/>
  <c r="C13" i="35"/>
  <c r="B13" i="35"/>
  <c r="AH12" i="35"/>
  <c r="AG12" i="35"/>
  <c r="AF12" i="35"/>
  <c r="AC12" i="35"/>
  <c r="AB12" i="35"/>
  <c r="AA12" i="35"/>
  <c r="X12" i="35"/>
  <c r="W12" i="35"/>
  <c r="V12" i="35"/>
  <c r="S12" i="35"/>
  <c r="R12" i="35"/>
  <c r="Q12" i="35"/>
  <c r="N12" i="35"/>
  <c r="M12" i="35"/>
  <c r="L12" i="35"/>
  <c r="I12" i="35"/>
  <c r="H12" i="35"/>
  <c r="G12" i="35"/>
  <c r="D12" i="35"/>
  <c r="C12" i="35"/>
  <c r="B12" i="35"/>
  <c r="AH11" i="35"/>
  <c r="AG11" i="35"/>
  <c r="AF11" i="35"/>
  <c r="AC11" i="35"/>
  <c r="AB11" i="35"/>
  <c r="AA11" i="35"/>
  <c r="X11" i="35"/>
  <c r="W11" i="35"/>
  <c r="V11" i="35"/>
  <c r="S11" i="35"/>
  <c r="R11" i="35"/>
  <c r="Q11" i="35"/>
  <c r="N11" i="35"/>
  <c r="M11" i="35"/>
  <c r="L11" i="35"/>
  <c r="I11" i="35"/>
  <c r="H11" i="35"/>
  <c r="G11" i="35"/>
  <c r="D11" i="35"/>
  <c r="C11" i="35"/>
  <c r="B11" i="35"/>
  <c r="AH10" i="35"/>
  <c r="AG10" i="35"/>
  <c r="AF10" i="35"/>
  <c r="AC10" i="35"/>
  <c r="AB10" i="35"/>
  <c r="AA10" i="35"/>
  <c r="X10" i="35"/>
  <c r="W10" i="35"/>
  <c r="V10" i="35"/>
  <c r="S10" i="35"/>
  <c r="R10" i="35"/>
  <c r="Q10" i="35"/>
  <c r="N10" i="35"/>
  <c r="M10" i="35"/>
  <c r="L10" i="35"/>
  <c r="I10" i="35"/>
  <c r="H10" i="35"/>
  <c r="G10" i="35"/>
  <c r="D10" i="35"/>
  <c r="C10" i="35"/>
  <c r="B10" i="35"/>
  <c r="AH9" i="35"/>
  <c r="AG9" i="35"/>
  <c r="AF9" i="35"/>
  <c r="AC9" i="35"/>
  <c r="AB9" i="35"/>
  <c r="AA9" i="35"/>
  <c r="X9" i="35"/>
  <c r="W9" i="35"/>
  <c r="V9" i="35"/>
  <c r="S9" i="35"/>
  <c r="R9" i="35"/>
  <c r="Q9" i="35"/>
  <c r="N9" i="35"/>
  <c r="M9" i="35"/>
  <c r="L9" i="35"/>
  <c r="I9" i="35"/>
  <c r="H9" i="35"/>
  <c r="G9" i="35"/>
  <c r="D9" i="35"/>
  <c r="C9" i="35"/>
  <c r="B9" i="35"/>
  <c r="AH8" i="35"/>
  <c r="AG8" i="35"/>
  <c r="AF8" i="35"/>
  <c r="AC8" i="35"/>
  <c r="AB8" i="35"/>
  <c r="AA8" i="35"/>
  <c r="X8" i="35"/>
  <c r="W8" i="35"/>
  <c r="V8" i="35"/>
  <c r="S8" i="35"/>
  <c r="R8" i="35"/>
  <c r="Q8" i="35"/>
  <c r="N8" i="35"/>
  <c r="M8" i="35"/>
  <c r="L8" i="35"/>
  <c r="I8" i="35"/>
  <c r="H8" i="35"/>
  <c r="G8" i="35"/>
  <c r="D8" i="35"/>
  <c r="C8" i="35"/>
  <c r="B8" i="35"/>
  <c r="AH7" i="35"/>
  <c r="AG7" i="35"/>
  <c r="AF7" i="35"/>
  <c r="AC7" i="35"/>
  <c r="AB7" i="35"/>
  <c r="AA7" i="35"/>
  <c r="X7" i="35"/>
  <c r="W7" i="35"/>
  <c r="V7" i="35"/>
  <c r="S7" i="35"/>
  <c r="R7" i="35"/>
  <c r="Q7" i="35"/>
  <c r="N7" i="35"/>
  <c r="M7" i="35"/>
  <c r="L7" i="35"/>
  <c r="I7" i="35"/>
  <c r="H7" i="35"/>
  <c r="G7" i="35"/>
  <c r="D7" i="35"/>
  <c r="C7" i="35"/>
  <c r="B7" i="35"/>
  <c r="AH6" i="35"/>
  <c r="AG6" i="35"/>
  <c r="AF6" i="35"/>
  <c r="AC6" i="35"/>
  <c r="AB6" i="35"/>
  <c r="AA6" i="35"/>
  <c r="X6" i="35"/>
  <c r="W6" i="35"/>
  <c r="V6" i="35"/>
  <c r="S6" i="35"/>
  <c r="R6" i="35"/>
  <c r="Q6" i="35"/>
  <c r="N6" i="35"/>
  <c r="M6" i="35"/>
  <c r="L6" i="35"/>
  <c r="I6" i="35"/>
  <c r="H6" i="35"/>
  <c r="G6" i="35"/>
  <c r="D6" i="35"/>
  <c r="C6" i="35"/>
  <c r="B6" i="35"/>
  <c r="AH17" i="34"/>
  <c r="AG17" i="34"/>
  <c r="AF17" i="34"/>
  <c r="AC17" i="34"/>
  <c r="AB17" i="34"/>
  <c r="AA17" i="34"/>
  <c r="X17" i="34"/>
  <c r="W17" i="34"/>
  <c r="V17" i="34"/>
  <c r="S17" i="34"/>
  <c r="R17" i="34"/>
  <c r="Q17" i="34"/>
  <c r="N17" i="34"/>
  <c r="M17" i="34"/>
  <c r="L17" i="34"/>
  <c r="I17" i="34"/>
  <c r="H17" i="34"/>
  <c r="G17" i="34"/>
  <c r="D17" i="34"/>
  <c r="C17" i="34"/>
  <c r="B17" i="34"/>
  <c r="AH16" i="34"/>
  <c r="AG16" i="34"/>
  <c r="AF16" i="34"/>
  <c r="AC16" i="34"/>
  <c r="AB16" i="34"/>
  <c r="AA16" i="34"/>
  <c r="X16" i="34"/>
  <c r="W16" i="34"/>
  <c r="V16" i="34"/>
  <c r="S16" i="34"/>
  <c r="R16" i="34"/>
  <c r="Q16" i="34"/>
  <c r="N16" i="34"/>
  <c r="M16" i="34"/>
  <c r="L16" i="34"/>
  <c r="I16" i="34"/>
  <c r="H16" i="34"/>
  <c r="G16" i="34"/>
  <c r="D16" i="34"/>
  <c r="C16" i="34"/>
  <c r="B16" i="34"/>
  <c r="AH15" i="34"/>
  <c r="AG15" i="34"/>
  <c r="AF15" i="34"/>
  <c r="AC15" i="34"/>
  <c r="AB15" i="34"/>
  <c r="AA15" i="34"/>
  <c r="X15" i="34"/>
  <c r="W15" i="34"/>
  <c r="V15" i="34"/>
  <c r="S15" i="34"/>
  <c r="R15" i="34"/>
  <c r="Q15" i="34"/>
  <c r="N15" i="34"/>
  <c r="M15" i="34"/>
  <c r="L15" i="34"/>
  <c r="I15" i="34"/>
  <c r="H15" i="34"/>
  <c r="G15" i="34"/>
  <c r="D15" i="34"/>
  <c r="C15" i="34"/>
  <c r="B15" i="34"/>
  <c r="AH14" i="34"/>
  <c r="AG14" i="34"/>
  <c r="AF14" i="34"/>
  <c r="AC14" i="34"/>
  <c r="AB14" i="34"/>
  <c r="AA14" i="34"/>
  <c r="X14" i="34"/>
  <c r="W14" i="34"/>
  <c r="V14" i="34"/>
  <c r="S14" i="34"/>
  <c r="R14" i="34"/>
  <c r="Q14" i="34"/>
  <c r="N14" i="34"/>
  <c r="M14" i="34"/>
  <c r="L14" i="34"/>
  <c r="I14" i="34"/>
  <c r="H14" i="34"/>
  <c r="G14" i="34"/>
  <c r="D14" i="34"/>
  <c r="C14" i="34"/>
  <c r="B14" i="34"/>
  <c r="AH13" i="34"/>
  <c r="AG13" i="34"/>
  <c r="AF13" i="34"/>
  <c r="AC13" i="34"/>
  <c r="AB13" i="34"/>
  <c r="AA13" i="34"/>
  <c r="X13" i="34"/>
  <c r="W13" i="34"/>
  <c r="V13" i="34"/>
  <c r="S13" i="34"/>
  <c r="R13" i="34"/>
  <c r="Q13" i="34"/>
  <c r="N13" i="34"/>
  <c r="M13" i="34"/>
  <c r="L13" i="34"/>
  <c r="I13" i="34"/>
  <c r="H13" i="34"/>
  <c r="G13" i="34"/>
  <c r="D13" i="34"/>
  <c r="C13" i="34"/>
  <c r="B13" i="34"/>
  <c r="AH12" i="34"/>
  <c r="AG12" i="34"/>
  <c r="AF12" i="34"/>
  <c r="AC12" i="34"/>
  <c r="AB12" i="34"/>
  <c r="AA12" i="34"/>
  <c r="X12" i="34"/>
  <c r="W12" i="34"/>
  <c r="V12" i="34"/>
  <c r="S12" i="34"/>
  <c r="R12" i="34"/>
  <c r="Q12" i="34"/>
  <c r="N12" i="34"/>
  <c r="M12" i="34"/>
  <c r="L12" i="34"/>
  <c r="I12" i="34"/>
  <c r="H12" i="34"/>
  <c r="G12" i="34"/>
  <c r="D12" i="34"/>
  <c r="C12" i="34"/>
  <c r="B12" i="34"/>
  <c r="AH11" i="34"/>
  <c r="AG11" i="34"/>
  <c r="AF11" i="34"/>
  <c r="AC11" i="34"/>
  <c r="AB11" i="34"/>
  <c r="AA11" i="34"/>
  <c r="X11" i="34"/>
  <c r="W11" i="34"/>
  <c r="V11" i="34"/>
  <c r="S11" i="34"/>
  <c r="R11" i="34"/>
  <c r="Q11" i="34"/>
  <c r="N11" i="34"/>
  <c r="M11" i="34"/>
  <c r="L11" i="34"/>
  <c r="I11" i="34"/>
  <c r="H11" i="34"/>
  <c r="G11" i="34"/>
  <c r="D11" i="34"/>
  <c r="C11" i="34"/>
  <c r="B11" i="34"/>
  <c r="AH10" i="34"/>
  <c r="AG10" i="34"/>
  <c r="AF10" i="34"/>
  <c r="AC10" i="34"/>
  <c r="AB10" i="34"/>
  <c r="AA10" i="34"/>
  <c r="X10" i="34"/>
  <c r="W10" i="34"/>
  <c r="V10" i="34"/>
  <c r="S10" i="34"/>
  <c r="R10" i="34"/>
  <c r="Q10" i="34"/>
  <c r="N10" i="34"/>
  <c r="M10" i="34"/>
  <c r="L10" i="34"/>
  <c r="I10" i="34"/>
  <c r="H10" i="34"/>
  <c r="G10" i="34"/>
  <c r="D10" i="34"/>
  <c r="C10" i="34"/>
  <c r="B10" i="34"/>
  <c r="AH9" i="34"/>
  <c r="AG9" i="34"/>
  <c r="AF9" i="34"/>
  <c r="AC9" i="34"/>
  <c r="AB9" i="34"/>
  <c r="AA9" i="34"/>
  <c r="X9" i="34"/>
  <c r="W9" i="34"/>
  <c r="V9" i="34"/>
  <c r="S9" i="34"/>
  <c r="R9" i="34"/>
  <c r="Q9" i="34"/>
  <c r="N9" i="34"/>
  <c r="M9" i="34"/>
  <c r="L9" i="34"/>
  <c r="I9" i="34"/>
  <c r="H9" i="34"/>
  <c r="G9" i="34"/>
  <c r="D9" i="34"/>
  <c r="C9" i="34"/>
  <c r="B9" i="34"/>
  <c r="AH8" i="34"/>
  <c r="AG8" i="34"/>
  <c r="AF8" i="34"/>
  <c r="AC8" i="34"/>
  <c r="AB8" i="34"/>
  <c r="AA8" i="34"/>
  <c r="X8" i="34"/>
  <c r="W8" i="34"/>
  <c r="V8" i="34"/>
  <c r="S8" i="34"/>
  <c r="R8" i="34"/>
  <c r="Q8" i="34"/>
  <c r="N8" i="34"/>
  <c r="M8" i="34"/>
  <c r="L8" i="34"/>
  <c r="I8" i="34"/>
  <c r="H8" i="34"/>
  <c r="G8" i="34"/>
  <c r="D8" i="34"/>
  <c r="C8" i="34"/>
  <c r="B8" i="34"/>
  <c r="AH7" i="34"/>
  <c r="AG7" i="34"/>
  <c r="AF7" i="34"/>
  <c r="AC7" i="34"/>
  <c r="AB7" i="34"/>
  <c r="AA7" i="34"/>
  <c r="X7" i="34"/>
  <c r="W7" i="34"/>
  <c r="V7" i="34"/>
  <c r="S7" i="34"/>
  <c r="R7" i="34"/>
  <c r="Q7" i="34"/>
  <c r="N7" i="34"/>
  <c r="M7" i="34"/>
  <c r="L7" i="34"/>
  <c r="I7" i="34"/>
  <c r="H7" i="34"/>
  <c r="G7" i="34"/>
  <c r="D7" i="34"/>
  <c r="C7" i="34"/>
  <c r="B7" i="34"/>
  <c r="AH6" i="34"/>
  <c r="AG6" i="34"/>
  <c r="AF6" i="34"/>
  <c r="AC6" i="34"/>
  <c r="AB6" i="34"/>
  <c r="AA6" i="34"/>
  <c r="X6" i="34"/>
  <c r="W6" i="34"/>
  <c r="V6" i="34"/>
  <c r="S6" i="34"/>
  <c r="R6" i="34"/>
  <c r="Q6" i="34"/>
  <c r="N6" i="34"/>
  <c r="M6" i="34"/>
  <c r="L6" i="34"/>
  <c r="I6" i="34"/>
  <c r="H6" i="34"/>
  <c r="G6" i="34"/>
  <c r="D6" i="34"/>
  <c r="C6" i="34"/>
  <c r="B6" i="34"/>
  <c r="AH17" i="33"/>
  <c r="AG17" i="33"/>
  <c r="AF17" i="33"/>
  <c r="AC17" i="33"/>
  <c r="AB17" i="33"/>
  <c r="AA17" i="33"/>
  <c r="X17" i="33"/>
  <c r="W17" i="33"/>
  <c r="V17" i="33"/>
  <c r="S17" i="33"/>
  <c r="R17" i="33"/>
  <c r="Q17" i="33"/>
  <c r="N17" i="33"/>
  <c r="M17" i="33"/>
  <c r="L17" i="33"/>
  <c r="I17" i="33"/>
  <c r="H17" i="33"/>
  <c r="G17" i="33"/>
  <c r="D17" i="33"/>
  <c r="C17" i="33"/>
  <c r="B17" i="33"/>
  <c r="AH16" i="33"/>
  <c r="AG16" i="33"/>
  <c r="AF16" i="33"/>
  <c r="AC16" i="33"/>
  <c r="AB16" i="33"/>
  <c r="AA16" i="33"/>
  <c r="X16" i="33"/>
  <c r="W16" i="33"/>
  <c r="V16" i="33"/>
  <c r="S16" i="33"/>
  <c r="R16" i="33"/>
  <c r="Q16" i="33"/>
  <c r="N16" i="33"/>
  <c r="M16" i="33"/>
  <c r="L16" i="33"/>
  <c r="I16" i="33"/>
  <c r="H16" i="33"/>
  <c r="G16" i="33"/>
  <c r="D16" i="33"/>
  <c r="C16" i="33"/>
  <c r="B16" i="33"/>
  <c r="AH15" i="33"/>
  <c r="AG15" i="33"/>
  <c r="AF15" i="33"/>
  <c r="AC15" i="33"/>
  <c r="AB15" i="33"/>
  <c r="AA15" i="33"/>
  <c r="X15" i="33"/>
  <c r="W15" i="33"/>
  <c r="V15" i="33"/>
  <c r="S15" i="33"/>
  <c r="R15" i="33"/>
  <c r="Q15" i="33"/>
  <c r="N15" i="33"/>
  <c r="M15" i="33"/>
  <c r="L15" i="33"/>
  <c r="I15" i="33"/>
  <c r="H15" i="33"/>
  <c r="G15" i="33"/>
  <c r="D15" i="33"/>
  <c r="C15" i="33"/>
  <c r="B15" i="33"/>
  <c r="AH14" i="33"/>
  <c r="AG14" i="33"/>
  <c r="AF14" i="33"/>
  <c r="AC14" i="33"/>
  <c r="AB14" i="33"/>
  <c r="AA14" i="33"/>
  <c r="X14" i="33"/>
  <c r="W14" i="33"/>
  <c r="V14" i="33"/>
  <c r="S14" i="33"/>
  <c r="R14" i="33"/>
  <c r="Q14" i="33"/>
  <c r="N14" i="33"/>
  <c r="M14" i="33"/>
  <c r="L14" i="33"/>
  <c r="I14" i="33"/>
  <c r="H14" i="33"/>
  <c r="G14" i="33"/>
  <c r="D14" i="33"/>
  <c r="C14" i="33"/>
  <c r="B14" i="33"/>
  <c r="AH13" i="33"/>
  <c r="AG13" i="33"/>
  <c r="AF13" i="33"/>
  <c r="AC13" i="33"/>
  <c r="AB13" i="33"/>
  <c r="AA13" i="33"/>
  <c r="X13" i="33"/>
  <c r="W13" i="33"/>
  <c r="V13" i="33"/>
  <c r="S13" i="33"/>
  <c r="R13" i="33"/>
  <c r="Q13" i="33"/>
  <c r="N13" i="33"/>
  <c r="M13" i="33"/>
  <c r="L13" i="33"/>
  <c r="I13" i="33"/>
  <c r="H13" i="33"/>
  <c r="G13" i="33"/>
  <c r="D13" i="33"/>
  <c r="C13" i="33"/>
  <c r="B13" i="33"/>
  <c r="AH12" i="33"/>
  <c r="AG12" i="33"/>
  <c r="AF12" i="33"/>
  <c r="AC12" i="33"/>
  <c r="AB12" i="33"/>
  <c r="AA12" i="33"/>
  <c r="X12" i="33"/>
  <c r="W12" i="33"/>
  <c r="V12" i="33"/>
  <c r="S12" i="33"/>
  <c r="R12" i="33"/>
  <c r="Q12" i="33"/>
  <c r="N12" i="33"/>
  <c r="M12" i="33"/>
  <c r="L12" i="33"/>
  <c r="I12" i="33"/>
  <c r="H12" i="33"/>
  <c r="G12" i="33"/>
  <c r="D12" i="33"/>
  <c r="C12" i="33"/>
  <c r="B12" i="33"/>
  <c r="AH11" i="33"/>
  <c r="AG11" i="33"/>
  <c r="AF11" i="33"/>
  <c r="AC11" i="33"/>
  <c r="AB11" i="33"/>
  <c r="AA11" i="33"/>
  <c r="X11" i="33"/>
  <c r="W11" i="33"/>
  <c r="V11" i="33"/>
  <c r="S11" i="33"/>
  <c r="R11" i="33"/>
  <c r="Q11" i="33"/>
  <c r="N11" i="33"/>
  <c r="M11" i="33"/>
  <c r="L11" i="33"/>
  <c r="I11" i="33"/>
  <c r="H11" i="33"/>
  <c r="G11" i="33"/>
  <c r="D11" i="33"/>
  <c r="C11" i="33"/>
  <c r="B11" i="33"/>
  <c r="AH10" i="33"/>
  <c r="AG10" i="33"/>
  <c r="AF10" i="33"/>
  <c r="AC10" i="33"/>
  <c r="AB10" i="33"/>
  <c r="AA10" i="33"/>
  <c r="X10" i="33"/>
  <c r="W10" i="33"/>
  <c r="V10" i="33"/>
  <c r="S10" i="33"/>
  <c r="R10" i="33"/>
  <c r="Q10" i="33"/>
  <c r="N10" i="33"/>
  <c r="M10" i="33"/>
  <c r="L10" i="33"/>
  <c r="I10" i="33"/>
  <c r="H10" i="33"/>
  <c r="G10" i="33"/>
  <c r="D10" i="33"/>
  <c r="C10" i="33"/>
  <c r="B10" i="33"/>
  <c r="AH9" i="33"/>
  <c r="AG9" i="33"/>
  <c r="AF9" i="33"/>
  <c r="AC9" i="33"/>
  <c r="AB9" i="33"/>
  <c r="AA9" i="33"/>
  <c r="X9" i="33"/>
  <c r="W9" i="33"/>
  <c r="V9" i="33"/>
  <c r="S9" i="33"/>
  <c r="R9" i="33"/>
  <c r="Q9" i="33"/>
  <c r="N9" i="33"/>
  <c r="M9" i="33"/>
  <c r="L9" i="33"/>
  <c r="I9" i="33"/>
  <c r="H9" i="33"/>
  <c r="G9" i="33"/>
  <c r="D9" i="33"/>
  <c r="C9" i="33"/>
  <c r="B9" i="33"/>
  <c r="AH8" i="33"/>
  <c r="AG8" i="33"/>
  <c r="AF8" i="33"/>
  <c r="AC8" i="33"/>
  <c r="AB8" i="33"/>
  <c r="AA8" i="33"/>
  <c r="X8" i="33"/>
  <c r="W8" i="33"/>
  <c r="V8" i="33"/>
  <c r="S8" i="33"/>
  <c r="R8" i="33"/>
  <c r="Q8" i="33"/>
  <c r="N8" i="33"/>
  <c r="M8" i="33"/>
  <c r="L8" i="33"/>
  <c r="I8" i="33"/>
  <c r="H8" i="33"/>
  <c r="G8" i="33"/>
  <c r="D8" i="33"/>
  <c r="C8" i="33"/>
  <c r="B8" i="33"/>
  <c r="AH7" i="33"/>
  <c r="AG7" i="33"/>
  <c r="AF7" i="33"/>
  <c r="AC7" i="33"/>
  <c r="AB7" i="33"/>
  <c r="AA7" i="33"/>
  <c r="X7" i="33"/>
  <c r="W7" i="33"/>
  <c r="V7" i="33"/>
  <c r="S7" i="33"/>
  <c r="R7" i="33"/>
  <c r="Q7" i="33"/>
  <c r="N7" i="33"/>
  <c r="M7" i="33"/>
  <c r="L7" i="33"/>
  <c r="I7" i="33"/>
  <c r="H7" i="33"/>
  <c r="G7" i="33"/>
  <c r="D7" i="33"/>
  <c r="C7" i="33"/>
  <c r="B7" i="33"/>
  <c r="AH6" i="33"/>
  <c r="AG6" i="33"/>
  <c r="AF6" i="33"/>
  <c r="AC6" i="33"/>
  <c r="AB6" i="33"/>
  <c r="AA6" i="33"/>
  <c r="X6" i="33"/>
  <c r="W6" i="33"/>
  <c r="V6" i="33"/>
  <c r="S6" i="33"/>
  <c r="R6" i="33"/>
  <c r="Q6" i="33"/>
  <c r="N6" i="33"/>
  <c r="M6" i="33"/>
  <c r="L6" i="33"/>
  <c r="I6" i="33"/>
  <c r="H6" i="33"/>
  <c r="G6" i="33"/>
  <c r="D6" i="33"/>
  <c r="C6" i="33"/>
  <c r="B6" i="33"/>
  <c r="AH17" i="32"/>
  <c r="AG17" i="32"/>
  <c r="AF17" i="32"/>
  <c r="AC17" i="32"/>
  <c r="AB17" i="32"/>
  <c r="AA17" i="32"/>
  <c r="X17" i="32"/>
  <c r="W17" i="32"/>
  <c r="V17" i="32"/>
  <c r="S17" i="32"/>
  <c r="R17" i="32"/>
  <c r="Q17" i="32"/>
  <c r="N17" i="32"/>
  <c r="M17" i="32"/>
  <c r="L17" i="32"/>
  <c r="I17" i="32"/>
  <c r="H17" i="32"/>
  <c r="G17" i="32"/>
  <c r="D17" i="32"/>
  <c r="C17" i="32"/>
  <c r="B17" i="32"/>
  <c r="AH16" i="32"/>
  <c r="AG16" i="32"/>
  <c r="AF16" i="32"/>
  <c r="AC16" i="32"/>
  <c r="AB16" i="32"/>
  <c r="AA16" i="32"/>
  <c r="X16" i="32"/>
  <c r="W16" i="32"/>
  <c r="V16" i="32"/>
  <c r="S16" i="32"/>
  <c r="R16" i="32"/>
  <c r="Q16" i="32"/>
  <c r="N16" i="32"/>
  <c r="M16" i="32"/>
  <c r="L16" i="32"/>
  <c r="I16" i="32"/>
  <c r="H16" i="32"/>
  <c r="G16" i="32"/>
  <c r="D16" i="32"/>
  <c r="C16" i="32"/>
  <c r="B16" i="32"/>
  <c r="AH15" i="32"/>
  <c r="AG15" i="32"/>
  <c r="AF15" i="32"/>
  <c r="AC15" i="32"/>
  <c r="AB15" i="32"/>
  <c r="AA15" i="32"/>
  <c r="X15" i="32"/>
  <c r="W15" i="32"/>
  <c r="V15" i="32"/>
  <c r="S15" i="32"/>
  <c r="R15" i="32"/>
  <c r="Q15" i="32"/>
  <c r="N15" i="32"/>
  <c r="M15" i="32"/>
  <c r="L15" i="32"/>
  <c r="I15" i="32"/>
  <c r="H15" i="32"/>
  <c r="G15" i="32"/>
  <c r="D15" i="32"/>
  <c r="C15" i="32"/>
  <c r="B15" i="32"/>
  <c r="AH14" i="32"/>
  <c r="AG14" i="32"/>
  <c r="AF14" i="32"/>
  <c r="AC14" i="32"/>
  <c r="AB14" i="32"/>
  <c r="AA14" i="32"/>
  <c r="X14" i="32"/>
  <c r="W14" i="32"/>
  <c r="V14" i="32"/>
  <c r="S14" i="32"/>
  <c r="R14" i="32"/>
  <c r="Q14" i="32"/>
  <c r="N14" i="32"/>
  <c r="M14" i="32"/>
  <c r="L14" i="32"/>
  <c r="I14" i="32"/>
  <c r="H14" i="32"/>
  <c r="G14" i="32"/>
  <c r="D14" i="32"/>
  <c r="C14" i="32"/>
  <c r="B14" i="32"/>
  <c r="AH13" i="32"/>
  <c r="AG13" i="32"/>
  <c r="AF13" i="32"/>
  <c r="AC13" i="32"/>
  <c r="AB13" i="32"/>
  <c r="AA13" i="32"/>
  <c r="X13" i="32"/>
  <c r="W13" i="32"/>
  <c r="V13" i="32"/>
  <c r="S13" i="32"/>
  <c r="R13" i="32"/>
  <c r="Q13" i="32"/>
  <c r="N13" i="32"/>
  <c r="M13" i="32"/>
  <c r="L13" i="32"/>
  <c r="I13" i="32"/>
  <c r="H13" i="32"/>
  <c r="G13" i="32"/>
  <c r="D13" i="32"/>
  <c r="C13" i="32"/>
  <c r="B13" i="32"/>
  <c r="AH12" i="32"/>
  <c r="AG12" i="32"/>
  <c r="AF12" i="32"/>
  <c r="AC12" i="32"/>
  <c r="AB12" i="32"/>
  <c r="AA12" i="32"/>
  <c r="X12" i="32"/>
  <c r="W12" i="32"/>
  <c r="V12" i="32"/>
  <c r="S12" i="32"/>
  <c r="R12" i="32"/>
  <c r="Q12" i="32"/>
  <c r="N12" i="32"/>
  <c r="M12" i="32"/>
  <c r="L12" i="32"/>
  <c r="I12" i="32"/>
  <c r="H12" i="32"/>
  <c r="G12" i="32"/>
  <c r="D12" i="32"/>
  <c r="C12" i="32"/>
  <c r="B12" i="32"/>
  <c r="AH11" i="32"/>
  <c r="AG11" i="32"/>
  <c r="AF11" i="32"/>
  <c r="AC11" i="32"/>
  <c r="AB11" i="32"/>
  <c r="AA11" i="32"/>
  <c r="X11" i="32"/>
  <c r="W11" i="32"/>
  <c r="V11" i="32"/>
  <c r="S11" i="32"/>
  <c r="R11" i="32"/>
  <c r="Q11" i="32"/>
  <c r="N11" i="32"/>
  <c r="M11" i="32"/>
  <c r="L11" i="32"/>
  <c r="I11" i="32"/>
  <c r="H11" i="32"/>
  <c r="G11" i="32"/>
  <c r="D11" i="32"/>
  <c r="C11" i="32"/>
  <c r="B11" i="32"/>
  <c r="AH10" i="32"/>
  <c r="AG10" i="32"/>
  <c r="AF10" i="32"/>
  <c r="AC10" i="32"/>
  <c r="AB10" i="32"/>
  <c r="AA10" i="32"/>
  <c r="X10" i="32"/>
  <c r="W10" i="32"/>
  <c r="V10" i="32"/>
  <c r="S10" i="32"/>
  <c r="R10" i="32"/>
  <c r="Q10" i="32"/>
  <c r="N10" i="32"/>
  <c r="M10" i="32"/>
  <c r="L10" i="32"/>
  <c r="I10" i="32"/>
  <c r="H10" i="32"/>
  <c r="G10" i="32"/>
  <c r="D10" i="32"/>
  <c r="C10" i="32"/>
  <c r="B10" i="32"/>
  <c r="AH9" i="32"/>
  <c r="AG9" i="32"/>
  <c r="AF9" i="32"/>
  <c r="AC9" i="32"/>
  <c r="AB9" i="32"/>
  <c r="AA9" i="32"/>
  <c r="X9" i="32"/>
  <c r="W9" i="32"/>
  <c r="V9" i="32"/>
  <c r="S9" i="32"/>
  <c r="R9" i="32"/>
  <c r="Q9" i="32"/>
  <c r="N9" i="32"/>
  <c r="M9" i="32"/>
  <c r="L9" i="32"/>
  <c r="I9" i="32"/>
  <c r="H9" i="32"/>
  <c r="G9" i="32"/>
  <c r="D9" i="32"/>
  <c r="C9" i="32"/>
  <c r="B9" i="32"/>
  <c r="AH8" i="32"/>
  <c r="AG8" i="32"/>
  <c r="AF8" i="32"/>
  <c r="AC8" i="32"/>
  <c r="AB8" i="32"/>
  <c r="AA8" i="32"/>
  <c r="X8" i="32"/>
  <c r="W8" i="32"/>
  <c r="V8" i="32"/>
  <c r="S8" i="32"/>
  <c r="R8" i="32"/>
  <c r="Q8" i="32"/>
  <c r="N8" i="32"/>
  <c r="M8" i="32"/>
  <c r="L8" i="32"/>
  <c r="I8" i="32"/>
  <c r="H8" i="32"/>
  <c r="G8" i="32"/>
  <c r="D8" i="32"/>
  <c r="C8" i="32"/>
  <c r="B8" i="32"/>
  <c r="AH7" i="32"/>
  <c r="AG7" i="32"/>
  <c r="AF7" i="32"/>
  <c r="AC7" i="32"/>
  <c r="AB7" i="32"/>
  <c r="AA7" i="32"/>
  <c r="X7" i="32"/>
  <c r="W7" i="32"/>
  <c r="V7" i="32"/>
  <c r="S7" i="32"/>
  <c r="R7" i="32"/>
  <c r="Q7" i="32"/>
  <c r="N7" i="32"/>
  <c r="M7" i="32"/>
  <c r="L7" i="32"/>
  <c r="I7" i="32"/>
  <c r="H7" i="32"/>
  <c r="G7" i="32"/>
  <c r="D7" i="32"/>
  <c r="C7" i="32"/>
  <c r="B7" i="32"/>
  <c r="AH6" i="32"/>
  <c r="AG6" i="32"/>
  <c r="AF6" i="32"/>
  <c r="AC6" i="32"/>
  <c r="AB6" i="32"/>
  <c r="AA6" i="32"/>
  <c r="X6" i="32"/>
  <c r="W6" i="32"/>
  <c r="V6" i="32"/>
  <c r="S6" i="32"/>
  <c r="R6" i="32"/>
  <c r="Q6" i="32"/>
  <c r="N6" i="32"/>
  <c r="M6" i="32"/>
  <c r="L6" i="32"/>
  <c r="I6" i="32"/>
  <c r="H6" i="32"/>
  <c r="G6" i="32"/>
  <c r="D6" i="32"/>
  <c r="C6" i="32"/>
  <c r="B6" i="32"/>
  <c r="AH17" i="31"/>
  <c r="AG17" i="31"/>
  <c r="AF17" i="31"/>
  <c r="AC17" i="31"/>
  <c r="AB17" i="31"/>
  <c r="AA17" i="31"/>
  <c r="X17" i="31"/>
  <c r="W17" i="31"/>
  <c r="V17" i="31"/>
  <c r="S17" i="31"/>
  <c r="R17" i="31"/>
  <c r="Q17" i="31"/>
  <c r="N17" i="31"/>
  <c r="M17" i="31"/>
  <c r="L17" i="31"/>
  <c r="I17" i="31"/>
  <c r="H17" i="31"/>
  <c r="G17" i="31"/>
  <c r="D17" i="31"/>
  <c r="C17" i="31"/>
  <c r="B17" i="31"/>
  <c r="AH16" i="31"/>
  <c r="AG16" i="31"/>
  <c r="AF16" i="31"/>
  <c r="AC16" i="31"/>
  <c r="AB16" i="31"/>
  <c r="AA16" i="31"/>
  <c r="X16" i="31"/>
  <c r="W16" i="31"/>
  <c r="V16" i="31"/>
  <c r="S16" i="31"/>
  <c r="R16" i="31"/>
  <c r="Q16" i="31"/>
  <c r="N16" i="31"/>
  <c r="M16" i="31"/>
  <c r="L16" i="31"/>
  <c r="I16" i="31"/>
  <c r="H16" i="31"/>
  <c r="G16" i="31"/>
  <c r="D16" i="31"/>
  <c r="C16" i="31"/>
  <c r="B16" i="31"/>
  <c r="AH15" i="31"/>
  <c r="AG15" i="31"/>
  <c r="AF15" i="31"/>
  <c r="AC15" i="31"/>
  <c r="AB15" i="31"/>
  <c r="AA15" i="31"/>
  <c r="X15" i="31"/>
  <c r="W15" i="31"/>
  <c r="V15" i="31"/>
  <c r="S15" i="31"/>
  <c r="R15" i="31"/>
  <c r="Q15" i="31"/>
  <c r="N15" i="31"/>
  <c r="M15" i="31"/>
  <c r="L15" i="31"/>
  <c r="I15" i="31"/>
  <c r="H15" i="31"/>
  <c r="G15" i="31"/>
  <c r="D15" i="31"/>
  <c r="C15" i="31"/>
  <c r="B15" i="31"/>
  <c r="AH14" i="31"/>
  <c r="AG14" i="31"/>
  <c r="AF14" i="31"/>
  <c r="AC14" i="31"/>
  <c r="AB14" i="31"/>
  <c r="AA14" i="31"/>
  <c r="X14" i="31"/>
  <c r="W14" i="31"/>
  <c r="V14" i="31"/>
  <c r="S14" i="31"/>
  <c r="R14" i="31"/>
  <c r="Q14" i="31"/>
  <c r="N14" i="31"/>
  <c r="M14" i="31"/>
  <c r="L14" i="31"/>
  <c r="I14" i="31"/>
  <c r="H14" i="31"/>
  <c r="G14" i="31"/>
  <c r="D14" i="31"/>
  <c r="C14" i="31"/>
  <c r="B14" i="31"/>
  <c r="AH13" i="31"/>
  <c r="AG13" i="31"/>
  <c r="AF13" i="31"/>
  <c r="AC13" i="31"/>
  <c r="AB13" i="31"/>
  <c r="AA13" i="31"/>
  <c r="X13" i="31"/>
  <c r="W13" i="31"/>
  <c r="V13" i="31"/>
  <c r="S13" i="31"/>
  <c r="R13" i="31"/>
  <c r="Q13" i="31"/>
  <c r="N13" i="31"/>
  <c r="M13" i="31"/>
  <c r="L13" i="31"/>
  <c r="I13" i="31"/>
  <c r="H13" i="31"/>
  <c r="G13" i="31"/>
  <c r="D13" i="31"/>
  <c r="C13" i="31"/>
  <c r="B13" i="31"/>
  <c r="AH12" i="31"/>
  <c r="AG12" i="31"/>
  <c r="AF12" i="31"/>
  <c r="AC12" i="31"/>
  <c r="AB12" i="31"/>
  <c r="AA12" i="31"/>
  <c r="X12" i="31"/>
  <c r="W12" i="31"/>
  <c r="V12" i="31"/>
  <c r="S12" i="31"/>
  <c r="R12" i="31"/>
  <c r="Q12" i="31"/>
  <c r="N12" i="31"/>
  <c r="M12" i="31"/>
  <c r="L12" i="31"/>
  <c r="I12" i="31"/>
  <c r="H12" i="31"/>
  <c r="G12" i="31"/>
  <c r="D12" i="31"/>
  <c r="C12" i="31"/>
  <c r="B12" i="31"/>
  <c r="AH11" i="31"/>
  <c r="AG11" i="31"/>
  <c r="AF11" i="31"/>
  <c r="AC11" i="31"/>
  <c r="AB11" i="31"/>
  <c r="AA11" i="31"/>
  <c r="X11" i="31"/>
  <c r="W11" i="31"/>
  <c r="V11" i="31"/>
  <c r="S11" i="31"/>
  <c r="R11" i="31"/>
  <c r="Q11" i="31"/>
  <c r="N11" i="31"/>
  <c r="M11" i="31"/>
  <c r="L11" i="31"/>
  <c r="I11" i="31"/>
  <c r="H11" i="31"/>
  <c r="G11" i="31"/>
  <c r="D11" i="31"/>
  <c r="C11" i="31"/>
  <c r="B11" i="31"/>
  <c r="AH10" i="31"/>
  <c r="AG10" i="31"/>
  <c r="AF10" i="31"/>
  <c r="AC10" i="31"/>
  <c r="AB10" i="31"/>
  <c r="AA10" i="31"/>
  <c r="X10" i="31"/>
  <c r="W10" i="31"/>
  <c r="V10" i="31"/>
  <c r="S10" i="31"/>
  <c r="R10" i="31"/>
  <c r="Q10" i="31"/>
  <c r="N10" i="31"/>
  <c r="M10" i="31"/>
  <c r="L10" i="31"/>
  <c r="I10" i="31"/>
  <c r="H10" i="31"/>
  <c r="G10" i="31"/>
  <c r="D10" i="31"/>
  <c r="C10" i="31"/>
  <c r="B10" i="31"/>
  <c r="AH9" i="31"/>
  <c r="AG9" i="31"/>
  <c r="AF9" i="31"/>
  <c r="AC9" i="31"/>
  <c r="AB9" i="31"/>
  <c r="AA9" i="31"/>
  <c r="X9" i="31"/>
  <c r="W9" i="31"/>
  <c r="V9" i="31"/>
  <c r="S9" i="31"/>
  <c r="R9" i="31"/>
  <c r="Q9" i="31"/>
  <c r="N9" i="31"/>
  <c r="M9" i="31"/>
  <c r="L9" i="31"/>
  <c r="I9" i="31"/>
  <c r="H9" i="31"/>
  <c r="G9" i="31"/>
  <c r="D9" i="31"/>
  <c r="C9" i="31"/>
  <c r="B9" i="31"/>
  <c r="AH8" i="31"/>
  <c r="AG8" i="31"/>
  <c r="AF8" i="31"/>
  <c r="AC8" i="31"/>
  <c r="AB8" i="31"/>
  <c r="AA8" i="31"/>
  <c r="X8" i="31"/>
  <c r="W8" i="31"/>
  <c r="V8" i="31"/>
  <c r="S8" i="31"/>
  <c r="R8" i="31"/>
  <c r="Q8" i="31"/>
  <c r="N8" i="31"/>
  <c r="M8" i="31"/>
  <c r="L8" i="31"/>
  <c r="I8" i="31"/>
  <c r="H8" i="31"/>
  <c r="G8" i="31"/>
  <c r="D8" i="31"/>
  <c r="C8" i="31"/>
  <c r="B8" i="31"/>
  <c r="AH7" i="31"/>
  <c r="AG7" i="31"/>
  <c r="AF7" i="31"/>
  <c r="AC7" i="31"/>
  <c r="AB7" i="31"/>
  <c r="AA7" i="31"/>
  <c r="X7" i="31"/>
  <c r="W7" i="31"/>
  <c r="V7" i="31"/>
  <c r="S7" i="31"/>
  <c r="R7" i="31"/>
  <c r="Q7" i="31"/>
  <c r="N7" i="31"/>
  <c r="M7" i="31"/>
  <c r="L7" i="31"/>
  <c r="I7" i="31"/>
  <c r="H7" i="31"/>
  <c r="G7" i="31"/>
  <c r="D7" i="31"/>
  <c r="C7" i="31"/>
  <c r="B7" i="31"/>
  <c r="AH6" i="31"/>
  <c r="AG6" i="31"/>
  <c r="AF6" i="31"/>
  <c r="AC6" i="31"/>
  <c r="AB6" i="31"/>
  <c r="AA6" i="31"/>
  <c r="X6" i="31"/>
  <c r="W6" i="31"/>
  <c r="V6" i="31"/>
  <c r="S6" i="31"/>
  <c r="R6" i="31"/>
  <c r="Q6" i="31"/>
  <c r="N6" i="31"/>
  <c r="M6" i="31"/>
  <c r="L6" i="31"/>
  <c r="I6" i="31"/>
  <c r="H6" i="31"/>
  <c r="G6" i="31"/>
  <c r="D6" i="31"/>
  <c r="C6" i="31"/>
  <c r="B6" i="31"/>
  <c r="AH17" i="30"/>
  <c r="AG17" i="30"/>
  <c r="AF17" i="30"/>
  <c r="AC17" i="30"/>
  <c r="AB17" i="30"/>
  <c r="AA17" i="30"/>
  <c r="X17" i="30"/>
  <c r="W17" i="30"/>
  <c r="V17" i="30"/>
  <c r="S17" i="30"/>
  <c r="R17" i="30"/>
  <c r="Q17" i="30"/>
  <c r="N17" i="30"/>
  <c r="M17" i="30"/>
  <c r="L17" i="30"/>
  <c r="I17" i="30"/>
  <c r="H17" i="30"/>
  <c r="G17" i="30"/>
  <c r="D17" i="30"/>
  <c r="C17" i="30"/>
  <c r="B17" i="30"/>
  <c r="AH16" i="30"/>
  <c r="AG16" i="30"/>
  <c r="AF16" i="30"/>
  <c r="AC16" i="30"/>
  <c r="AB16" i="30"/>
  <c r="AA16" i="30"/>
  <c r="X16" i="30"/>
  <c r="W16" i="30"/>
  <c r="V16" i="30"/>
  <c r="S16" i="30"/>
  <c r="R16" i="30"/>
  <c r="Q16" i="30"/>
  <c r="N16" i="30"/>
  <c r="M16" i="30"/>
  <c r="L16" i="30"/>
  <c r="I16" i="30"/>
  <c r="H16" i="30"/>
  <c r="G16" i="30"/>
  <c r="D16" i="30"/>
  <c r="C16" i="30"/>
  <c r="B16" i="30"/>
  <c r="AH15" i="30"/>
  <c r="AG15" i="30"/>
  <c r="AF15" i="30"/>
  <c r="AC15" i="30"/>
  <c r="AB15" i="30"/>
  <c r="AA15" i="30"/>
  <c r="X15" i="30"/>
  <c r="W15" i="30"/>
  <c r="V15" i="30"/>
  <c r="S15" i="30"/>
  <c r="R15" i="30"/>
  <c r="Q15" i="30"/>
  <c r="N15" i="30"/>
  <c r="M15" i="30"/>
  <c r="L15" i="30"/>
  <c r="I15" i="30"/>
  <c r="H15" i="30"/>
  <c r="G15" i="30"/>
  <c r="D15" i="30"/>
  <c r="C15" i="30"/>
  <c r="B15" i="30"/>
  <c r="AH14" i="30"/>
  <c r="AG14" i="30"/>
  <c r="AF14" i="30"/>
  <c r="AC14" i="30"/>
  <c r="AB14" i="30"/>
  <c r="AA14" i="30"/>
  <c r="X14" i="30"/>
  <c r="W14" i="30"/>
  <c r="V14" i="30"/>
  <c r="S14" i="30"/>
  <c r="R14" i="30"/>
  <c r="Q14" i="30"/>
  <c r="N14" i="30"/>
  <c r="M14" i="30"/>
  <c r="L14" i="30"/>
  <c r="I14" i="30"/>
  <c r="H14" i="30"/>
  <c r="G14" i="30"/>
  <c r="D14" i="30"/>
  <c r="C14" i="30"/>
  <c r="B14" i="30"/>
  <c r="AH13" i="30"/>
  <c r="AG13" i="30"/>
  <c r="AF13" i="30"/>
  <c r="AC13" i="30"/>
  <c r="AB13" i="30"/>
  <c r="AA13" i="30"/>
  <c r="X13" i="30"/>
  <c r="W13" i="30"/>
  <c r="V13" i="30"/>
  <c r="S13" i="30"/>
  <c r="R13" i="30"/>
  <c r="Q13" i="30"/>
  <c r="N13" i="30"/>
  <c r="M13" i="30"/>
  <c r="L13" i="30"/>
  <c r="I13" i="30"/>
  <c r="H13" i="30"/>
  <c r="G13" i="30"/>
  <c r="D13" i="30"/>
  <c r="C13" i="30"/>
  <c r="B13" i="30"/>
  <c r="AH12" i="30"/>
  <c r="AG12" i="30"/>
  <c r="AF12" i="30"/>
  <c r="AC12" i="30"/>
  <c r="AB12" i="30"/>
  <c r="AA12" i="30"/>
  <c r="X12" i="30"/>
  <c r="W12" i="30"/>
  <c r="V12" i="30"/>
  <c r="S12" i="30"/>
  <c r="R12" i="30"/>
  <c r="Q12" i="30"/>
  <c r="N12" i="30"/>
  <c r="M12" i="30"/>
  <c r="L12" i="30"/>
  <c r="I12" i="30"/>
  <c r="H12" i="30"/>
  <c r="G12" i="30"/>
  <c r="D12" i="30"/>
  <c r="C12" i="30"/>
  <c r="B12" i="30"/>
  <c r="AH11" i="30"/>
  <c r="AG11" i="30"/>
  <c r="AF11" i="30"/>
  <c r="AC11" i="30"/>
  <c r="AB11" i="30"/>
  <c r="AA11" i="30"/>
  <c r="X11" i="30"/>
  <c r="W11" i="30"/>
  <c r="V11" i="30"/>
  <c r="S11" i="30"/>
  <c r="R11" i="30"/>
  <c r="Q11" i="30"/>
  <c r="N11" i="30"/>
  <c r="M11" i="30"/>
  <c r="L11" i="30"/>
  <c r="I11" i="30"/>
  <c r="H11" i="30"/>
  <c r="G11" i="30"/>
  <c r="D11" i="30"/>
  <c r="C11" i="30"/>
  <c r="B11" i="30"/>
  <c r="AH10" i="30"/>
  <c r="AG10" i="30"/>
  <c r="AF10" i="30"/>
  <c r="AC10" i="30"/>
  <c r="AB10" i="30"/>
  <c r="AA10" i="30"/>
  <c r="X10" i="30"/>
  <c r="W10" i="30"/>
  <c r="V10" i="30"/>
  <c r="S10" i="30"/>
  <c r="R10" i="30"/>
  <c r="Q10" i="30"/>
  <c r="N10" i="30"/>
  <c r="M10" i="30"/>
  <c r="L10" i="30"/>
  <c r="I10" i="30"/>
  <c r="H10" i="30"/>
  <c r="G10" i="30"/>
  <c r="D10" i="30"/>
  <c r="C10" i="30"/>
  <c r="B10" i="30"/>
  <c r="AH9" i="30"/>
  <c r="AG9" i="30"/>
  <c r="AF9" i="30"/>
  <c r="AC9" i="30"/>
  <c r="AB9" i="30"/>
  <c r="AA9" i="30"/>
  <c r="X9" i="30"/>
  <c r="W9" i="30"/>
  <c r="V9" i="30"/>
  <c r="S9" i="30"/>
  <c r="R9" i="30"/>
  <c r="Q9" i="30"/>
  <c r="N9" i="30"/>
  <c r="M9" i="30"/>
  <c r="L9" i="30"/>
  <c r="I9" i="30"/>
  <c r="H9" i="30"/>
  <c r="G9" i="30"/>
  <c r="D9" i="30"/>
  <c r="C9" i="30"/>
  <c r="B9" i="30"/>
  <c r="AH8" i="30"/>
  <c r="AG8" i="30"/>
  <c r="AF8" i="30"/>
  <c r="AC8" i="30"/>
  <c r="AB8" i="30"/>
  <c r="AA8" i="30"/>
  <c r="X8" i="30"/>
  <c r="W8" i="30"/>
  <c r="V8" i="30"/>
  <c r="S8" i="30"/>
  <c r="R8" i="30"/>
  <c r="Q8" i="30"/>
  <c r="N8" i="30"/>
  <c r="M8" i="30"/>
  <c r="L8" i="30"/>
  <c r="I8" i="30"/>
  <c r="H8" i="30"/>
  <c r="G8" i="30"/>
  <c r="D8" i="30"/>
  <c r="C8" i="30"/>
  <c r="B8" i="30"/>
  <c r="AH7" i="30"/>
  <c r="AG7" i="30"/>
  <c r="AF7" i="30"/>
  <c r="AC7" i="30"/>
  <c r="AB7" i="30"/>
  <c r="AA7" i="30"/>
  <c r="X7" i="30"/>
  <c r="W7" i="30"/>
  <c r="V7" i="30"/>
  <c r="S7" i="30"/>
  <c r="R7" i="30"/>
  <c r="Q7" i="30"/>
  <c r="N7" i="30"/>
  <c r="M7" i="30"/>
  <c r="L7" i="30"/>
  <c r="I7" i="30"/>
  <c r="H7" i="30"/>
  <c r="G7" i="30"/>
  <c r="D7" i="30"/>
  <c r="C7" i="30"/>
  <c r="B7" i="30"/>
  <c r="AH6" i="30"/>
  <c r="AG6" i="30"/>
  <c r="AF6" i="30"/>
  <c r="AC6" i="30"/>
  <c r="AB6" i="30"/>
  <c r="AA6" i="30"/>
  <c r="X6" i="30"/>
  <c r="W6" i="30"/>
  <c r="V6" i="30"/>
  <c r="S6" i="30"/>
  <c r="R6" i="30"/>
  <c r="Q6" i="30"/>
  <c r="N6" i="30"/>
  <c r="M6" i="30"/>
  <c r="L6" i="30"/>
  <c r="I6" i="30"/>
  <c r="H6" i="30"/>
  <c r="G6" i="30"/>
  <c r="D6" i="30"/>
  <c r="C6" i="30"/>
  <c r="B6" i="30"/>
  <c r="AH17" i="29"/>
  <c r="AG17" i="29"/>
  <c r="AF17" i="29"/>
  <c r="AC17" i="29"/>
  <c r="AB17" i="29"/>
  <c r="AA17" i="29"/>
  <c r="X17" i="29"/>
  <c r="W17" i="29"/>
  <c r="V17" i="29"/>
  <c r="S17" i="29"/>
  <c r="R17" i="29"/>
  <c r="Q17" i="29"/>
  <c r="N17" i="29"/>
  <c r="M17" i="29"/>
  <c r="L17" i="29"/>
  <c r="I17" i="29"/>
  <c r="H17" i="29"/>
  <c r="G17" i="29"/>
  <c r="D17" i="29"/>
  <c r="C17" i="29"/>
  <c r="B17" i="29"/>
  <c r="AH16" i="29"/>
  <c r="AG16" i="29"/>
  <c r="AF16" i="29"/>
  <c r="AC16" i="29"/>
  <c r="AB16" i="29"/>
  <c r="AA16" i="29"/>
  <c r="X16" i="29"/>
  <c r="W16" i="29"/>
  <c r="V16" i="29"/>
  <c r="S16" i="29"/>
  <c r="R16" i="29"/>
  <c r="Q16" i="29"/>
  <c r="N16" i="29"/>
  <c r="M16" i="29"/>
  <c r="L16" i="29"/>
  <c r="I16" i="29"/>
  <c r="H16" i="29"/>
  <c r="G16" i="29"/>
  <c r="D16" i="29"/>
  <c r="C16" i="29"/>
  <c r="B16" i="29"/>
  <c r="AH15" i="29"/>
  <c r="AG15" i="29"/>
  <c r="AF15" i="29"/>
  <c r="AC15" i="29"/>
  <c r="AB15" i="29"/>
  <c r="AA15" i="29"/>
  <c r="X15" i="29"/>
  <c r="W15" i="29"/>
  <c r="V15" i="29"/>
  <c r="S15" i="29"/>
  <c r="R15" i="29"/>
  <c r="Q15" i="29"/>
  <c r="N15" i="29"/>
  <c r="M15" i="29"/>
  <c r="L15" i="29"/>
  <c r="I15" i="29"/>
  <c r="H15" i="29"/>
  <c r="G15" i="29"/>
  <c r="D15" i="29"/>
  <c r="C15" i="29"/>
  <c r="B15" i="29"/>
  <c r="AH14" i="29"/>
  <c r="AG14" i="29"/>
  <c r="AF14" i="29"/>
  <c r="AC14" i="29"/>
  <c r="AB14" i="29"/>
  <c r="AA14" i="29"/>
  <c r="X14" i="29"/>
  <c r="W14" i="29"/>
  <c r="V14" i="29"/>
  <c r="S14" i="29"/>
  <c r="R14" i="29"/>
  <c r="Q14" i="29"/>
  <c r="N14" i="29"/>
  <c r="M14" i="29"/>
  <c r="L14" i="29"/>
  <c r="I14" i="29"/>
  <c r="H14" i="29"/>
  <c r="G14" i="29"/>
  <c r="D14" i="29"/>
  <c r="C14" i="29"/>
  <c r="B14" i="29"/>
  <c r="AH13" i="29"/>
  <c r="AG13" i="29"/>
  <c r="AF13" i="29"/>
  <c r="AC13" i="29"/>
  <c r="AB13" i="29"/>
  <c r="AA13" i="29"/>
  <c r="X13" i="29"/>
  <c r="W13" i="29"/>
  <c r="V13" i="29"/>
  <c r="S13" i="29"/>
  <c r="R13" i="29"/>
  <c r="Q13" i="29"/>
  <c r="N13" i="29"/>
  <c r="M13" i="29"/>
  <c r="L13" i="29"/>
  <c r="I13" i="29"/>
  <c r="H13" i="29"/>
  <c r="G13" i="29"/>
  <c r="D13" i="29"/>
  <c r="C13" i="29"/>
  <c r="B13" i="29"/>
  <c r="AH12" i="29"/>
  <c r="AG12" i="29"/>
  <c r="AF12" i="29"/>
  <c r="AC12" i="29"/>
  <c r="AB12" i="29"/>
  <c r="AA12" i="29"/>
  <c r="X12" i="29"/>
  <c r="W12" i="29"/>
  <c r="V12" i="29"/>
  <c r="S12" i="29"/>
  <c r="R12" i="29"/>
  <c r="Q12" i="29"/>
  <c r="N12" i="29"/>
  <c r="M12" i="29"/>
  <c r="L12" i="29"/>
  <c r="I12" i="29"/>
  <c r="H12" i="29"/>
  <c r="G12" i="29"/>
  <c r="D12" i="29"/>
  <c r="C12" i="29"/>
  <c r="B12" i="29"/>
  <c r="AH11" i="29"/>
  <c r="AG11" i="29"/>
  <c r="AF11" i="29"/>
  <c r="AC11" i="29"/>
  <c r="AB11" i="29"/>
  <c r="AA11" i="29"/>
  <c r="X11" i="29"/>
  <c r="W11" i="29"/>
  <c r="V11" i="29"/>
  <c r="S11" i="29"/>
  <c r="R11" i="29"/>
  <c r="Q11" i="29"/>
  <c r="N11" i="29"/>
  <c r="M11" i="29"/>
  <c r="L11" i="29"/>
  <c r="I11" i="29"/>
  <c r="H11" i="29"/>
  <c r="G11" i="29"/>
  <c r="D11" i="29"/>
  <c r="C11" i="29"/>
  <c r="B11" i="29"/>
  <c r="AH10" i="29"/>
  <c r="AG10" i="29"/>
  <c r="AF10" i="29"/>
  <c r="AC10" i="29"/>
  <c r="AB10" i="29"/>
  <c r="AA10" i="29"/>
  <c r="X10" i="29"/>
  <c r="W10" i="29"/>
  <c r="V10" i="29"/>
  <c r="S10" i="29"/>
  <c r="R10" i="29"/>
  <c r="Q10" i="29"/>
  <c r="N10" i="29"/>
  <c r="M10" i="29"/>
  <c r="L10" i="29"/>
  <c r="I10" i="29"/>
  <c r="H10" i="29"/>
  <c r="G10" i="29"/>
  <c r="D10" i="29"/>
  <c r="C10" i="29"/>
  <c r="B10" i="29"/>
  <c r="AH9" i="29"/>
  <c r="AG9" i="29"/>
  <c r="AF9" i="29"/>
  <c r="AC9" i="29"/>
  <c r="AB9" i="29"/>
  <c r="AA9" i="29"/>
  <c r="X9" i="29"/>
  <c r="W9" i="29"/>
  <c r="V9" i="29"/>
  <c r="S9" i="29"/>
  <c r="R9" i="29"/>
  <c r="Q9" i="29"/>
  <c r="N9" i="29"/>
  <c r="M9" i="29"/>
  <c r="L9" i="29"/>
  <c r="I9" i="29"/>
  <c r="H9" i="29"/>
  <c r="G9" i="29"/>
  <c r="D9" i="29"/>
  <c r="C9" i="29"/>
  <c r="B9" i="29"/>
  <c r="AH8" i="29"/>
  <c r="AG8" i="29"/>
  <c r="AF8" i="29"/>
  <c r="AC8" i="29"/>
  <c r="AB8" i="29"/>
  <c r="AA8" i="29"/>
  <c r="X8" i="29"/>
  <c r="W8" i="29"/>
  <c r="V8" i="29"/>
  <c r="S8" i="29"/>
  <c r="R8" i="29"/>
  <c r="Q8" i="29"/>
  <c r="N8" i="29"/>
  <c r="M8" i="29"/>
  <c r="L8" i="29"/>
  <c r="I8" i="29"/>
  <c r="H8" i="29"/>
  <c r="G8" i="29"/>
  <c r="D8" i="29"/>
  <c r="C8" i="29"/>
  <c r="B8" i="29"/>
  <c r="AH7" i="29"/>
  <c r="AG7" i="29"/>
  <c r="AF7" i="29"/>
  <c r="AC7" i="29"/>
  <c r="AB7" i="29"/>
  <c r="AA7" i="29"/>
  <c r="X7" i="29"/>
  <c r="W7" i="29"/>
  <c r="V7" i="29"/>
  <c r="S7" i="29"/>
  <c r="R7" i="29"/>
  <c r="Q7" i="29"/>
  <c r="N7" i="29"/>
  <c r="M7" i="29"/>
  <c r="L7" i="29"/>
  <c r="I7" i="29"/>
  <c r="H7" i="29"/>
  <c r="G7" i="29"/>
  <c r="D7" i="29"/>
  <c r="C7" i="29"/>
  <c r="B7" i="29"/>
  <c r="AH6" i="29"/>
  <c r="AG6" i="29"/>
  <c r="AF6" i="29"/>
  <c r="AC6" i="29"/>
  <c r="AB6" i="29"/>
  <c r="AA6" i="29"/>
  <c r="X6" i="29"/>
  <c r="W6" i="29"/>
  <c r="V6" i="29"/>
  <c r="S6" i="29"/>
  <c r="R6" i="29"/>
  <c r="Q6" i="29"/>
  <c r="N6" i="29"/>
  <c r="M6" i="29"/>
  <c r="L6" i="29"/>
  <c r="I6" i="29"/>
  <c r="H6" i="29"/>
  <c r="G6" i="29"/>
  <c r="D6" i="29"/>
  <c r="C6" i="29"/>
  <c r="B6" i="29"/>
  <c r="AH17" i="28"/>
  <c r="AG17" i="28"/>
  <c r="AF17" i="28"/>
  <c r="AC17" i="28"/>
  <c r="AB17" i="28"/>
  <c r="AA17" i="28"/>
  <c r="X17" i="28"/>
  <c r="W17" i="28"/>
  <c r="V17" i="28"/>
  <c r="S17" i="28"/>
  <c r="R17" i="28"/>
  <c r="Q17" i="28"/>
  <c r="N17" i="28"/>
  <c r="M17" i="28"/>
  <c r="L17" i="28"/>
  <c r="I17" i="28"/>
  <c r="H17" i="28"/>
  <c r="G17" i="28"/>
  <c r="D17" i="28"/>
  <c r="C17" i="28"/>
  <c r="B17" i="28"/>
  <c r="AH16" i="28"/>
  <c r="AG16" i="28"/>
  <c r="AF16" i="28"/>
  <c r="AC16" i="28"/>
  <c r="AB16" i="28"/>
  <c r="AA16" i="28"/>
  <c r="X16" i="28"/>
  <c r="W16" i="28"/>
  <c r="V16" i="28"/>
  <c r="S16" i="28"/>
  <c r="R16" i="28"/>
  <c r="Q16" i="28"/>
  <c r="N16" i="28"/>
  <c r="M16" i="28"/>
  <c r="L16" i="28"/>
  <c r="I16" i="28"/>
  <c r="H16" i="28"/>
  <c r="G16" i="28"/>
  <c r="D16" i="28"/>
  <c r="C16" i="28"/>
  <c r="B16" i="28"/>
  <c r="AH15" i="28"/>
  <c r="AG15" i="28"/>
  <c r="AF15" i="28"/>
  <c r="AC15" i="28"/>
  <c r="AB15" i="28"/>
  <c r="AA15" i="28"/>
  <c r="X15" i="28"/>
  <c r="W15" i="28"/>
  <c r="V15" i="28"/>
  <c r="S15" i="28"/>
  <c r="R15" i="28"/>
  <c r="Q15" i="28"/>
  <c r="N15" i="28"/>
  <c r="M15" i="28"/>
  <c r="L15" i="28"/>
  <c r="I15" i="28"/>
  <c r="H15" i="28"/>
  <c r="G15" i="28"/>
  <c r="D15" i="28"/>
  <c r="C15" i="28"/>
  <c r="B15" i="28"/>
  <c r="AH14" i="28"/>
  <c r="AG14" i="28"/>
  <c r="AF14" i="28"/>
  <c r="AC14" i="28"/>
  <c r="AB14" i="28"/>
  <c r="AA14" i="28"/>
  <c r="X14" i="28"/>
  <c r="W14" i="28"/>
  <c r="V14" i="28"/>
  <c r="S14" i="28"/>
  <c r="R14" i="28"/>
  <c r="Q14" i="28"/>
  <c r="N14" i="28"/>
  <c r="M14" i="28"/>
  <c r="L14" i="28"/>
  <c r="I14" i="28"/>
  <c r="H14" i="28"/>
  <c r="G14" i="28"/>
  <c r="D14" i="28"/>
  <c r="C14" i="28"/>
  <c r="B14" i="28"/>
  <c r="AH13" i="28"/>
  <c r="AG13" i="28"/>
  <c r="AF13" i="28"/>
  <c r="AC13" i="28"/>
  <c r="AB13" i="28"/>
  <c r="AA13" i="28"/>
  <c r="X13" i="28"/>
  <c r="W13" i="28"/>
  <c r="V13" i="28"/>
  <c r="S13" i="28"/>
  <c r="R13" i="28"/>
  <c r="Q13" i="28"/>
  <c r="N13" i="28"/>
  <c r="M13" i="28"/>
  <c r="L13" i="28"/>
  <c r="I13" i="28"/>
  <c r="H13" i="28"/>
  <c r="G13" i="28"/>
  <c r="D13" i="28"/>
  <c r="C13" i="28"/>
  <c r="B13" i="28"/>
  <c r="AH12" i="28"/>
  <c r="AG12" i="28"/>
  <c r="AF12" i="28"/>
  <c r="AC12" i="28"/>
  <c r="AB12" i="28"/>
  <c r="AA12" i="28"/>
  <c r="X12" i="28"/>
  <c r="W12" i="28"/>
  <c r="V12" i="28"/>
  <c r="S12" i="28"/>
  <c r="R12" i="28"/>
  <c r="Q12" i="28"/>
  <c r="N12" i="28"/>
  <c r="M12" i="28"/>
  <c r="L12" i="28"/>
  <c r="I12" i="28"/>
  <c r="H12" i="28"/>
  <c r="G12" i="28"/>
  <c r="D12" i="28"/>
  <c r="C12" i="28"/>
  <c r="B12" i="28"/>
  <c r="AH11" i="28"/>
  <c r="AG11" i="28"/>
  <c r="AF11" i="28"/>
  <c r="AC11" i="28"/>
  <c r="AB11" i="28"/>
  <c r="AA11" i="28"/>
  <c r="X11" i="28"/>
  <c r="W11" i="28"/>
  <c r="V11" i="28"/>
  <c r="S11" i="28"/>
  <c r="R11" i="28"/>
  <c r="Q11" i="28"/>
  <c r="N11" i="28"/>
  <c r="M11" i="28"/>
  <c r="L11" i="28"/>
  <c r="I11" i="28"/>
  <c r="H11" i="28"/>
  <c r="G11" i="28"/>
  <c r="D11" i="28"/>
  <c r="C11" i="28"/>
  <c r="B11" i="28"/>
  <c r="AH10" i="28"/>
  <c r="AG10" i="28"/>
  <c r="AF10" i="28"/>
  <c r="AC10" i="28"/>
  <c r="AB10" i="28"/>
  <c r="AA10" i="28"/>
  <c r="X10" i="28"/>
  <c r="W10" i="28"/>
  <c r="V10" i="28"/>
  <c r="S10" i="28"/>
  <c r="R10" i="28"/>
  <c r="Q10" i="28"/>
  <c r="N10" i="28"/>
  <c r="M10" i="28"/>
  <c r="L10" i="28"/>
  <c r="I10" i="28"/>
  <c r="H10" i="28"/>
  <c r="G10" i="28"/>
  <c r="D10" i="28"/>
  <c r="C10" i="28"/>
  <c r="B10" i="28"/>
  <c r="AH9" i="28"/>
  <c r="AG9" i="28"/>
  <c r="AF9" i="28"/>
  <c r="AC9" i="28"/>
  <c r="AB9" i="28"/>
  <c r="AA9" i="28"/>
  <c r="X9" i="28"/>
  <c r="W9" i="28"/>
  <c r="V9" i="28"/>
  <c r="S9" i="28"/>
  <c r="R9" i="28"/>
  <c r="Q9" i="28"/>
  <c r="N9" i="28"/>
  <c r="M9" i="28"/>
  <c r="L9" i="28"/>
  <c r="I9" i="28"/>
  <c r="H9" i="28"/>
  <c r="G9" i="28"/>
  <c r="D9" i="28"/>
  <c r="C9" i="28"/>
  <c r="B9" i="28"/>
  <c r="AH8" i="28"/>
  <c r="AG8" i="28"/>
  <c r="AF8" i="28"/>
  <c r="AC8" i="28"/>
  <c r="AB8" i="28"/>
  <c r="AA8" i="28"/>
  <c r="X8" i="28"/>
  <c r="W8" i="28"/>
  <c r="V8" i="28"/>
  <c r="S8" i="28"/>
  <c r="R8" i="28"/>
  <c r="Q8" i="28"/>
  <c r="N8" i="28"/>
  <c r="M8" i="28"/>
  <c r="L8" i="28"/>
  <c r="I8" i="28"/>
  <c r="H8" i="28"/>
  <c r="G8" i="28"/>
  <c r="D8" i="28"/>
  <c r="C8" i="28"/>
  <c r="B8" i="28"/>
  <c r="AH7" i="28"/>
  <c r="AG7" i="28"/>
  <c r="AF7" i="28"/>
  <c r="AC7" i="28"/>
  <c r="AB7" i="28"/>
  <c r="AA7" i="28"/>
  <c r="X7" i="28"/>
  <c r="W7" i="28"/>
  <c r="V7" i="28"/>
  <c r="S7" i="28"/>
  <c r="R7" i="28"/>
  <c r="Q7" i="28"/>
  <c r="N7" i="28"/>
  <c r="M7" i="28"/>
  <c r="L7" i="28"/>
  <c r="I7" i="28"/>
  <c r="H7" i="28"/>
  <c r="G7" i="28"/>
  <c r="D7" i="28"/>
  <c r="C7" i="28"/>
  <c r="B7" i="28"/>
  <c r="AH6" i="28"/>
  <c r="AG6" i="28"/>
  <c r="AF6" i="28"/>
  <c r="AC6" i="28"/>
  <c r="AB6" i="28"/>
  <c r="AA6" i="28"/>
  <c r="X6" i="28"/>
  <c r="W6" i="28"/>
  <c r="V6" i="28"/>
  <c r="S6" i="28"/>
  <c r="R6" i="28"/>
  <c r="Q6" i="28"/>
  <c r="N6" i="28"/>
  <c r="M6" i="28"/>
  <c r="L6" i="28"/>
  <c r="I6" i="28"/>
  <c r="H6" i="28"/>
  <c r="G6" i="28"/>
  <c r="D6" i="28"/>
  <c r="C6" i="28"/>
  <c r="B6" i="28"/>
  <c r="AH17" i="27"/>
  <c r="AG17" i="27"/>
  <c r="AF17" i="27"/>
  <c r="AC17" i="27"/>
  <c r="AB17" i="27"/>
  <c r="AA17" i="27"/>
  <c r="X17" i="27"/>
  <c r="W17" i="27"/>
  <c r="V17" i="27"/>
  <c r="S17" i="27"/>
  <c r="R17" i="27"/>
  <c r="Q17" i="27"/>
  <c r="N17" i="27"/>
  <c r="M17" i="27"/>
  <c r="L17" i="27"/>
  <c r="I17" i="27"/>
  <c r="H17" i="27"/>
  <c r="G17" i="27"/>
  <c r="D17" i="27"/>
  <c r="C17" i="27"/>
  <c r="B17" i="27"/>
  <c r="AH16" i="27"/>
  <c r="AG16" i="27"/>
  <c r="AF16" i="27"/>
  <c r="AC16" i="27"/>
  <c r="AB16" i="27"/>
  <c r="AA16" i="27"/>
  <c r="X16" i="27"/>
  <c r="W16" i="27"/>
  <c r="V16" i="27"/>
  <c r="S16" i="27"/>
  <c r="R16" i="27"/>
  <c r="Q16" i="27"/>
  <c r="N16" i="27"/>
  <c r="M16" i="27"/>
  <c r="L16" i="27"/>
  <c r="I16" i="27"/>
  <c r="H16" i="27"/>
  <c r="G16" i="27"/>
  <c r="D16" i="27"/>
  <c r="C16" i="27"/>
  <c r="B16" i="27"/>
  <c r="AH15" i="27"/>
  <c r="AG15" i="27"/>
  <c r="AF15" i="27"/>
  <c r="AC15" i="27"/>
  <c r="AB15" i="27"/>
  <c r="AA15" i="27"/>
  <c r="X15" i="27"/>
  <c r="W15" i="27"/>
  <c r="V15" i="27"/>
  <c r="S15" i="27"/>
  <c r="R15" i="27"/>
  <c r="Q15" i="27"/>
  <c r="N15" i="27"/>
  <c r="M15" i="27"/>
  <c r="L15" i="27"/>
  <c r="I15" i="27"/>
  <c r="H15" i="27"/>
  <c r="G15" i="27"/>
  <c r="D15" i="27"/>
  <c r="C15" i="27"/>
  <c r="B15" i="27"/>
  <c r="AH14" i="27"/>
  <c r="AG14" i="27"/>
  <c r="AF14" i="27"/>
  <c r="AC14" i="27"/>
  <c r="AB14" i="27"/>
  <c r="AA14" i="27"/>
  <c r="X14" i="27"/>
  <c r="W14" i="27"/>
  <c r="V14" i="27"/>
  <c r="S14" i="27"/>
  <c r="R14" i="27"/>
  <c r="Q14" i="27"/>
  <c r="N14" i="27"/>
  <c r="M14" i="27"/>
  <c r="L14" i="27"/>
  <c r="I14" i="27"/>
  <c r="H14" i="27"/>
  <c r="G14" i="27"/>
  <c r="D14" i="27"/>
  <c r="C14" i="27"/>
  <c r="B14" i="27"/>
  <c r="AH13" i="27"/>
  <c r="AG13" i="27"/>
  <c r="AF13" i="27"/>
  <c r="AC13" i="27"/>
  <c r="AB13" i="27"/>
  <c r="AA13" i="27"/>
  <c r="X13" i="27"/>
  <c r="W13" i="27"/>
  <c r="V13" i="27"/>
  <c r="S13" i="27"/>
  <c r="R13" i="27"/>
  <c r="Q13" i="27"/>
  <c r="N13" i="27"/>
  <c r="M13" i="27"/>
  <c r="L13" i="27"/>
  <c r="I13" i="27"/>
  <c r="H13" i="27"/>
  <c r="G13" i="27"/>
  <c r="D13" i="27"/>
  <c r="C13" i="27"/>
  <c r="B13" i="27"/>
  <c r="AH12" i="27"/>
  <c r="AG12" i="27"/>
  <c r="AF12" i="27"/>
  <c r="AC12" i="27"/>
  <c r="AB12" i="27"/>
  <c r="AA12" i="27"/>
  <c r="X12" i="27"/>
  <c r="W12" i="27"/>
  <c r="V12" i="27"/>
  <c r="S12" i="27"/>
  <c r="R12" i="27"/>
  <c r="Q12" i="27"/>
  <c r="N12" i="27"/>
  <c r="M12" i="27"/>
  <c r="L12" i="27"/>
  <c r="I12" i="27"/>
  <c r="H12" i="27"/>
  <c r="G12" i="27"/>
  <c r="D12" i="27"/>
  <c r="C12" i="27"/>
  <c r="B12" i="27"/>
  <c r="AH11" i="27"/>
  <c r="AG11" i="27"/>
  <c r="AF11" i="27"/>
  <c r="AC11" i="27"/>
  <c r="AB11" i="27"/>
  <c r="AA11" i="27"/>
  <c r="X11" i="27"/>
  <c r="W11" i="27"/>
  <c r="V11" i="27"/>
  <c r="S11" i="27"/>
  <c r="R11" i="27"/>
  <c r="Q11" i="27"/>
  <c r="N11" i="27"/>
  <c r="M11" i="27"/>
  <c r="L11" i="27"/>
  <c r="I11" i="27"/>
  <c r="H11" i="27"/>
  <c r="G11" i="27"/>
  <c r="D11" i="27"/>
  <c r="C11" i="27"/>
  <c r="B11" i="27"/>
  <c r="AH10" i="27"/>
  <c r="AG10" i="27"/>
  <c r="AF10" i="27"/>
  <c r="AC10" i="27"/>
  <c r="AB10" i="27"/>
  <c r="AA10" i="27"/>
  <c r="X10" i="27"/>
  <c r="W10" i="27"/>
  <c r="V10" i="27"/>
  <c r="S10" i="27"/>
  <c r="R10" i="27"/>
  <c r="Q10" i="27"/>
  <c r="N10" i="27"/>
  <c r="M10" i="27"/>
  <c r="L10" i="27"/>
  <c r="I10" i="27"/>
  <c r="H10" i="27"/>
  <c r="G10" i="27"/>
  <c r="D10" i="27"/>
  <c r="C10" i="27"/>
  <c r="B10" i="27"/>
  <c r="AH9" i="27"/>
  <c r="AG9" i="27"/>
  <c r="AF9" i="27"/>
  <c r="AC9" i="27"/>
  <c r="AB9" i="27"/>
  <c r="AA9" i="27"/>
  <c r="X9" i="27"/>
  <c r="W9" i="27"/>
  <c r="V9" i="27"/>
  <c r="S9" i="27"/>
  <c r="R9" i="27"/>
  <c r="Q9" i="27"/>
  <c r="N9" i="27"/>
  <c r="M9" i="27"/>
  <c r="L9" i="27"/>
  <c r="I9" i="27"/>
  <c r="H9" i="27"/>
  <c r="G9" i="27"/>
  <c r="D9" i="27"/>
  <c r="C9" i="27"/>
  <c r="B9" i="27"/>
  <c r="AH8" i="27"/>
  <c r="AG8" i="27"/>
  <c r="AF8" i="27"/>
  <c r="AC8" i="27"/>
  <c r="AB8" i="27"/>
  <c r="AA8" i="27"/>
  <c r="X8" i="27"/>
  <c r="W8" i="27"/>
  <c r="V8" i="27"/>
  <c r="S8" i="27"/>
  <c r="R8" i="27"/>
  <c r="Q8" i="27"/>
  <c r="N8" i="27"/>
  <c r="M8" i="27"/>
  <c r="L8" i="27"/>
  <c r="I8" i="27"/>
  <c r="H8" i="27"/>
  <c r="G8" i="27"/>
  <c r="D8" i="27"/>
  <c r="C8" i="27"/>
  <c r="B8" i="27"/>
  <c r="AH7" i="27"/>
  <c r="AG7" i="27"/>
  <c r="AF7" i="27"/>
  <c r="AC7" i="27"/>
  <c r="AB7" i="27"/>
  <c r="AA7" i="27"/>
  <c r="X7" i="27"/>
  <c r="W7" i="27"/>
  <c r="V7" i="27"/>
  <c r="S7" i="27"/>
  <c r="R7" i="27"/>
  <c r="Q7" i="27"/>
  <c r="N7" i="27"/>
  <c r="M7" i="27"/>
  <c r="L7" i="27"/>
  <c r="I7" i="27"/>
  <c r="H7" i="27"/>
  <c r="G7" i="27"/>
  <c r="D7" i="27"/>
  <c r="C7" i="27"/>
  <c r="B7" i="27"/>
  <c r="AH6" i="27"/>
  <c r="AG6" i="27"/>
  <c r="AF6" i="27"/>
  <c r="AC6" i="27"/>
  <c r="AB6" i="27"/>
  <c r="AA6" i="27"/>
  <c r="X6" i="27"/>
  <c r="W6" i="27"/>
  <c r="V6" i="27"/>
  <c r="S6" i="27"/>
  <c r="R6" i="27"/>
  <c r="Q6" i="27"/>
  <c r="N6" i="27"/>
  <c r="M6" i="27"/>
  <c r="L6" i="27"/>
  <c r="I6" i="27"/>
  <c r="H6" i="27"/>
  <c r="G6" i="27"/>
  <c r="D6" i="27"/>
  <c r="C6" i="27"/>
  <c r="B6" i="27"/>
  <c r="AH17" i="26"/>
  <c r="AG17" i="26"/>
  <c r="AF17" i="26"/>
  <c r="AC17" i="26"/>
  <c r="AB17" i="26"/>
  <c r="AA17" i="26"/>
  <c r="X17" i="26"/>
  <c r="W17" i="26"/>
  <c r="V17" i="26"/>
  <c r="S17" i="26"/>
  <c r="R17" i="26"/>
  <c r="Q17" i="26"/>
  <c r="N17" i="26"/>
  <c r="M17" i="26"/>
  <c r="L17" i="26"/>
  <c r="I17" i="26"/>
  <c r="H17" i="26"/>
  <c r="G17" i="26"/>
  <c r="D17" i="26"/>
  <c r="C17" i="26"/>
  <c r="B17" i="26"/>
  <c r="AH16" i="26"/>
  <c r="AG16" i="26"/>
  <c r="AF16" i="26"/>
  <c r="AC16" i="26"/>
  <c r="AB16" i="26"/>
  <c r="AA16" i="26"/>
  <c r="X16" i="26"/>
  <c r="W16" i="26"/>
  <c r="V16" i="26"/>
  <c r="S16" i="26"/>
  <c r="R16" i="26"/>
  <c r="Q16" i="26"/>
  <c r="N16" i="26"/>
  <c r="M16" i="26"/>
  <c r="L16" i="26"/>
  <c r="I16" i="26"/>
  <c r="H16" i="26"/>
  <c r="G16" i="26"/>
  <c r="D16" i="26"/>
  <c r="C16" i="26"/>
  <c r="B16" i="26"/>
  <c r="AH15" i="26"/>
  <c r="AG15" i="26"/>
  <c r="AF15" i="26"/>
  <c r="AC15" i="26"/>
  <c r="AB15" i="26"/>
  <c r="AA15" i="26"/>
  <c r="X15" i="26"/>
  <c r="W15" i="26"/>
  <c r="V15" i="26"/>
  <c r="S15" i="26"/>
  <c r="R15" i="26"/>
  <c r="Q15" i="26"/>
  <c r="N15" i="26"/>
  <c r="M15" i="26"/>
  <c r="L15" i="26"/>
  <c r="I15" i="26"/>
  <c r="H15" i="26"/>
  <c r="G15" i="26"/>
  <c r="D15" i="26"/>
  <c r="C15" i="26"/>
  <c r="B15" i="26"/>
  <c r="AH14" i="26"/>
  <c r="AG14" i="26"/>
  <c r="AF14" i="26"/>
  <c r="AC14" i="26"/>
  <c r="AB14" i="26"/>
  <c r="AA14" i="26"/>
  <c r="X14" i="26"/>
  <c r="W14" i="26"/>
  <c r="V14" i="26"/>
  <c r="S14" i="26"/>
  <c r="R14" i="26"/>
  <c r="Q14" i="26"/>
  <c r="N14" i="26"/>
  <c r="M14" i="26"/>
  <c r="L14" i="26"/>
  <c r="I14" i="26"/>
  <c r="H14" i="26"/>
  <c r="G14" i="26"/>
  <c r="D14" i="26"/>
  <c r="C14" i="26"/>
  <c r="B14" i="26"/>
  <c r="AH13" i="26"/>
  <c r="AG13" i="26"/>
  <c r="AF13" i="26"/>
  <c r="AC13" i="26"/>
  <c r="AB13" i="26"/>
  <c r="AA13" i="26"/>
  <c r="X13" i="26"/>
  <c r="W13" i="26"/>
  <c r="V13" i="26"/>
  <c r="S13" i="26"/>
  <c r="R13" i="26"/>
  <c r="Q13" i="26"/>
  <c r="N13" i="26"/>
  <c r="M13" i="26"/>
  <c r="L13" i="26"/>
  <c r="I13" i="26"/>
  <c r="H13" i="26"/>
  <c r="G13" i="26"/>
  <c r="D13" i="26"/>
  <c r="C13" i="26"/>
  <c r="B13" i="26"/>
  <c r="AH12" i="26"/>
  <c r="AG12" i="26"/>
  <c r="AF12" i="26"/>
  <c r="AC12" i="26"/>
  <c r="AB12" i="26"/>
  <c r="AA12" i="26"/>
  <c r="X12" i="26"/>
  <c r="W12" i="26"/>
  <c r="V12" i="26"/>
  <c r="S12" i="26"/>
  <c r="R12" i="26"/>
  <c r="Q12" i="26"/>
  <c r="N12" i="26"/>
  <c r="M12" i="26"/>
  <c r="L12" i="26"/>
  <c r="I12" i="26"/>
  <c r="H12" i="26"/>
  <c r="G12" i="26"/>
  <c r="D12" i="26"/>
  <c r="C12" i="26"/>
  <c r="B12" i="26"/>
  <c r="AH11" i="26"/>
  <c r="AG11" i="26"/>
  <c r="AF11" i="26"/>
  <c r="AC11" i="26"/>
  <c r="AB11" i="26"/>
  <c r="AA11" i="26"/>
  <c r="X11" i="26"/>
  <c r="W11" i="26"/>
  <c r="V11" i="26"/>
  <c r="S11" i="26"/>
  <c r="R11" i="26"/>
  <c r="Q11" i="26"/>
  <c r="N11" i="26"/>
  <c r="M11" i="26"/>
  <c r="L11" i="26"/>
  <c r="I11" i="26"/>
  <c r="H11" i="26"/>
  <c r="G11" i="26"/>
  <c r="D11" i="26"/>
  <c r="C11" i="26"/>
  <c r="B11" i="26"/>
  <c r="AH10" i="26"/>
  <c r="AG10" i="26"/>
  <c r="AF10" i="26"/>
  <c r="AC10" i="26"/>
  <c r="AB10" i="26"/>
  <c r="AA10" i="26"/>
  <c r="X10" i="26"/>
  <c r="W10" i="26"/>
  <c r="V10" i="26"/>
  <c r="S10" i="26"/>
  <c r="R10" i="26"/>
  <c r="Q10" i="26"/>
  <c r="N10" i="26"/>
  <c r="M10" i="26"/>
  <c r="L10" i="26"/>
  <c r="I10" i="26"/>
  <c r="H10" i="26"/>
  <c r="G10" i="26"/>
  <c r="D10" i="26"/>
  <c r="C10" i="26"/>
  <c r="B10" i="26"/>
  <c r="AH9" i="26"/>
  <c r="AG9" i="26"/>
  <c r="AF9" i="26"/>
  <c r="AC9" i="26"/>
  <c r="AB9" i="26"/>
  <c r="AA9" i="26"/>
  <c r="X9" i="26"/>
  <c r="W9" i="26"/>
  <c r="V9" i="26"/>
  <c r="S9" i="26"/>
  <c r="R9" i="26"/>
  <c r="Q9" i="26"/>
  <c r="N9" i="26"/>
  <c r="M9" i="26"/>
  <c r="L9" i="26"/>
  <c r="I9" i="26"/>
  <c r="H9" i="26"/>
  <c r="G9" i="26"/>
  <c r="D9" i="26"/>
  <c r="C9" i="26"/>
  <c r="B9" i="26"/>
  <c r="AH8" i="26"/>
  <c r="AG8" i="26"/>
  <c r="AF8" i="26"/>
  <c r="AC8" i="26"/>
  <c r="AB8" i="26"/>
  <c r="AA8" i="26"/>
  <c r="X8" i="26"/>
  <c r="W8" i="26"/>
  <c r="V8" i="26"/>
  <c r="S8" i="26"/>
  <c r="R8" i="26"/>
  <c r="Q8" i="26"/>
  <c r="N8" i="26"/>
  <c r="M8" i="26"/>
  <c r="L8" i="26"/>
  <c r="I8" i="26"/>
  <c r="H8" i="26"/>
  <c r="G8" i="26"/>
  <c r="D8" i="26"/>
  <c r="C8" i="26"/>
  <c r="B8" i="26"/>
  <c r="AH7" i="26"/>
  <c r="AG7" i="26"/>
  <c r="AF7" i="26"/>
  <c r="AC7" i="26"/>
  <c r="AB7" i="26"/>
  <c r="AA7" i="26"/>
  <c r="X7" i="26"/>
  <c r="W7" i="26"/>
  <c r="V7" i="26"/>
  <c r="S7" i="26"/>
  <c r="R7" i="26"/>
  <c r="Q7" i="26"/>
  <c r="N7" i="26"/>
  <c r="M7" i="26"/>
  <c r="L7" i="26"/>
  <c r="I7" i="26"/>
  <c r="H7" i="26"/>
  <c r="G7" i="26"/>
  <c r="D7" i="26"/>
  <c r="C7" i="26"/>
  <c r="B7" i="26"/>
  <c r="AH6" i="26"/>
  <c r="AG6" i="26"/>
  <c r="AF6" i="26"/>
  <c r="AC6" i="26"/>
  <c r="AB6" i="26"/>
  <c r="AA6" i="26"/>
  <c r="X6" i="26"/>
  <c r="W6" i="26"/>
  <c r="V6" i="26"/>
  <c r="S6" i="26"/>
  <c r="R6" i="26"/>
  <c r="Q6" i="26"/>
  <c r="N6" i="26"/>
  <c r="M6" i="26"/>
  <c r="L6" i="26"/>
  <c r="I6" i="26"/>
  <c r="H6" i="26"/>
  <c r="G6" i="26"/>
  <c r="D6" i="26"/>
  <c r="C6" i="26"/>
  <c r="B6" i="26"/>
  <c r="AH17" i="25"/>
  <c r="AG17" i="25"/>
  <c r="AF17" i="25"/>
  <c r="AC17" i="25"/>
  <c r="AB17" i="25"/>
  <c r="AA17" i="25"/>
  <c r="X17" i="25"/>
  <c r="W17" i="25"/>
  <c r="V17" i="25"/>
  <c r="S17" i="25"/>
  <c r="R17" i="25"/>
  <c r="Q17" i="25"/>
  <c r="N17" i="25"/>
  <c r="M17" i="25"/>
  <c r="L17" i="25"/>
  <c r="I17" i="25"/>
  <c r="H17" i="25"/>
  <c r="G17" i="25"/>
  <c r="D17" i="25"/>
  <c r="C17" i="25"/>
  <c r="B17" i="25"/>
  <c r="AH16" i="25"/>
  <c r="AG16" i="25"/>
  <c r="AF16" i="25"/>
  <c r="AC16" i="25"/>
  <c r="AB16" i="25"/>
  <c r="AA16" i="25"/>
  <c r="X16" i="25"/>
  <c r="W16" i="25"/>
  <c r="V16" i="25"/>
  <c r="S16" i="25"/>
  <c r="R16" i="25"/>
  <c r="Q16" i="25"/>
  <c r="N16" i="25"/>
  <c r="M16" i="25"/>
  <c r="L16" i="25"/>
  <c r="I16" i="25"/>
  <c r="H16" i="25"/>
  <c r="G16" i="25"/>
  <c r="D16" i="25"/>
  <c r="C16" i="25"/>
  <c r="B16" i="25"/>
  <c r="AH15" i="25"/>
  <c r="AG15" i="25"/>
  <c r="AF15" i="25"/>
  <c r="AC15" i="25"/>
  <c r="AB15" i="25"/>
  <c r="AA15" i="25"/>
  <c r="X15" i="25"/>
  <c r="W15" i="25"/>
  <c r="V15" i="25"/>
  <c r="S15" i="25"/>
  <c r="R15" i="25"/>
  <c r="Q15" i="25"/>
  <c r="N15" i="25"/>
  <c r="M15" i="25"/>
  <c r="L15" i="25"/>
  <c r="I15" i="25"/>
  <c r="H15" i="25"/>
  <c r="G15" i="25"/>
  <c r="D15" i="25"/>
  <c r="C15" i="25"/>
  <c r="B15" i="25"/>
  <c r="AH14" i="25"/>
  <c r="AG14" i="25"/>
  <c r="AF14" i="25"/>
  <c r="AC14" i="25"/>
  <c r="AB14" i="25"/>
  <c r="AA14" i="25"/>
  <c r="X14" i="25"/>
  <c r="W14" i="25"/>
  <c r="V14" i="25"/>
  <c r="S14" i="25"/>
  <c r="R14" i="25"/>
  <c r="Q14" i="25"/>
  <c r="N14" i="25"/>
  <c r="M14" i="25"/>
  <c r="L14" i="25"/>
  <c r="I14" i="25"/>
  <c r="H14" i="25"/>
  <c r="G14" i="25"/>
  <c r="D14" i="25"/>
  <c r="C14" i="25"/>
  <c r="B14" i="25"/>
  <c r="AH13" i="25"/>
  <c r="AG13" i="25"/>
  <c r="AF13" i="25"/>
  <c r="AC13" i="25"/>
  <c r="AB13" i="25"/>
  <c r="AA13" i="25"/>
  <c r="X13" i="25"/>
  <c r="W13" i="25"/>
  <c r="V13" i="25"/>
  <c r="S13" i="25"/>
  <c r="R13" i="25"/>
  <c r="Q13" i="25"/>
  <c r="N13" i="25"/>
  <c r="M13" i="25"/>
  <c r="L13" i="25"/>
  <c r="I13" i="25"/>
  <c r="H13" i="25"/>
  <c r="G13" i="25"/>
  <c r="D13" i="25"/>
  <c r="C13" i="25"/>
  <c r="B13" i="25"/>
  <c r="AH12" i="25"/>
  <c r="AG12" i="25"/>
  <c r="AF12" i="25"/>
  <c r="AC12" i="25"/>
  <c r="AB12" i="25"/>
  <c r="AA12" i="25"/>
  <c r="X12" i="25"/>
  <c r="W12" i="25"/>
  <c r="V12" i="25"/>
  <c r="S12" i="25"/>
  <c r="R12" i="25"/>
  <c r="Q12" i="25"/>
  <c r="N12" i="25"/>
  <c r="M12" i="25"/>
  <c r="L12" i="25"/>
  <c r="I12" i="25"/>
  <c r="H12" i="25"/>
  <c r="G12" i="25"/>
  <c r="D12" i="25"/>
  <c r="C12" i="25"/>
  <c r="B12" i="25"/>
  <c r="AH11" i="25"/>
  <c r="AG11" i="25"/>
  <c r="AF11" i="25"/>
  <c r="AC11" i="25"/>
  <c r="AB11" i="25"/>
  <c r="AA11" i="25"/>
  <c r="X11" i="25"/>
  <c r="W11" i="25"/>
  <c r="V11" i="25"/>
  <c r="S11" i="25"/>
  <c r="R11" i="25"/>
  <c r="Q11" i="25"/>
  <c r="N11" i="25"/>
  <c r="M11" i="25"/>
  <c r="L11" i="25"/>
  <c r="I11" i="25"/>
  <c r="H11" i="25"/>
  <c r="G11" i="25"/>
  <c r="D11" i="25"/>
  <c r="C11" i="25"/>
  <c r="B11" i="25"/>
  <c r="AH10" i="25"/>
  <c r="AG10" i="25"/>
  <c r="AF10" i="25"/>
  <c r="AC10" i="25"/>
  <c r="AB10" i="25"/>
  <c r="AA10" i="25"/>
  <c r="X10" i="25"/>
  <c r="W10" i="25"/>
  <c r="V10" i="25"/>
  <c r="S10" i="25"/>
  <c r="R10" i="25"/>
  <c r="Q10" i="25"/>
  <c r="N10" i="25"/>
  <c r="M10" i="25"/>
  <c r="L10" i="25"/>
  <c r="I10" i="25"/>
  <c r="H10" i="25"/>
  <c r="G10" i="25"/>
  <c r="D10" i="25"/>
  <c r="C10" i="25"/>
  <c r="B10" i="25"/>
  <c r="AH9" i="25"/>
  <c r="AG9" i="25"/>
  <c r="AF9" i="25"/>
  <c r="AC9" i="25"/>
  <c r="AB9" i="25"/>
  <c r="AA9" i="25"/>
  <c r="X9" i="25"/>
  <c r="W9" i="25"/>
  <c r="V9" i="25"/>
  <c r="S9" i="25"/>
  <c r="R9" i="25"/>
  <c r="Q9" i="25"/>
  <c r="N9" i="25"/>
  <c r="M9" i="25"/>
  <c r="L9" i="25"/>
  <c r="I9" i="25"/>
  <c r="H9" i="25"/>
  <c r="G9" i="25"/>
  <c r="D9" i="25"/>
  <c r="C9" i="25"/>
  <c r="B9" i="25"/>
  <c r="AH8" i="25"/>
  <c r="AG8" i="25"/>
  <c r="AF8" i="25"/>
  <c r="AC8" i="25"/>
  <c r="AB8" i="25"/>
  <c r="AA8" i="25"/>
  <c r="X8" i="25"/>
  <c r="W8" i="25"/>
  <c r="V8" i="25"/>
  <c r="S8" i="25"/>
  <c r="R8" i="25"/>
  <c r="Q8" i="25"/>
  <c r="N8" i="25"/>
  <c r="M8" i="25"/>
  <c r="L8" i="25"/>
  <c r="I8" i="25"/>
  <c r="H8" i="25"/>
  <c r="G8" i="25"/>
  <c r="D8" i="25"/>
  <c r="C8" i="25"/>
  <c r="B8" i="25"/>
  <c r="AH7" i="25"/>
  <c r="AG7" i="25"/>
  <c r="AF7" i="25"/>
  <c r="AC7" i="25"/>
  <c r="AB7" i="25"/>
  <c r="AA7" i="25"/>
  <c r="X7" i="25"/>
  <c r="W7" i="25"/>
  <c r="V7" i="25"/>
  <c r="S7" i="25"/>
  <c r="R7" i="25"/>
  <c r="Q7" i="25"/>
  <c r="N7" i="25"/>
  <c r="M7" i="25"/>
  <c r="L7" i="25"/>
  <c r="I7" i="25"/>
  <c r="H7" i="25"/>
  <c r="G7" i="25"/>
  <c r="D7" i="25"/>
  <c r="C7" i="25"/>
  <c r="B7" i="25"/>
  <c r="AH6" i="25"/>
  <c r="AG6" i="25"/>
  <c r="AF6" i="25"/>
  <c r="AC6" i="25"/>
  <c r="AB6" i="25"/>
  <c r="AA6" i="25"/>
  <c r="X6" i="25"/>
  <c r="W6" i="25"/>
  <c r="V6" i="25"/>
  <c r="S6" i="25"/>
  <c r="R6" i="25"/>
  <c r="Q6" i="25"/>
  <c r="N6" i="25"/>
  <c r="M6" i="25"/>
  <c r="L6" i="25"/>
  <c r="I6" i="25"/>
  <c r="H6" i="25"/>
  <c r="G6" i="25"/>
  <c r="D6" i="25"/>
  <c r="C6" i="25"/>
  <c r="B6" i="25"/>
  <c r="AH17" i="24"/>
  <c r="AG17" i="24"/>
  <c r="AF17" i="24"/>
  <c r="AC17" i="24"/>
  <c r="AB17" i="24"/>
  <c r="AA17" i="24"/>
  <c r="X17" i="24"/>
  <c r="W17" i="24"/>
  <c r="V17" i="24"/>
  <c r="S17" i="24"/>
  <c r="R17" i="24"/>
  <c r="Q17" i="24"/>
  <c r="N17" i="24"/>
  <c r="M17" i="24"/>
  <c r="L17" i="24"/>
  <c r="I17" i="24"/>
  <c r="H17" i="24"/>
  <c r="G17" i="24"/>
  <c r="D17" i="24"/>
  <c r="C17" i="24"/>
  <c r="B17" i="24"/>
  <c r="AH16" i="24"/>
  <c r="AG16" i="24"/>
  <c r="AF16" i="24"/>
  <c r="AC16" i="24"/>
  <c r="AB16" i="24"/>
  <c r="AA16" i="24"/>
  <c r="X16" i="24"/>
  <c r="W16" i="24"/>
  <c r="V16" i="24"/>
  <c r="S16" i="24"/>
  <c r="R16" i="24"/>
  <c r="Q16" i="24"/>
  <c r="N16" i="24"/>
  <c r="M16" i="24"/>
  <c r="L16" i="24"/>
  <c r="I16" i="24"/>
  <c r="H16" i="24"/>
  <c r="G16" i="24"/>
  <c r="D16" i="24"/>
  <c r="C16" i="24"/>
  <c r="B16" i="24"/>
  <c r="AH15" i="24"/>
  <c r="AG15" i="24"/>
  <c r="AF15" i="24"/>
  <c r="AC15" i="24"/>
  <c r="AB15" i="24"/>
  <c r="AA15" i="24"/>
  <c r="X15" i="24"/>
  <c r="W15" i="24"/>
  <c r="V15" i="24"/>
  <c r="S15" i="24"/>
  <c r="R15" i="24"/>
  <c r="Q15" i="24"/>
  <c r="N15" i="24"/>
  <c r="M15" i="24"/>
  <c r="L15" i="24"/>
  <c r="I15" i="24"/>
  <c r="H15" i="24"/>
  <c r="G15" i="24"/>
  <c r="D15" i="24"/>
  <c r="C15" i="24"/>
  <c r="B15" i="24"/>
  <c r="AH14" i="24"/>
  <c r="AG14" i="24"/>
  <c r="AF14" i="24"/>
  <c r="AC14" i="24"/>
  <c r="AB14" i="24"/>
  <c r="AA14" i="24"/>
  <c r="X14" i="24"/>
  <c r="W14" i="24"/>
  <c r="V14" i="24"/>
  <c r="S14" i="24"/>
  <c r="R14" i="24"/>
  <c r="Q14" i="24"/>
  <c r="N14" i="24"/>
  <c r="M14" i="24"/>
  <c r="L14" i="24"/>
  <c r="I14" i="24"/>
  <c r="H14" i="24"/>
  <c r="G14" i="24"/>
  <c r="D14" i="24"/>
  <c r="C14" i="24"/>
  <c r="B14" i="24"/>
  <c r="AH13" i="24"/>
  <c r="AG13" i="24"/>
  <c r="AF13" i="24"/>
  <c r="AC13" i="24"/>
  <c r="AB13" i="24"/>
  <c r="AA13" i="24"/>
  <c r="X13" i="24"/>
  <c r="W13" i="24"/>
  <c r="V13" i="24"/>
  <c r="S13" i="24"/>
  <c r="R13" i="24"/>
  <c r="Q13" i="24"/>
  <c r="N13" i="24"/>
  <c r="M13" i="24"/>
  <c r="L13" i="24"/>
  <c r="I13" i="24"/>
  <c r="H13" i="24"/>
  <c r="G13" i="24"/>
  <c r="D13" i="24"/>
  <c r="C13" i="24"/>
  <c r="B13" i="24"/>
  <c r="AH12" i="24"/>
  <c r="AG12" i="24"/>
  <c r="AF12" i="24"/>
  <c r="AC12" i="24"/>
  <c r="AB12" i="24"/>
  <c r="AA12" i="24"/>
  <c r="X12" i="24"/>
  <c r="W12" i="24"/>
  <c r="V12" i="24"/>
  <c r="S12" i="24"/>
  <c r="R12" i="24"/>
  <c r="Q12" i="24"/>
  <c r="N12" i="24"/>
  <c r="M12" i="24"/>
  <c r="L12" i="24"/>
  <c r="I12" i="24"/>
  <c r="H12" i="24"/>
  <c r="G12" i="24"/>
  <c r="D12" i="24"/>
  <c r="C12" i="24"/>
  <c r="B12" i="24"/>
  <c r="AH11" i="24"/>
  <c r="AG11" i="24"/>
  <c r="AF11" i="24"/>
  <c r="AC11" i="24"/>
  <c r="AB11" i="24"/>
  <c r="AA11" i="24"/>
  <c r="X11" i="24"/>
  <c r="W11" i="24"/>
  <c r="V11" i="24"/>
  <c r="S11" i="24"/>
  <c r="R11" i="24"/>
  <c r="Q11" i="24"/>
  <c r="N11" i="24"/>
  <c r="M11" i="24"/>
  <c r="L11" i="24"/>
  <c r="I11" i="24"/>
  <c r="H11" i="24"/>
  <c r="G11" i="24"/>
  <c r="D11" i="24"/>
  <c r="C11" i="24"/>
  <c r="B11" i="24"/>
  <c r="AH10" i="24"/>
  <c r="AG10" i="24"/>
  <c r="AF10" i="24"/>
  <c r="AC10" i="24"/>
  <c r="AB10" i="24"/>
  <c r="AA10" i="24"/>
  <c r="X10" i="24"/>
  <c r="W10" i="24"/>
  <c r="V10" i="24"/>
  <c r="S10" i="24"/>
  <c r="R10" i="24"/>
  <c r="Q10" i="24"/>
  <c r="N10" i="24"/>
  <c r="M10" i="24"/>
  <c r="L10" i="24"/>
  <c r="I10" i="24"/>
  <c r="H10" i="24"/>
  <c r="G10" i="24"/>
  <c r="D10" i="24"/>
  <c r="C10" i="24"/>
  <c r="B10" i="24"/>
  <c r="AH9" i="24"/>
  <c r="AG9" i="24"/>
  <c r="AF9" i="24"/>
  <c r="AC9" i="24"/>
  <c r="AB9" i="24"/>
  <c r="AA9" i="24"/>
  <c r="X9" i="24"/>
  <c r="W9" i="24"/>
  <c r="V9" i="24"/>
  <c r="S9" i="24"/>
  <c r="R9" i="24"/>
  <c r="Q9" i="24"/>
  <c r="N9" i="24"/>
  <c r="M9" i="24"/>
  <c r="L9" i="24"/>
  <c r="I9" i="24"/>
  <c r="H9" i="24"/>
  <c r="G9" i="24"/>
  <c r="D9" i="24"/>
  <c r="C9" i="24"/>
  <c r="B9" i="24"/>
  <c r="AH8" i="24"/>
  <c r="AG8" i="24"/>
  <c r="AF8" i="24"/>
  <c r="AC8" i="24"/>
  <c r="AB8" i="24"/>
  <c r="AA8" i="24"/>
  <c r="X8" i="24"/>
  <c r="W8" i="24"/>
  <c r="V8" i="24"/>
  <c r="S8" i="24"/>
  <c r="R8" i="24"/>
  <c r="Q8" i="24"/>
  <c r="N8" i="24"/>
  <c r="M8" i="24"/>
  <c r="L8" i="24"/>
  <c r="I8" i="24"/>
  <c r="H8" i="24"/>
  <c r="G8" i="24"/>
  <c r="D8" i="24"/>
  <c r="C8" i="24"/>
  <c r="B8" i="24"/>
  <c r="AH7" i="24"/>
  <c r="AG7" i="24"/>
  <c r="AF7" i="24"/>
  <c r="AC7" i="24"/>
  <c r="AB7" i="24"/>
  <c r="AA7" i="24"/>
  <c r="X7" i="24"/>
  <c r="W7" i="24"/>
  <c r="V7" i="24"/>
  <c r="S7" i="24"/>
  <c r="R7" i="24"/>
  <c r="Q7" i="24"/>
  <c r="N7" i="24"/>
  <c r="M7" i="24"/>
  <c r="L7" i="24"/>
  <c r="I7" i="24"/>
  <c r="H7" i="24"/>
  <c r="G7" i="24"/>
  <c r="D7" i="24"/>
  <c r="C7" i="24"/>
  <c r="B7" i="24"/>
  <c r="AH6" i="24"/>
  <c r="AG6" i="24"/>
  <c r="AF6" i="24"/>
  <c r="AC6" i="24"/>
  <c r="AB6" i="24"/>
  <c r="AA6" i="24"/>
  <c r="X6" i="24"/>
  <c r="W6" i="24"/>
  <c r="V6" i="24"/>
  <c r="S6" i="24"/>
  <c r="R6" i="24"/>
  <c r="Q6" i="24"/>
  <c r="N6" i="24"/>
  <c r="M6" i="24"/>
  <c r="L6" i="24"/>
  <c r="I6" i="24"/>
  <c r="H6" i="24"/>
  <c r="G6" i="24"/>
  <c r="D6" i="24"/>
  <c r="C6" i="24"/>
  <c r="B6" i="24"/>
  <c r="AH17" i="23"/>
  <c r="AG17" i="23"/>
  <c r="AF17" i="23"/>
  <c r="AC17" i="23"/>
  <c r="AB17" i="23"/>
  <c r="AA17" i="23"/>
  <c r="X17" i="23"/>
  <c r="W17" i="23"/>
  <c r="V17" i="23"/>
  <c r="S17" i="23"/>
  <c r="R17" i="23"/>
  <c r="Q17" i="23"/>
  <c r="N17" i="23"/>
  <c r="M17" i="23"/>
  <c r="L17" i="23"/>
  <c r="I17" i="23"/>
  <c r="H17" i="23"/>
  <c r="G17" i="23"/>
  <c r="D17" i="23"/>
  <c r="C17" i="23"/>
  <c r="B17" i="23"/>
  <c r="AH16" i="23"/>
  <c r="AG16" i="23"/>
  <c r="AF16" i="23"/>
  <c r="AC16" i="23"/>
  <c r="AB16" i="23"/>
  <c r="AA16" i="23"/>
  <c r="X16" i="23"/>
  <c r="W16" i="23"/>
  <c r="V16" i="23"/>
  <c r="S16" i="23"/>
  <c r="R16" i="23"/>
  <c r="Q16" i="23"/>
  <c r="N16" i="23"/>
  <c r="M16" i="23"/>
  <c r="L16" i="23"/>
  <c r="I16" i="23"/>
  <c r="H16" i="23"/>
  <c r="G16" i="23"/>
  <c r="D16" i="23"/>
  <c r="C16" i="23"/>
  <c r="B16" i="23"/>
  <c r="AH15" i="23"/>
  <c r="AG15" i="23"/>
  <c r="AF15" i="23"/>
  <c r="AC15" i="23"/>
  <c r="AB15" i="23"/>
  <c r="AA15" i="23"/>
  <c r="X15" i="23"/>
  <c r="W15" i="23"/>
  <c r="V15" i="23"/>
  <c r="S15" i="23"/>
  <c r="R15" i="23"/>
  <c r="Q15" i="23"/>
  <c r="N15" i="23"/>
  <c r="M15" i="23"/>
  <c r="L15" i="23"/>
  <c r="I15" i="23"/>
  <c r="H15" i="23"/>
  <c r="G15" i="23"/>
  <c r="D15" i="23"/>
  <c r="C15" i="23"/>
  <c r="B15" i="23"/>
  <c r="AH14" i="23"/>
  <c r="AG14" i="23"/>
  <c r="AF14" i="23"/>
  <c r="AC14" i="23"/>
  <c r="AB14" i="23"/>
  <c r="AA14" i="23"/>
  <c r="X14" i="23"/>
  <c r="W14" i="23"/>
  <c r="V14" i="23"/>
  <c r="S14" i="23"/>
  <c r="R14" i="23"/>
  <c r="Q14" i="23"/>
  <c r="N14" i="23"/>
  <c r="M14" i="23"/>
  <c r="L14" i="23"/>
  <c r="I14" i="23"/>
  <c r="H14" i="23"/>
  <c r="G14" i="23"/>
  <c r="D14" i="23"/>
  <c r="C14" i="23"/>
  <c r="B14" i="23"/>
  <c r="AH13" i="23"/>
  <c r="AG13" i="23"/>
  <c r="AF13" i="23"/>
  <c r="AC13" i="23"/>
  <c r="AB13" i="23"/>
  <c r="AA13" i="23"/>
  <c r="X13" i="23"/>
  <c r="W13" i="23"/>
  <c r="V13" i="23"/>
  <c r="S13" i="23"/>
  <c r="R13" i="23"/>
  <c r="Q13" i="23"/>
  <c r="N13" i="23"/>
  <c r="M13" i="23"/>
  <c r="L13" i="23"/>
  <c r="I13" i="23"/>
  <c r="H13" i="23"/>
  <c r="G13" i="23"/>
  <c r="D13" i="23"/>
  <c r="C13" i="23"/>
  <c r="B13" i="23"/>
  <c r="AH12" i="23"/>
  <c r="AG12" i="23"/>
  <c r="AF12" i="23"/>
  <c r="AC12" i="23"/>
  <c r="AB12" i="23"/>
  <c r="AA12" i="23"/>
  <c r="X12" i="23"/>
  <c r="W12" i="23"/>
  <c r="V12" i="23"/>
  <c r="S12" i="23"/>
  <c r="R12" i="23"/>
  <c r="Q12" i="23"/>
  <c r="N12" i="23"/>
  <c r="M12" i="23"/>
  <c r="L12" i="23"/>
  <c r="I12" i="23"/>
  <c r="H12" i="23"/>
  <c r="G12" i="23"/>
  <c r="D12" i="23"/>
  <c r="C12" i="23"/>
  <c r="B12" i="23"/>
  <c r="AH11" i="23"/>
  <c r="AG11" i="23"/>
  <c r="AF11" i="23"/>
  <c r="AC11" i="23"/>
  <c r="AB11" i="23"/>
  <c r="AA11" i="23"/>
  <c r="X11" i="23"/>
  <c r="W11" i="23"/>
  <c r="V11" i="23"/>
  <c r="S11" i="23"/>
  <c r="R11" i="23"/>
  <c r="Q11" i="23"/>
  <c r="N11" i="23"/>
  <c r="M11" i="23"/>
  <c r="L11" i="23"/>
  <c r="I11" i="23"/>
  <c r="H11" i="23"/>
  <c r="G11" i="23"/>
  <c r="D11" i="23"/>
  <c r="C11" i="23"/>
  <c r="B11" i="23"/>
  <c r="AH10" i="23"/>
  <c r="AG10" i="23"/>
  <c r="AF10" i="23"/>
  <c r="AC10" i="23"/>
  <c r="AB10" i="23"/>
  <c r="AA10" i="23"/>
  <c r="X10" i="23"/>
  <c r="W10" i="23"/>
  <c r="V10" i="23"/>
  <c r="S10" i="23"/>
  <c r="R10" i="23"/>
  <c r="Q10" i="23"/>
  <c r="N10" i="23"/>
  <c r="M10" i="23"/>
  <c r="L10" i="23"/>
  <c r="I10" i="23"/>
  <c r="H10" i="23"/>
  <c r="G10" i="23"/>
  <c r="D10" i="23"/>
  <c r="C10" i="23"/>
  <c r="B10" i="23"/>
  <c r="AH9" i="23"/>
  <c r="AG9" i="23"/>
  <c r="AF9" i="23"/>
  <c r="AC9" i="23"/>
  <c r="AB9" i="23"/>
  <c r="AA9" i="23"/>
  <c r="X9" i="23"/>
  <c r="W9" i="23"/>
  <c r="V9" i="23"/>
  <c r="S9" i="23"/>
  <c r="R9" i="23"/>
  <c r="Q9" i="23"/>
  <c r="N9" i="23"/>
  <c r="M9" i="23"/>
  <c r="L9" i="23"/>
  <c r="I9" i="23"/>
  <c r="H9" i="23"/>
  <c r="G9" i="23"/>
  <c r="D9" i="23"/>
  <c r="C9" i="23"/>
  <c r="B9" i="23"/>
  <c r="AH8" i="23"/>
  <c r="AG8" i="23"/>
  <c r="AF8" i="23"/>
  <c r="AC8" i="23"/>
  <c r="AB8" i="23"/>
  <c r="AA8" i="23"/>
  <c r="X8" i="23"/>
  <c r="W8" i="23"/>
  <c r="V8" i="23"/>
  <c r="S8" i="23"/>
  <c r="R8" i="23"/>
  <c r="Q8" i="23"/>
  <c r="N8" i="23"/>
  <c r="M8" i="23"/>
  <c r="L8" i="23"/>
  <c r="I8" i="23"/>
  <c r="H8" i="23"/>
  <c r="G8" i="23"/>
  <c r="D8" i="23"/>
  <c r="C8" i="23"/>
  <c r="B8" i="23"/>
  <c r="AH7" i="23"/>
  <c r="AG7" i="23"/>
  <c r="AF7" i="23"/>
  <c r="AC7" i="23"/>
  <c r="AB7" i="23"/>
  <c r="AA7" i="23"/>
  <c r="X7" i="23"/>
  <c r="W7" i="23"/>
  <c r="V7" i="23"/>
  <c r="S7" i="23"/>
  <c r="R7" i="23"/>
  <c r="Q7" i="23"/>
  <c r="N7" i="23"/>
  <c r="M7" i="23"/>
  <c r="L7" i="23"/>
  <c r="I7" i="23"/>
  <c r="H7" i="23"/>
  <c r="G7" i="23"/>
  <c r="D7" i="23"/>
  <c r="C7" i="23"/>
  <c r="B7" i="23"/>
  <c r="AH6" i="23"/>
  <c r="AG6" i="23"/>
  <c r="AF6" i="23"/>
  <c r="AC6" i="23"/>
  <c r="AB6" i="23"/>
  <c r="AA6" i="23"/>
  <c r="X6" i="23"/>
  <c r="W6" i="23"/>
  <c r="V6" i="23"/>
  <c r="S6" i="23"/>
  <c r="R6" i="23"/>
  <c r="Q6" i="23"/>
  <c r="N6" i="23"/>
  <c r="M6" i="23"/>
  <c r="L6" i="23"/>
  <c r="I6" i="23"/>
  <c r="H6" i="23"/>
  <c r="G6" i="23"/>
  <c r="D6" i="23"/>
  <c r="C6" i="23"/>
  <c r="B6" i="23"/>
  <c r="AH17" i="22"/>
  <c r="AG17" i="22"/>
  <c r="AF17" i="22"/>
  <c r="AC17" i="22"/>
  <c r="AB17" i="22"/>
  <c r="AA17" i="22"/>
  <c r="X17" i="22"/>
  <c r="W17" i="22"/>
  <c r="V17" i="22"/>
  <c r="S17" i="22"/>
  <c r="R17" i="22"/>
  <c r="Q17" i="22"/>
  <c r="N17" i="22"/>
  <c r="M17" i="22"/>
  <c r="L17" i="22"/>
  <c r="I17" i="22"/>
  <c r="H17" i="22"/>
  <c r="G17" i="22"/>
  <c r="D17" i="22"/>
  <c r="C17" i="22"/>
  <c r="B17" i="22"/>
  <c r="AH16" i="22"/>
  <c r="AG16" i="22"/>
  <c r="AF16" i="22"/>
  <c r="AC16" i="22"/>
  <c r="AB16" i="22"/>
  <c r="AA16" i="22"/>
  <c r="X16" i="22"/>
  <c r="W16" i="22"/>
  <c r="V16" i="22"/>
  <c r="S16" i="22"/>
  <c r="R16" i="22"/>
  <c r="Q16" i="22"/>
  <c r="N16" i="22"/>
  <c r="M16" i="22"/>
  <c r="L16" i="22"/>
  <c r="I16" i="22"/>
  <c r="H16" i="22"/>
  <c r="G16" i="22"/>
  <c r="D16" i="22"/>
  <c r="C16" i="22"/>
  <c r="B16" i="22"/>
  <c r="AH15" i="22"/>
  <c r="AG15" i="22"/>
  <c r="AF15" i="22"/>
  <c r="AC15" i="22"/>
  <c r="AB15" i="22"/>
  <c r="AA15" i="22"/>
  <c r="X15" i="22"/>
  <c r="W15" i="22"/>
  <c r="V15" i="22"/>
  <c r="S15" i="22"/>
  <c r="R15" i="22"/>
  <c r="Q15" i="22"/>
  <c r="N15" i="22"/>
  <c r="M15" i="22"/>
  <c r="L15" i="22"/>
  <c r="I15" i="22"/>
  <c r="H15" i="22"/>
  <c r="G15" i="22"/>
  <c r="D15" i="22"/>
  <c r="C15" i="22"/>
  <c r="B15" i="22"/>
  <c r="AH14" i="22"/>
  <c r="AG14" i="22"/>
  <c r="AF14" i="22"/>
  <c r="AC14" i="22"/>
  <c r="AB14" i="22"/>
  <c r="AA14" i="22"/>
  <c r="X14" i="22"/>
  <c r="W14" i="22"/>
  <c r="V14" i="22"/>
  <c r="S14" i="22"/>
  <c r="R14" i="22"/>
  <c r="Q14" i="22"/>
  <c r="N14" i="22"/>
  <c r="M14" i="22"/>
  <c r="L14" i="22"/>
  <c r="I14" i="22"/>
  <c r="H14" i="22"/>
  <c r="G14" i="22"/>
  <c r="D14" i="22"/>
  <c r="C14" i="22"/>
  <c r="B14" i="22"/>
  <c r="AH13" i="22"/>
  <c r="AG13" i="22"/>
  <c r="AF13" i="22"/>
  <c r="AC13" i="22"/>
  <c r="AB13" i="22"/>
  <c r="AA13" i="22"/>
  <c r="X13" i="22"/>
  <c r="W13" i="22"/>
  <c r="V13" i="22"/>
  <c r="S13" i="22"/>
  <c r="R13" i="22"/>
  <c r="Q13" i="22"/>
  <c r="N13" i="22"/>
  <c r="M13" i="22"/>
  <c r="L13" i="22"/>
  <c r="I13" i="22"/>
  <c r="H13" i="22"/>
  <c r="G13" i="22"/>
  <c r="D13" i="22"/>
  <c r="C13" i="22"/>
  <c r="B13" i="22"/>
  <c r="AH12" i="22"/>
  <c r="AG12" i="22"/>
  <c r="AF12" i="22"/>
  <c r="AC12" i="22"/>
  <c r="AB12" i="22"/>
  <c r="AA12" i="22"/>
  <c r="X12" i="22"/>
  <c r="W12" i="22"/>
  <c r="V12" i="22"/>
  <c r="S12" i="22"/>
  <c r="R12" i="22"/>
  <c r="Q12" i="22"/>
  <c r="N12" i="22"/>
  <c r="M12" i="22"/>
  <c r="L12" i="22"/>
  <c r="I12" i="22"/>
  <c r="H12" i="22"/>
  <c r="G12" i="22"/>
  <c r="D12" i="22"/>
  <c r="C12" i="22"/>
  <c r="B12" i="22"/>
  <c r="AH11" i="22"/>
  <c r="AG11" i="22"/>
  <c r="AF11" i="22"/>
  <c r="AC11" i="22"/>
  <c r="AB11" i="22"/>
  <c r="AA11" i="22"/>
  <c r="X11" i="22"/>
  <c r="W11" i="22"/>
  <c r="V11" i="22"/>
  <c r="S11" i="22"/>
  <c r="R11" i="22"/>
  <c r="Q11" i="22"/>
  <c r="N11" i="22"/>
  <c r="M11" i="22"/>
  <c r="L11" i="22"/>
  <c r="I11" i="22"/>
  <c r="H11" i="22"/>
  <c r="G11" i="22"/>
  <c r="D11" i="22"/>
  <c r="C11" i="22"/>
  <c r="B11" i="22"/>
  <c r="AH10" i="22"/>
  <c r="AG10" i="22"/>
  <c r="AF10" i="22"/>
  <c r="AC10" i="22"/>
  <c r="AB10" i="22"/>
  <c r="AA10" i="22"/>
  <c r="X10" i="22"/>
  <c r="W10" i="22"/>
  <c r="V10" i="22"/>
  <c r="S10" i="22"/>
  <c r="R10" i="22"/>
  <c r="Q10" i="22"/>
  <c r="N10" i="22"/>
  <c r="M10" i="22"/>
  <c r="L10" i="22"/>
  <c r="I10" i="22"/>
  <c r="H10" i="22"/>
  <c r="G10" i="22"/>
  <c r="D10" i="22"/>
  <c r="C10" i="22"/>
  <c r="B10" i="22"/>
  <c r="AH9" i="22"/>
  <c r="AG9" i="22"/>
  <c r="AF9" i="22"/>
  <c r="AC9" i="22"/>
  <c r="AB9" i="22"/>
  <c r="AA9" i="22"/>
  <c r="X9" i="22"/>
  <c r="W9" i="22"/>
  <c r="V9" i="22"/>
  <c r="S9" i="22"/>
  <c r="R9" i="22"/>
  <c r="Q9" i="22"/>
  <c r="N9" i="22"/>
  <c r="M9" i="22"/>
  <c r="L9" i="22"/>
  <c r="I9" i="22"/>
  <c r="H9" i="22"/>
  <c r="G9" i="22"/>
  <c r="D9" i="22"/>
  <c r="C9" i="22"/>
  <c r="B9" i="22"/>
  <c r="AH8" i="22"/>
  <c r="AG8" i="22"/>
  <c r="AF8" i="22"/>
  <c r="AC8" i="22"/>
  <c r="AB8" i="22"/>
  <c r="AA8" i="22"/>
  <c r="X8" i="22"/>
  <c r="W8" i="22"/>
  <c r="V8" i="22"/>
  <c r="S8" i="22"/>
  <c r="R8" i="22"/>
  <c r="Q8" i="22"/>
  <c r="N8" i="22"/>
  <c r="M8" i="22"/>
  <c r="L8" i="22"/>
  <c r="I8" i="22"/>
  <c r="H8" i="22"/>
  <c r="G8" i="22"/>
  <c r="D8" i="22"/>
  <c r="C8" i="22"/>
  <c r="B8" i="22"/>
  <c r="AH7" i="22"/>
  <c r="AG7" i="22"/>
  <c r="AF7" i="22"/>
  <c r="AC7" i="22"/>
  <c r="AB7" i="22"/>
  <c r="AA7" i="22"/>
  <c r="X7" i="22"/>
  <c r="W7" i="22"/>
  <c r="V7" i="22"/>
  <c r="S7" i="22"/>
  <c r="R7" i="22"/>
  <c r="Q7" i="22"/>
  <c r="N7" i="22"/>
  <c r="M7" i="22"/>
  <c r="L7" i="22"/>
  <c r="I7" i="22"/>
  <c r="H7" i="22"/>
  <c r="G7" i="22"/>
  <c r="D7" i="22"/>
  <c r="C7" i="22"/>
  <c r="B7" i="22"/>
  <c r="AH6" i="22"/>
  <c r="AG6" i="22"/>
  <c r="AF6" i="22"/>
  <c r="AC6" i="22"/>
  <c r="AB6" i="22"/>
  <c r="AA6" i="22"/>
  <c r="X6" i="22"/>
  <c r="W6" i="22"/>
  <c r="V6" i="22"/>
  <c r="S6" i="22"/>
  <c r="R6" i="22"/>
  <c r="Q6" i="22"/>
  <c r="N6" i="22"/>
  <c r="M6" i="22"/>
  <c r="L6" i="22"/>
  <c r="I6" i="22"/>
  <c r="H6" i="22"/>
  <c r="G6" i="22"/>
  <c r="D6" i="22"/>
  <c r="C6" i="22"/>
  <c r="B6" i="22"/>
  <c r="AH17" i="21"/>
  <c r="AG17" i="21"/>
  <c r="AF17" i="21"/>
  <c r="AC17" i="21"/>
  <c r="AB17" i="21"/>
  <c r="AA17" i="21"/>
  <c r="X17" i="21"/>
  <c r="W17" i="21"/>
  <c r="V17" i="21"/>
  <c r="S17" i="21"/>
  <c r="R17" i="21"/>
  <c r="Q17" i="21"/>
  <c r="N17" i="21"/>
  <c r="M17" i="21"/>
  <c r="L17" i="21"/>
  <c r="I17" i="21"/>
  <c r="H17" i="21"/>
  <c r="G17" i="21"/>
  <c r="D17" i="21"/>
  <c r="C17" i="21"/>
  <c r="B17" i="21"/>
  <c r="AH16" i="21"/>
  <c r="AG16" i="21"/>
  <c r="AF16" i="21"/>
  <c r="AC16" i="21"/>
  <c r="AB16" i="21"/>
  <c r="AA16" i="21"/>
  <c r="X16" i="21"/>
  <c r="W16" i="21"/>
  <c r="V16" i="21"/>
  <c r="S16" i="21"/>
  <c r="R16" i="21"/>
  <c r="Q16" i="21"/>
  <c r="N16" i="21"/>
  <c r="M16" i="21"/>
  <c r="L16" i="21"/>
  <c r="I16" i="21"/>
  <c r="H16" i="21"/>
  <c r="G16" i="21"/>
  <c r="D16" i="21"/>
  <c r="C16" i="21"/>
  <c r="B16" i="21"/>
  <c r="AH15" i="21"/>
  <c r="AG15" i="21"/>
  <c r="AF15" i="21"/>
  <c r="AC15" i="21"/>
  <c r="AB15" i="21"/>
  <c r="AA15" i="21"/>
  <c r="X15" i="21"/>
  <c r="W15" i="21"/>
  <c r="V15" i="21"/>
  <c r="S15" i="21"/>
  <c r="R15" i="21"/>
  <c r="Q15" i="21"/>
  <c r="N15" i="21"/>
  <c r="M15" i="21"/>
  <c r="L15" i="21"/>
  <c r="I15" i="21"/>
  <c r="H15" i="21"/>
  <c r="G15" i="21"/>
  <c r="D15" i="21"/>
  <c r="C15" i="21"/>
  <c r="B15" i="21"/>
  <c r="AH14" i="21"/>
  <c r="AG14" i="21"/>
  <c r="AF14" i="21"/>
  <c r="AC14" i="21"/>
  <c r="AB14" i="21"/>
  <c r="AA14" i="21"/>
  <c r="X14" i="21"/>
  <c r="W14" i="21"/>
  <c r="V14" i="21"/>
  <c r="S14" i="21"/>
  <c r="R14" i="21"/>
  <c r="Q14" i="21"/>
  <c r="N14" i="21"/>
  <c r="M14" i="21"/>
  <c r="L14" i="21"/>
  <c r="I14" i="21"/>
  <c r="H14" i="21"/>
  <c r="G14" i="21"/>
  <c r="D14" i="21"/>
  <c r="C14" i="21"/>
  <c r="B14" i="21"/>
  <c r="AH13" i="21"/>
  <c r="AG13" i="21"/>
  <c r="AF13" i="21"/>
  <c r="AC13" i="21"/>
  <c r="AB13" i="21"/>
  <c r="AA13" i="21"/>
  <c r="X13" i="21"/>
  <c r="W13" i="21"/>
  <c r="V13" i="21"/>
  <c r="S13" i="21"/>
  <c r="R13" i="21"/>
  <c r="Q13" i="21"/>
  <c r="N13" i="21"/>
  <c r="M13" i="21"/>
  <c r="L13" i="21"/>
  <c r="I13" i="21"/>
  <c r="H13" i="21"/>
  <c r="G13" i="21"/>
  <c r="D13" i="21"/>
  <c r="C13" i="21"/>
  <c r="B13" i="21"/>
  <c r="AH12" i="21"/>
  <c r="AG12" i="21"/>
  <c r="AF12" i="21"/>
  <c r="AC12" i="21"/>
  <c r="AB12" i="21"/>
  <c r="AA12" i="21"/>
  <c r="X12" i="21"/>
  <c r="W12" i="21"/>
  <c r="V12" i="21"/>
  <c r="S12" i="21"/>
  <c r="R12" i="21"/>
  <c r="Q12" i="21"/>
  <c r="N12" i="21"/>
  <c r="M12" i="21"/>
  <c r="L12" i="21"/>
  <c r="I12" i="21"/>
  <c r="H12" i="21"/>
  <c r="G12" i="21"/>
  <c r="D12" i="21"/>
  <c r="C12" i="21"/>
  <c r="B12" i="21"/>
  <c r="AH11" i="21"/>
  <c r="AG11" i="21"/>
  <c r="AF11" i="21"/>
  <c r="AC11" i="21"/>
  <c r="AB11" i="21"/>
  <c r="AA11" i="21"/>
  <c r="X11" i="21"/>
  <c r="W11" i="21"/>
  <c r="V11" i="21"/>
  <c r="S11" i="21"/>
  <c r="R11" i="21"/>
  <c r="Q11" i="21"/>
  <c r="N11" i="21"/>
  <c r="M11" i="21"/>
  <c r="L11" i="21"/>
  <c r="I11" i="21"/>
  <c r="H11" i="21"/>
  <c r="G11" i="21"/>
  <c r="D11" i="21"/>
  <c r="C11" i="21"/>
  <c r="B11" i="21"/>
  <c r="AH10" i="21"/>
  <c r="AG10" i="21"/>
  <c r="AF10" i="21"/>
  <c r="AC10" i="21"/>
  <c r="AB10" i="21"/>
  <c r="AA10" i="21"/>
  <c r="X10" i="21"/>
  <c r="W10" i="21"/>
  <c r="V10" i="21"/>
  <c r="S10" i="21"/>
  <c r="R10" i="21"/>
  <c r="Q10" i="21"/>
  <c r="N10" i="21"/>
  <c r="M10" i="21"/>
  <c r="L10" i="21"/>
  <c r="I10" i="21"/>
  <c r="H10" i="21"/>
  <c r="G10" i="21"/>
  <c r="D10" i="21"/>
  <c r="C10" i="21"/>
  <c r="B10" i="21"/>
  <c r="AH9" i="21"/>
  <c r="AG9" i="21"/>
  <c r="AF9" i="21"/>
  <c r="AC9" i="21"/>
  <c r="AB9" i="21"/>
  <c r="AA9" i="21"/>
  <c r="X9" i="21"/>
  <c r="W9" i="21"/>
  <c r="V9" i="21"/>
  <c r="S9" i="21"/>
  <c r="R9" i="21"/>
  <c r="Q9" i="21"/>
  <c r="N9" i="21"/>
  <c r="M9" i="21"/>
  <c r="L9" i="21"/>
  <c r="I9" i="21"/>
  <c r="H9" i="21"/>
  <c r="G9" i="21"/>
  <c r="D9" i="21"/>
  <c r="C9" i="21"/>
  <c r="B9" i="21"/>
  <c r="AH8" i="21"/>
  <c r="AG8" i="21"/>
  <c r="AF8" i="21"/>
  <c r="AC8" i="21"/>
  <c r="AB8" i="21"/>
  <c r="AA8" i="21"/>
  <c r="X8" i="21"/>
  <c r="W8" i="21"/>
  <c r="V8" i="21"/>
  <c r="S8" i="21"/>
  <c r="R8" i="21"/>
  <c r="Q8" i="21"/>
  <c r="N8" i="21"/>
  <c r="M8" i="21"/>
  <c r="L8" i="21"/>
  <c r="I8" i="21"/>
  <c r="H8" i="21"/>
  <c r="G8" i="21"/>
  <c r="D8" i="21"/>
  <c r="C8" i="21"/>
  <c r="B8" i="21"/>
  <c r="AH7" i="21"/>
  <c r="AG7" i="21"/>
  <c r="AF7" i="21"/>
  <c r="AC7" i="21"/>
  <c r="AB7" i="21"/>
  <c r="AA7" i="21"/>
  <c r="X7" i="21"/>
  <c r="W7" i="21"/>
  <c r="V7" i="21"/>
  <c r="S7" i="21"/>
  <c r="R7" i="21"/>
  <c r="Q7" i="21"/>
  <c r="N7" i="21"/>
  <c r="M7" i="21"/>
  <c r="L7" i="21"/>
  <c r="I7" i="21"/>
  <c r="H7" i="21"/>
  <c r="G7" i="21"/>
  <c r="D7" i="21"/>
  <c r="C7" i="21"/>
  <c r="B7" i="21"/>
  <c r="AH6" i="21"/>
  <c r="AG6" i="21"/>
  <c r="AF6" i="21"/>
  <c r="AC6" i="21"/>
  <c r="AB6" i="21"/>
  <c r="AA6" i="21"/>
  <c r="X6" i="21"/>
  <c r="W6" i="21"/>
  <c r="V6" i="21"/>
  <c r="S6" i="21"/>
  <c r="R6" i="21"/>
  <c r="Q6" i="21"/>
  <c r="N6" i="21"/>
  <c r="M6" i="21"/>
  <c r="L6" i="21"/>
  <c r="I6" i="21"/>
  <c r="H6" i="21"/>
  <c r="G6" i="21"/>
  <c r="D6" i="21"/>
  <c r="C6" i="21"/>
  <c r="B6" i="21"/>
  <c r="AH17" i="20"/>
  <c r="AG17" i="20"/>
  <c r="AF17" i="20"/>
  <c r="AC17" i="20"/>
  <c r="AB17" i="20"/>
  <c r="AA17" i="20"/>
  <c r="X17" i="20"/>
  <c r="W17" i="20"/>
  <c r="V17" i="20"/>
  <c r="S17" i="20"/>
  <c r="R17" i="20"/>
  <c r="Q17" i="20"/>
  <c r="N17" i="20"/>
  <c r="M17" i="20"/>
  <c r="L17" i="20"/>
  <c r="I17" i="20"/>
  <c r="H17" i="20"/>
  <c r="G17" i="20"/>
  <c r="D17" i="20"/>
  <c r="C17" i="20"/>
  <c r="B17" i="20"/>
  <c r="AH16" i="20"/>
  <c r="AG16" i="20"/>
  <c r="AF16" i="20"/>
  <c r="AC16" i="20"/>
  <c r="AB16" i="20"/>
  <c r="AA16" i="20"/>
  <c r="X16" i="20"/>
  <c r="W16" i="20"/>
  <c r="V16" i="20"/>
  <c r="S16" i="20"/>
  <c r="R16" i="20"/>
  <c r="Q16" i="20"/>
  <c r="N16" i="20"/>
  <c r="M16" i="20"/>
  <c r="L16" i="20"/>
  <c r="I16" i="20"/>
  <c r="H16" i="20"/>
  <c r="G16" i="20"/>
  <c r="D16" i="20"/>
  <c r="C16" i="20"/>
  <c r="B16" i="20"/>
  <c r="AH15" i="20"/>
  <c r="AG15" i="20"/>
  <c r="AF15" i="20"/>
  <c r="AC15" i="20"/>
  <c r="AB15" i="20"/>
  <c r="AA15" i="20"/>
  <c r="X15" i="20"/>
  <c r="W15" i="20"/>
  <c r="V15" i="20"/>
  <c r="S15" i="20"/>
  <c r="R15" i="20"/>
  <c r="Q15" i="20"/>
  <c r="N15" i="20"/>
  <c r="M15" i="20"/>
  <c r="L15" i="20"/>
  <c r="I15" i="20"/>
  <c r="H15" i="20"/>
  <c r="G15" i="20"/>
  <c r="D15" i="20"/>
  <c r="C15" i="20"/>
  <c r="B15" i="20"/>
  <c r="AH14" i="20"/>
  <c r="AG14" i="20"/>
  <c r="AF14" i="20"/>
  <c r="AC14" i="20"/>
  <c r="AB14" i="20"/>
  <c r="AA14" i="20"/>
  <c r="X14" i="20"/>
  <c r="W14" i="20"/>
  <c r="V14" i="20"/>
  <c r="S14" i="20"/>
  <c r="R14" i="20"/>
  <c r="Q14" i="20"/>
  <c r="N14" i="20"/>
  <c r="M14" i="20"/>
  <c r="L14" i="20"/>
  <c r="I14" i="20"/>
  <c r="H14" i="20"/>
  <c r="G14" i="20"/>
  <c r="D14" i="20"/>
  <c r="C14" i="20"/>
  <c r="B14" i="20"/>
  <c r="AH13" i="20"/>
  <c r="AG13" i="20"/>
  <c r="AF13" i="20"/>
  <c r="AC13" i="20"/>
  <c r="AB13" i="20"/>
  <c r="AA13" i="20"/>
  <c r="X13" i="20"/>
  <c r="W13" i="20"/>
  <c r="V13" i="20"/>
  <c r="S13" i="20"/>
  <c r="R13" i="20"/>
  <c r="Q13" i="20"/>
  <c r="N13" i="20"/>
  <c r="M13" i="20"/>
  <c r="L13" i="20"/>
  <c r="I13" i="20"/>
  <c r="H13" i="20"/>
  <c r="G13" i="20"/>
  <c r="D13" i="20"/>
  <c r="C13" i="20"/>
  <c r="B13" i="20"/>
  <c r="AH12" i="20"/>
  <c r="AG12" i="20"/>
  <c r="AF12" i="20"/>
  <c r="AC12" i="20"/>
  <c r="AB12" i="20"/>
  <c r="AA12" i="20"/>
  <c r="X12" i="20"/>
  <c r="W12" i="20"/>
  <c r="V12" i="20"/>
  <c r="S12" i="20"/>
  <c r="R12" i="20"/>
  <c r="Q12" i="20"/>
  <c r="N12" i="20"/>
  <c r="M12" i="20"/>
  <c r="L12" i="20"/>
  <c r="I12" i="20"/>
  <c r="H12" i="20"/>
  <c r="G12" i="20"/>
  <c r="D12" i="20"/>
  <c r="C12" i="20"/>
  <c r="B12" i="20"/>
  <c r="AH11" i="20"/>
  <c r="AG11" i="20"/>
  <c r="AF11" i="20"/>
  <c r="AC11" i="20"/>
  <c r="AB11" i="20"/>
  <c r="AA11" i="20"/>
  <c r="X11" i="20"/>
  <c r="W11" i="20"/>
  <c r="V11" i="20"/>
  <c r="S11" i="20"/>
  <c r="R11" i="20"/>
  <c r="Q11" i="20"/>
  <c r="N11" i="20"/>
  <c r="M11" i="20"/>
  <c r="L11" i="20"/>
  <c r="I11" i="20"/>
  <c r="H11" i="20"/>
  <c r="G11" i="20"/>
  <c r="D11" i="20"/>
  <c r="C11" i="20"/>
  <c r="B11" i="20"/>
  <c r="AH10" i="20"/>
  <c r="AG10" i="20"/>
  <c r="AF10" i="20"/>
  <c r="AC10" i="20"/>
  <c r="AB10" i="20"/>
  <c r="AA10" i="20"/>
  <c r="X10" i="20"/>
  <c r="W10" i="20"/>
  <c r="V10" i="20"/>
  <c r="S10" i="20"/>
  <c r="R10" i="20"/>
  <c r="Q10" i="20"/>
  <c r="N10" i="20"/>
  <c r="M10" i="20"/>
  <c r="L10" i="20"/>
  <c r="I10" i="20"/>
  <c r="H10" i="20"/>
  <c r="G10" i="20"/>
  <c r="D10" i="20"/>
  <c r="C10" i="20"/>
  <c r="B10" i="20"/>
  <c r="AH9" i="20"/>
  <c r="AG9" i="20"/>
  <c r="AF9" i="20"/>
  <c r="AC9" i="20"/>
  <c r="AB9" i="20"/>
  <c r="AA9" i="20"/>
  <c r="X9" i="20"/>
  <c r="W9" i="20"/>
  <c r="V9" i="20"/>
  <c r="S9" i="20"/>
  <c r="R9" i="20"/>
  <c r="Q9" i="20"/>
  <c r="N9" i="20"/>
  <c r="M9" i="20"/>
  <c r="L9" i="20"/>
  <c r="I9" i="20"/>
  <c r="H9" i="20"/>
  <c r="G9" i="20"/>
  <c r="D9" i="20"/>
  <c r="C9" i="20"/>
  <c r="B9" i="20"/>
  <c r="AH8" i="20"/>
  <c r="AG8" i="20"/>
  <c r="AF8" i="20"/>
  <c r="AC8" i="20"/>
  <c r="AB8" i="20"/>
  <c r="AA8" i="20"/>
  <c r="X8" i="20"/>
  <c r="W8" i="20"/>
  <c r="V8" i="20"/>
  <c r="S8" i="20"/>
  <c r="R8" i="20"/>
  <c r="Q8" i="20"/>
  <c r="N8" i="20"/>
  <c r="M8" i="20"/>
  <c r="L8" i="20"/>
  <c r="I8" i="20"/>
  <c r="H8" i="20"/>
  <c r="G8" i="20"/>
  <c r="D8" i="20"/>
  <c r="C8" i="20"/>
  <c r="B8" i="20"/>
  <c r="AH7" i="20"/>
  <c r="AG7" i="20"/>
  <c r="AF7" i="20"/>
  <c r="AC7" i="20"/>
  <c r="AB7" i="20"/>
  <c r="AA7" i="20"/>
  <c r="X7" i="20"/>
  <c r="W7" i="20"/>
  <c r="V7" i="20"/>
  <c r="S7" i="20"/>
  <c r="R7" i="20"/>
  <c r="Q7" i="20"/>
  <c r="N7" i="20"/>
  <c r="M7" i="20"/>
  <c r="L7" i="20"/>
  <c r="I7" i="20"/>
  <c r="H7" i="20"/>
  <c r="G7" i="20"/>
  <c r="D7" i="20"/>
  <c r="C7" i="20"/>
  <c r="B7" i="20"/>
  <c r="AH6" i="20"/>
  <c r="AG6" i="20"/>
  <c r="AF6" i="20"/>
  <c r="AC6" i="20"/>
  <c r="AB6" i="20"/>
  <c r="AA6" i="20"/>
  <c r="X6" i="20"/>
  <c r="W6" i="20"/>
  <c r="V6" i="20"/>
  <c r="S6" i="20"/>
  <c r="R6" i="20"/>
  <c r="Q6" i="20"/>
  <c r="N6" i="20"/>
  <c r="M6" i="20"/>
  <c r="L6" i="20"/>
  <c r="I6" i="20"/>
  <c r="H6" i="20"/>
  <c r="G6" i="20"/>
  <c r="D6" i="20"/>
  <c r="C6" i="20"/>
  <c r="B6" i="20"/>
  <c r="AH17" i="19"/>
  <c r="AG17" i="19"/>
  <c r="AF17" i="19"/>
  <c r="AC17" i="19"/>
  <c r="AB17" i="19"/>
  <c r="AA17" i="19"/>
  <c r="X17" i="19"/>
  <c r="W17" i="19"/>
  <c r="V17" i="19"/>
  <c r="S17" i="19"/>
  <c r="R17" i="19"/>
  <c r="Q17" i="19"/>
  <c r="N17" i="19"/>
  <c r="M17" i="19"/>
  <c r="L17" i="19"/>
  <c r="I17" i="19"/>
  <c r="H17" i="19"/>
  <c r="G17" i="19"/>
  <c r="D17" i="19"/>
  <c r="C17" i="19"/>
  <c r="B17" i="19"/>
  <c r="AH16" i="19"/>
  <c r="AG16" i="19"/>
  <c r="AF16" i="19"/>
  <c r="AC16" i="19"/>
  <c r="AB16" i="19"/>
  <c r="AA16" i="19"/>
  <c r="X16" i="19"/>
  <c r="W16" i="19"/>
  <c r="V16" i="19"/>
  <c r="S16" i="19"/>
  <c r="R16" i="19"/>
  <c r="Q16" i="19"/>
  <c r="N16" i="19"/>
  <c r="M16" i="19"/>
  <c r="L16" i="19"/>
  <c r="I16" i="19"/>
  <c r="H16" i="19"/>
  <c r="G16" i="19"/>
  <c r="D16" i="19"/>
  <c r="C16" i="19"/>
  <c r="B16" i="19"/>
  <c r="AH15" i="19"/>
  <c r="AG15" i="19"/>
  <c r="AF15" i="19"/>
  <c r="AC15" i="19"/>
  <c r="AB15" i="19"/>
  <c r="AA15" i="19"/>
  <c r="X15" i="19"/>
  <c r="W15" i="19"/>
  <c r="V15" i="19"/>
  <c r="S15" i="19"/>
  <c r="R15" i="19"/>
  <c r="Q15" i="19"/>
  <c r="N15" i="19"/>
  <c r="M15" i="19"/>
  <c r="L15" i="19"/>
  <c r="I15" i="19"/>
  <c r="H15" i="19"/>
  <c r="G15" i="19"/>
  <c r="D15" i="19"/>
  <c r="C15" i="19"/>
  <c r="B15" i="19"/>
  <c r="AH14" i="19"/>
  <c r="AG14" i="19"/>
  <c r="AF14" i="19"/>
  <c r="AC14" i="19"/>
  <c r="AB14" i="19"/>
  <c r="AA14" i="19"/>
  <c r="X14" i="19"/>
  <c r="W14" i="19"/>
  <c r="V14" i="19"/>
  <c r="S14" i="19"/>
  <c r="R14" i="19"/>
  <c r="Q14" i="19"/>
  <c r="N14" i="19"/>
  <c r="M14" i="19"/>
  <c r="L14" i="19"/>
  <c r="I14" i="19"/>
  <c r="H14" i="19"/>
  <c r="G14" i="19"/>
  <c r="D14" i="19"/>
  <c r="C14" i="19"/>
  <c r="B14" i="19"/>
  <c r="AH13" i="19"/>
  <c r="AG13" i="19"/>
  <c r="AF13" i="19"/>
  <c r="AC13" i="19"/>
  <c r="AB13" i="19"/>
  <c r="AA13" i="19"/>
  <c r="X13" i="19"/>
  <c r="W13" i="19"/>
  <c r="V13" i="19"/>
  <c r="S13" i="19"/>
  <c r="R13" i="19"/>
  <c r="Q13" i="19"/>
  <c r="N13" i="19"/>
  <c r="M13" i="19"/>
  <c r="L13" i="19"/>
  <c r="I13" i="19"/>
  <c r="H13" i="19"/>
  <c r="G13" i="19"/>
  <c r="D13" i="19"/>
  <c r="C13" i="19"/>
  <c r="B13" i="19"/>
  <c r="AH12" i="19"/>
  <c r="AG12" i="19"/>
  <c r="AF12" i="19"/>
  <c r="AC12" i="19"/>
  <c r="AB12" i="19"/>
  <c r="AA12" i="19"/>
  <c r="X12" i="19"/>
  <c r="W12" i="19"/>
  <c r="V12" i="19"/>
  <c r="S12" i="19"/>
  <c r="R12" i="19"/>
  <c r="Q12" i="19"/>
  <c r="N12" i="19"/>
  <c r="M12" i="19"/>
  <c r="L12" i="19"/>
  <c r="I12" i="19"/>
  <c r="H12" i="19"/>
  <c r="G12" i="19"/>
  <c r="D12" i="19"/>
  <c r="C12" i="19"/>
  <c r="B12" i="19"/>
  <c r="AH11" i="19"/>
  <c r="AG11" i="19"/>
  <c r="AF11" i="19"/>
  <c r="AC11" i="19"/>
  <c r="AB11" i="19"/>
  <c r="AA11" i="19"/>
  <c r="X11" i="19"/>
  <c r="W11" i="19"/>
  <c r="V11" i="19"/>
  <c r="S11" i="19"/>
  <c r="R11" i="19"/>
  <c r="Q11" i="19"/>
  <c r="N11" i="19"/>
  <c r="M11" i="19"/>
  <c r="L11" i="19"/>
  <c r="I11" i="19"/>
  <c r="H11" i="19"/>
  <c r="G11" i="19"/>
  <c r="D11" i="19"/>
  <c r="C11" i="19"/>
  <c r="B11" i="19"/>
  <c r="AH10" i="19"/>
  <c r="AG10" i="19"/>
  <c r="AF10" i="19"/>
  <c r="AC10" i="19"/>
  <c r="AB10" i="19"/>
  <c r="AA10" i="19"/>
  <c r="X10" i="19"/>
  <c r="W10" i="19"/>
  <c r="V10" i="19"/>
  <c r="S10" i="19"/>
  <c r="R10" i="19"/>
  <c r="Q10" i="19"/>
  <c r="N10" i="19"/>
  <c r="M10" i="19"/>
  <c r="L10" i="19"/>
  <c r="I10" i="19"/>
  <c r="H10" i="19"/>
  <c r="G10" i="19"/>
  <c r="D10" i="19"/>
  <c r="C10" i="19"/>
  <c r="B10" i="19"/>
  <c r="AH9" i="19"/>
  <c r="AG9" i="19"/>
  <c r="AF9" i="19"/>
  <c r="AC9" i="19"/>
  <c r="AB9" i="19"/>
  <c r="AA9" i="19"/>
  <c r="X9" i="19"/>
  <c r="W9" i="19"/>
  <c r="V9" i="19"/>
  <c r="S9" i="19"/>
  <c r="R9" i="19"/>
  <c r="Q9" i="19"/>
  <c r="N9" i="19"/>
  <c r="M9" i="19"/>
  <c r="L9" i="19"/>
  <c r="I9" i="19"/>
  <c r="H9" i="19"/>
  <c r="G9" i="19"/>
  <c r="D9" i="19"/>
  <c r="C9" i="19"/>
  <c r="B9" i="19"/>
  <c r="AH8" i="19"/>
  <c r="AG8" i="19"/>
  <c r="AF8" i="19"/>
  <c r="AC8" i="19"/>
  <c r="AB8" i="19"/>
  <c r="AA8" i="19"/>
  <c r="X8" i="19"/>
  <c r="W8" i="19"/>
  <c r="V8" i="19"/>
  <c r="S8" i="19"/>
  <c r="R8" i="19"/>
  <c r="Q8" i="19"/>
  <c r="N8" i="19"/>
  <c r="M8" i="19"/>
  <c r="L8" i="19"/>
  <c r="I8" i="19"/>
  <c r="H8" i="19"/>
  <c r="G8" i="19"/>
  <c r="D8" i="19"/>
  <c r="C8" i="19"/>
  <c r="B8" i="19"/>
  <c r="AH7" i="19"/>
  <c r="AG7" i="19"/>
  <c r="AF7" i="19"/>
  <c r="AC7" i="19"/>
  <c r="AB7" i="19"/>
  <c r="AA7" i="19"/>
  <c r="X7" i="19"/>
  <c r="W7" i="19"/>
  <c r="V7" i="19"/>
  <c r="S7" i="19"/>
  <c r="R7" i="19"/>
  <c r="Q7" i="19"/>
  <c r="N7" i="19"/>
  <c r="M7" i="19"/>
  <c r="L7" i="19"/>
  <c r="I7" i="19"/>
  <c r="H7" i="19"/>
  <c r="G7" i="19"/>
  <c r="D7" i="19"/>
  <c r="C7" i="19"/>
  <c r="B7" i="19"/>
  <c r="AH6" i="19"/>
  <c r="AG6" i="19"/>
  <c r="AF6" i="19"/>
  <c r="AC6" i="19"/>
  <c r="AB6" i="19"/>
  <c r="AA6" i="19"/>
  <c r="X6" i="19"/>
  <c r="W6" i="19"/>
  <c r="V6" i="19"/>
  <c r="S6" i="19"/>
  <c r="R6" i="19"/>
  <c r="Q6" i="19"/>
  <c r="N6" i="19"/>
  <c r="M6" i="19"/>
  <c r="L6" i="19"/>
  <c r="I6" i="19"/>
  <c r="H6" i="19"/>
  <c r="G6" i="19"/>
  <c r="D6" i="19"/>
  <c r="C6" i="19"/>
  <c r="B6" i="19"/>
  <c r="AH17" i="18"/>
  <c r="AG17" i="18"/>
  <c r="AF17" i="18"/>
  <c r="AC17" i="18"/>
  <c r="AB17" i="18"/>
  <c r="AA17" i="18"/>
  <c r="X17" i="18"/>
  <c r="W17" i="18"/>
  <c r="V17" i="18"/>
  <c r="S17" i="18"/>
  <c r="R17" i="18"/>
  <c r="Q17" i="18"/>
  <c r="N17" i="18"/>
  <c r="M17" i="18"/>
  <c r="L17" i="18"/>
  <c r="I17" i="18"/>
  <c r="H17" i="18"/>
  <c r="G17" i="18"/>
  <c r="D17" i="18"/>
  <c r="C17" i="18"/>
  <c r="B17" i="18"/>
  <c r="AH16" i="18"/>
  <c r="AG16" i="18"/>
  <c r="AF16" i="18"/>
  <c r="AC16" i="18"/>
  <c r="AB16" i="18"/>
  <c r="AA16" i="18"/>
  <c r="X16" i="18"/>
  <c r="W16" i="18"/>
  <c r="V16" i="18"/>
  <c r="S16" i="18"/>
  <c r="R16" i="18"/>
  <c r="Q16" i="18"/>
  <c r="N16" i="18"/>
  <c r="M16" i="18"/>
  <c r="L16" i="18"/>
  <c r="I16" i="18"/>
  <c r="H16" i="18"/>
  <c r="G16" i="18"/>
  <c r="D16" i="18"/>
  <c r="C16" i="18"/>
  <c r="B16" i="18"/>
  <c r="AH15" i="18"/>
  <c r="AG15" i="18"/>
  <c r="AF15" i="18"/>
  <c r="AC15" i="18"/>
  <c r="AB15" i="18"/>
  <c r="AA15" i="18"/>
  <c r="X15" i="18"/>
  <c r="W15" i="18"/>
  <c r="V15" i="18"/>
  <c r="S15" i="18"/>
  <c r="R15" i="18"/>
  <c r="Q15" i="18"/>
  <c r="N15" i="18"/>
  <c r="M15" i="18"/>
  <c r="L15" i="18"/>
  <c r="I15" i="18"/>
  <c r="H15" i="18"/>
  <c r="G15" i="18"/>
  <c r="D15" i="18"/>
  <c r="C15" i="18"/>
  <c r="B15" i="18"/>
  <c r="AH14" i="18"/>
  <c r="AG14" i="18"/>
  <c r="AF14" i="18"/>
  <c r="AC14" i="18"/>
  <c r="AB14" i="18"/>
  <c r="AA14" i="18"/>
  <c r="X14" i="18"/>
  <c r="W14" i="18"/>
  <c r="V14" i="18"/>
  <c r="S14" i="18"/>
  <c r="R14" i="18"/>
  <c r="Q14" i="18"/>
  <c r="N14" i="18"/>
  <c r="M14" i="18"/>
  <c r="L14" i="18"/>
  <c r="I14" i="18"/>
  <c r="H14" i="18"/>
  <c r="G14" i="18"/>
  <c r="D14" i="18"/>
  <c r="C14" i="18"/>
  <c r="B14" i="18"/>
  <c r="AH13" i="18"/>
  <c r="AG13" i="18"/>
  <c r="AF13" i="18"/>
  <c r="AC13" i="18"/>
  <c r="AB13" i="18"/>
  <c r="AA13" i="18"/>
  <c r="X13" i="18"/>
  <c r="W13" i="18"/>
  <c r="V13" i="18"/>
  <c r="S13" i="18"/>
  <c r="R13" i="18"/>
  <c r="Q13" i="18"/>
  <c r="N13" i="18"/>
  <c r="M13" i="18"/>
  <c r="L13" i="18"/>
  <c r="I13" i="18"/>
  <c r="H13" i="18"/>
  <c r="G13" i="18"/>
  <c r="D13" i="18"/>
  <c r="C13" i="18"/>
  <c r="B13" i="18"/>
  <c r="AH12" i="18"/>
  <c r="AG12" i="18"/>
  <c r="AF12" i="18"/>
  <c r="AC12" i="18"/>
  <c r="AB12" i="18"/>
  <c r="AA12" i="18"/>
  <c r="X12" i="18"/>
  <c r="W12" i="18"/>
  <c r="V12" i="18"/>
  <c r="S12" i="18"/>
  <c r="R12" i="18"/>
  <c r="Q12" i="18"/>
  <c r="N12" i="18"/>
  <c r="M12" i="18"/>
  <c r="L12" i="18"/>
  <c r="I12" i="18"/>
  <c r="H12" i="18"/>
  <c r="G12" i="18"/>
  <c r="D12" i="18"/>
  <c r="C12" i="18"/>
  <c r="B12" i="18"/>
  <c r="AH11" i="18"/>
  <c r="AG11" i="18"/>
  <c r="AF11" i="18"/>
  <c r="AC11" i="18"/>
  <c r="AB11" i="18"/>
  <c r="AA11" i="18"/>
  <c r="X11" i="18"/>
  <c r="W11" i="18"/>
  <c r="V11" i="18"/>
  <c r="S11" i="18"/>
  <c r="R11" i="18"/>
  <c r="Q11" i="18"/>
  <c r="N11" i="18"/>
  <c r="M11" i="18"/>
  <c r="L11" i="18"/>
  <c r="I11" i="18"/>
  <c r="H11" i="18"/>
  <c r="G11" i="18"/>
  <c r="D11" i="18"/>
  <c r="C11" i="18"/>
  <c r="B11" i="18"/>
  <c r="AH10" i="18"/>
  <c r="AG10" i="18"/>
  <c r="AF10" i="18"/>
  <c r="AC10" i="18"/>
  <c r="AB10" i="18"/>
  <c r="AA10" i="18"/>
  <c r="X10" i="18"/>
  <c r="W10" i="18"/>
  <c r="V10" i="18"/>
  <c r="S10" i="18"/>
  <c r="R10" i="18"/>
  <c r="Q10" i="18"/>
  <c r="N10" i="18"/>
  <c r="M10" i="18"/>
  <c r="L10" i="18"/>
  <c r="I10" i="18"/>
  <c r="H10" i="18"/>
  <c r="G10" i="18"/>
  <c r="D10" i="18"/>
  <c r="C10" i="18"/>
  <c r="B10" i="18"/>
  <c r="AH9" i="18"/>
  <c r="AG9" i="18"/>
  <c r="AF9" i="18"/>
  <c r="AC9" i="18"/>
  <c r="AB9" i="18"/>
  <c r="AA9" i="18"/>
  <c r="X9" i="18"/>
  <c r="W9" i="18"/>
  <c r="V9" i="18"/>
  <c r="S9" i="18"/>
  <c r="R9" i="18"/>
  <c r="Q9" i="18"/>
  <c r="N9" i="18"/>
  <c r="M9" i="18"/>
  <c r="L9" i="18"/>
  <c r="I9" i="18"/>
  <c r="H9" i="18"/>
  <c r="G9" i="18"/>
  <c r="D9" i="18"/>
  <c r="C9" i="18"/>
  <c r="B9" i="18"/>
  <c r="AH8" i="18"/>
  <c r="AG8" i="18"/>
  <c r="AF8" i="18"/>
  <c r="AC8" i="18"/>
  <c r="AB8" i="18"/>
  <c r="AA8" i="18"/>
  <c r="X8" i="18"/>
  <c r="W8" i="18"/>
  <c r="V8" i="18"/>
  <c r="S8" i="18"/>
  <c r="R8" i="18"/>
  <c r="Q8" i="18"/>
  <c r="N8" i="18"/>
  <c r="M8" i="18"/>
  <c r="L8" i="18"/>
  <c r="I8" i="18"/>
  <c r="H8" i="18"/>
  <c r="G8" i="18"/>
  <c r="D8" i="18"/>
  <c r="C8" i="18"/>
  <c r="B8" i="18"/>
  <c r="AH7" i="18"/>
  <c r="AG7" i="18"/>
  <c r="AF7" i="18"/>
  <c r="AC7" i="18"/>
  <c r="AB7" i="18"/>
  <c r="AA7" i="18"/>
  <c r="X7" i="18"/>
  <c r="W7" i="18"/>
  <c r="V7" i="18"/>
  <c r="S7" i="18"/>
  <c r="R7" i="18"/>
  <c r="Q7" i="18"/>
  <c r="N7" i="18"/>
  <c r="M7" i="18"/>
  <c r="L7" i="18"/>
  <c r="I7" i="18"/>
  <c r="H7" i="18"/>
  <c r="G7" i="18"/>
  <c r="D7" i="18"/>
  <c r="C7" i="18"/>
  <c r="B7" i="18"/>
  <c r="AH6" i="18"/>
  <c r="AG6" i="18"/>
  <c r="AF6" i="18"/>
  <c r="AC6" i="18"/>
  <c r="AB6" i="18"/>
  <c r="AA6" i="18"/>
  <c r="X6" i="18"/>
  <c r="W6" i="18"/>
  <c r="V6" i="18"/>
  <c r="S6" i="18"/>
  <c r="R6" i="18"/>
  <c r="Q6" i="18"/>
  <c r="N6" i="18"/>
  <c r="M6" i="18"/>
  <c r="L6" i="18"/>
  <c r="I6" i="18"/>
  <c r="H6" i="18"/>
  <c r="G6" i="18"/>
  <c r="D6" i="18"/>
  <c r="C6" i="18"/>
  <c r="B6" i="18"/>
  <c r="AH17" i="17"/>
  <c r="AG17" i="17"/>
  <c r="AF17" i="17"/>
  <c r="AC17" i="17"/>
  <c r="AB17" i="17"/>
  <c r="AA17" i="17"/>
  <c r="X17" i="17"/>
  <c r="W17" i="17"/>
  <c r="V17" i="17"/>
  <c r="S17" i="17"/>
  <c r="R17" i="17"/>
  <c r="Q17" i="17"/>
  <c r="N17" i="17"/>
  <c r="M17" i="17"/>
  <c r="L17" i="17"/>
  <c r="I17" i="17"/>
  <c r="H17" i="17"/>
  <c r="G17" i="17"/>
  <c r="D17" i="17"/>
  <c r="C17" i="17"/>
  <c r="B17" i="17"/>
  <c r="AH16" i="17"/>
  <c r="AG16" i="17"/>
  <c r="AF16" i="17"/>
  <c r="AC16" i="17"/>
  <c r="AB16" i="17"/>
  <c r="AA16" i="17"/>
  <c r="X16" i="17"/>
  <c r="W16" i="17"/>
  <c r="V16" i="17"/>
  <c r="S16" i="17"/>
  <c r="R16" i="17"/>
  <c r="Q16" i="17"/>
  <c r="N16" i="17"/>
  <c r="M16" i="17"/>
  <c r="L16" i="17"/>
  <c r="I16" i="17"/>
  <c r="H16" i="17"/>
  <c r="G16" i="17"/>
  <c r="D16" i="17"/>
  <c r="C16" i="17"/>
  <c r="B16" i="17"/>
  <c r="AH15" i="17"/>
  <c r="AG15" i="17"/>
  <c r="AF15" i="17"/>
  <c r="AC15" i="17"/>
  <c r="AB15" i="17"/>
  <c r="AA15" i="17"/>
  <c r="X15" i="17"/>
  <c r="W15" i="17"/>
  <c r="V15" i="17"/>
  <c r="S15" i="17"/>
  <c r="R15" i="17"/>
  <c r="Q15" i="17"/>
  <c r="N15" i="17"/>
  <c r="M15" i="17"/>
  <c r="L15" i="17"/>
  <c r="I15" i="17"/>
  <c r="H15" i="17"/>
  <c r="G15" i="17"/>
  <c r="D15" i="17"/>
  <c r="C15" i="17"/>
  <c r="B15" i="17"/>
  <c r="AH14" i="17"/>
  <c r="AG14" i="17"/>
  <c r="AF14" i="17"/>
  <c r="AC14" i="17"/>
  <c r="AB14" i="17"/>
  <c r="AA14" i="17"/>
  <c r="X14" i="17"/>
  <c r="W14" i="17"/>
  <c r="V14" i="17"/>
  <c r="S14" i="17"/>
  <c r="R14" i="17"/>
  <c r="Q14" i="17"/>
  <c r="N14" i="17"/>
  <c r="M14" i="17"/>
  <c r="L14" i="17"/>
  <c r="I14" i="17"/>
  <c r="H14" i="17"/>
  <c r="G14" i="17"/>
  <c r="D14" i="17"/>
  <c r="C14" i="17"/>
  <c r="B14" i="17"/>
  <c r="AH13" i="17"/>
  <c r="AG13" i="17"/>
  <c r="AF13" i="17"/>
  <c r="AC13" i="17"/>
  <c r="AB13" i="17"/>
  <c r="AA13" i="17"/>
  <c r="X13" i="17"/>
  <c r="W13" i="17"/>
  <c r="V13" i="17"/>
  <c r="S13" i="17"/>
  <c r="R13" i="17"/>
  <c r="Q13" i="17"/>
  <c r="N13" i="17"/>
  <c r="M13" i="17"/>
  <c r="L13" i="17"/>
  <c r="I13" i="17"/>
  <c r="H13" i="17"/>
  <c r="G13" i="17"/>
  <c r="D13" i="17"/>
  <c r="C13" i="17"/>
  <c r="B13" i="17"/>
  <c r="AH12" i="17"/>
  <c r="AG12" i="17"/>
  <c r="AF12" i="17"/>
  <c r="AC12" i="17"/>
  <c r="AB12" i="17"/>
  <c r="AA12" i="17"/>
  <c r="X12" i="17"/>
  <c r="W12" i="17"/>
  <c r="V12" i="17"/>
  <c r="S12" i="17"/>
  <c r="R12" i="17"/>
  <c r="Q12" i="17"/>
  <c r="N12" i="17"/>
  <c r="M12" i="17"/>
  <c r="L12" i="17"/>
  <c r="I12" i="17"/>
  <c r="H12" i="17"/>
  <c r="G12" i="17"/>
  <c r="D12" i="17"/>
  <c r="C12" i="17"/>
  <c r="B12" i="17"/>
  <c r="AH11" i="17"/>
  <c r="AG11" i="17"/>
  <c r="AF11" i="17"/>
  <c r="AC11" i="17"/>
  <c r="AB11" i="17"/>
  <c r="AA11" i="17"/>
  <c r="X11" i="17"/>
  <c r="W11" i="17"/>
  <c r="V11" i="17"/>
  <c r="S11" i="17"/>
  <c r="R11" i="17"/>
  <c r="Q11" i="17"/>
  <c r="N11" i="17"/>
  <c r="M11" i="17"/>
  <c r="L11" i="17"/>
  <c r="I11" i="17"/>
  <c r="H11" i="17"/>
  <c r="G11" i="17"/>
  <c r="D11" i="17"/>
  <c r="C11" i="17"/>
  <c r="B11" i="17"/>
  <c r="AH10" i="17"/>
  <c r="AG10" i="17"/>
  <c r="AF10" i="17"/>
  <c r="AC10" i="17"/>
  <c r="AB10" i="17"/>
  <c r="AA10" i="17"/>
  <c r="X10" i="17"/>
  <c r="W10" i="17"/>
  <c r="V10" i="17"/>
  <c r="S10" i="17"/>
  <c r="R10" i="17"/>
  <c r="Q10" i="17"/>
  <c r="N10" i="17"/>
  <c r="M10" i="17"/>
  <c r="L10" i="17"/>
  <c r="I10" i="17"/>
  <c r="H10" i="17"/>
  <c r="G10" i="17"/>
  <c r="D10" i="17"/>
  <c r="C10" i="17"/>
  <c r="B10" i="17"/>
  <c r="AH9" i="17"/>
  <c r="AG9" i="17"/>
  <c r="AF9" i="17"/>
  <c r="AC9" i="17"/>
  <c r="AB9" i="17"/>
  <c r="AA9" i="17"/>
  <c r="X9" i="17"/>
  <c r="W9" i="17"/>
  <c r="V9" i="17"/>
  <c r="S9" i="17"/>
  <c r="R9" i="17"/>
  <c r="Q9" i="17"/>
  <c r="N9" i="17"/>
  <c r="M9" i="17"/>
  <c r="L9" i="17"/>
  <c r="I9" i="17"/>
  <c r="H9" i="17"/>
  <c r="G9" i="17"/>
  <c r="D9" i="17"/>
  <c r="C9" i="17"/>
  <c r="B9" i="17"/>
  <c r="AH8" i="17"/>
  <c r="AG8" i="17"/>
  <c r="AF8" i="17"/>
  <c r="AC8" i="17"/>
  <c r="AB8" i="17"/>
  <c r="AA8" i="17"/>
  <c r="X8" i="17"/>
  <c r="W8" i="17"/>
  <c r="V8" i="17"/>
  <c r="S8" i="17"/>
  <c r="R8" i="17"/>
  <c r="Q8" i="17"/>
  <c r="N8" i="17"/>
  <c r="M8" i="17"/>
  <c r="L8" i="17"/>
  <c r="I8" i="17"/>
  <c r="H8" i="17"/>
  <c r="G8" i="17"/>
  <c r="D8" i="17"/>
  <c r="C8" i="17"/>
  <c r="B8" i="17"/>
  <c r="AH7" i="17"/>
  <c r="AG7" i="17"/>
  <c r="AF7" i="17"/>
  <c r="AC7" i="17"/>
  <c r="AB7" i="17"/>
  <c r="AA7" i="17"/>
  <c r="X7" i="17"/>
  <c r="W7" i="17"/>
  <c r="V7" i="17"/>
  <c r="S7" i="17"/>
  <c r="R7" i="17"/>
  <c r="Q7" i="17"/>
  <c r="N7" i="17"/>
  <c r="M7" i="17"/>
  <c r="L7" i="17"/>
  <c r="I7" i="17"/>
  <c r="H7" i="17"/>
  <c r="G7" i="17"/>
  <c r="D7" i="17"/>
  <c r="C7" i="17"/>
  <c r="B7" i="17"/>
  <c r="AH6" i="17"/>
  <c r="AG6" i="17"/>
  <c r="AF6" i="17"/>
  <c r="AC6" i="17"/>
  <c r="AB6" i="17"/>
  <c r="AA6" i="17"/>
  <c r="X6" i="17"/>
  <c r="W6" i="17"/>
  <c r="V6" i="17"/>
  <c r="S6" i="17"/>
  <c r="R6" i="17"/>
  <c r="Q6" i="17"/>
  <c r="N6" i="17"/>
  <c r="M6" i="17"/>
  <c r="L6" i="17"/>
  <c r="I6" i="17"/>
  <c r="H6" i="17"/>
  <c r="G6" i="17"/>
  <c r="D6" i="17"/>
  <c r="C6" i="17"/>
  <c r="B6" i="17"/>
  <c r="AH17" i="16"/>
  <c r="AG17" i="16"/>
  <c r="AF17" i="16"/>
  <c r="AC17" i="16"/>
  <c r="AB17" i="16"/>
  <c r="AA17" i="16"/>
  <c r="X17" i="16"/>
  <c r="W17" i="16"/>
  <c r="V17" i="16"/>
  <c r="S17" i="16"/>
  <c r="R17" i="16"/>
  <c r="Q17" i="16"/>
  <c r="N17" i="16"/>
  <c r="M17" i="16"/>
  <c r="L17" i="16"/>
  <c r="I17" i="16"/>
  <c r="H17" i="16"/>
  <c r="G17" i="16"/>
  <c r="D17" i="16"/>
  <c r="C17" i="16"/>
  <c r="B17" i="16"/>
  <c r="AH16" i="16"/>
  <c r="AG16" i="16"/>
  <c r="AF16" i="16"/>
  <c r="AC16" i="16"/>
  <c r="AB16" i="16"/>
  <c r="AA16" i="16"/>
  <c r="X16" i="16"/>
  <c r="W16" i="16"/>
  <c r="V16" i="16"/>
  <c r="S16" i="16"/>
  <c r="R16" i="16"/>
  <c r="Q16" i="16"/>
  <c r="N16" i="16"/>
  <c r="M16" i="16"/>
  <c r="L16" i="16"/>
  <c r="I16" i="16"/>
  <c r="H16" i="16"/>
  <c r="G16" i="16"/>
  <c r="D16" i="16"/>
  <c r="C16" i="16"/>
  <c r="B16" i="16"/>
  <c r="AH15" i="16"/>
  <c r="AG15" i="16"/>
  <c r="AF15" i="16"/>
  <c r="AC15" i="16"/>
  <c r="AB15" i="16"/>
  <c r="AA15" i="16"/>
  <c r="X15" i="16"/>
  <c r="W15" i="16"/>
  <c r="V15" i="16"/>
  <c r="S15" i="16"/>
  <c r="R15" i="16"/>
  <c r="Q15" i="16"/>
  <c r="N15" i="16"/>
  <c r="M15" i="16"/>
  <c r="L15" i="16"/>
  <c r="I15" i="16"/>
  <c r="H15" i="16"/>
  <c r="G15" i="16"/>
  <c r="D15" i="16"/>
  <c r="C15" i="16"/>
  <c r="B15" i="16"/>
  <c r="AH14" i="16"/>
  <c r="AG14" i="16"/>
  <c r="AF14" i="16"/>
  <c r="AC14" i="16"/>
  <c r="AB14" i="16"/>
  <c r="AA14" i="16"/>
  <c r="X14" i="16"/>
  <c r="W14" i="16"/>
  <c r="V14" i="16"/>
  <c r="S14" i="16"/>
  <c r="R14" i="16"/>
  <c r="Q14" i="16"/>
  <c r="N14" i="16"/>
  <c r="M14" i="16"/>
  <c r="L14" i="16"/>
  <c r="I14" i="16"/>
  <c r="H14" i="16"/>
  <c r="G14" i="16"/>
  <c r="D14" i="16"/>
  <c r="C14" i="16"/>
  <c r="B14" i="16"/>
  <c r="AH13" i="16"/>
  <c r="AG13" i="16"/>
  <c r="AF13" i="16"/>
  <c r="AC13" i="16"/>
  <c r="AB13" i="16"/>
  <c r="AA13" i="16"/>
  <c r="X13" i="16"/>
  <c r="W13" i="16"/>
  <c r="V13" i="16"/>
  <c r="S13" i="16"/>
  <c r="R13" i="16"/>
  <c r="Q13" i="16"/>
  <c r="N13" i="16"/>
  <c r="M13" i="16"/>
  <c r="L13" i="16"/>
  <c r="I13" i="16"/>
  <c r="H13" i="16"/>
  <c r="G13" i="16"/>
  <c r="D13" i="16"/>
  <c r="C13" i="16"/>
  <c r="B13" i="16"/>
  <c r="AH12" i="16"/>
  <c r="AG12" i="16"/>
  <c r="AF12" i="16"/>
  <c r="AC12" i="16"/>
  <c r="AB12" i="16"/>
  <c r="AA12" i="16"/>
  <c r="X12" i="16"/>
  <c r="W12" i="16"/>
  <c r="V12" i="16"/>
  <c r="S12" i="16"/>
  <c r="R12" i="16"/>
  <c r="Q12" i="16"/>
  <c r="N12" i="16"/>
  <c r="M12" i="16"/>
  <c r="L12" i="16"/>
  <c r="I12" i="16"/>
  <c r="H12" i="16"/>
  <c r="G12" i="16"/>
  <c r="D12" i="16"/>
  <c r="C12" i="16"/>
  <c r="B12" i="16"/>
  <c r="AH11" i="16"/>
  <c r="AG11" i="16"/>
  <c r="AF11" i="16"/>
  <c r="AC11" i="16"/>
  <c r="AB11" i="16"/>
  <c r="AA11" i="16"/>
  <c r="X11" i="16"/>
  <c r="W11" i="16"/>
  <c r="V11" i="16"/>
  <c r="S11" i="16"/>
  <c r="R11" i="16"/>
  <c r="Q11" i="16"/>
  <c r="N11" i="16"/>
  <c r="M11" i="16"/>
  <c r="L11" i="16"/>
  <c r="I11" i="16"/>
  <c r="H11" i="16"/>
  <c r="G11" i="16"/>
  <c r="D11" i="16"/>
  <c r="C11" i="16"/>
  <c r="B11" i="16"/>
  <c r="AH10" i="16"/>
  <c r="AG10" i="16"/>
  <c r="AF10" i="16"/>
  <c r="AC10" i="16"/>
  <c r="AB10" i="16"/>
  <c r="AA10" i="16"/>
  <c r="X10" i="16"/>
  <c r="W10" i="16"/>
  <c r="V10" i="16"/>
  <c r="S10" i="16"/>
  <c r="R10" i="16"/>
  <c r="Q10" i="16"/>
  <c r="N10" i="16"/>
  <c r="M10" i="16"/>
  <c r="L10" i="16"/>
  <c r="I10" i="16"/>
  <c r="H10" i="16"/>
  <c r="G10" i="16"/>
  <c r="D10" i="16"/>
  <c r="C10" i="16"/>
  <c r="B10" i="16"/>
  <c r="AH9" i="16"/>
  <c r="AG9" i="16"/>
  <c r="AF9" i="16"/>
  <c r="AC9" i="16"/>
  <c r="AB9" i="16"/>
  <c r="AA9" i="16"/>
  <c r="X9" i="16"/>
  <c r="W9" i="16"/>
  <c r="V9" i="16"/>
  <c r="S9" i="16"/>
  <c r="R9" i="16"/>
  <c r="Q9" i="16"/>
  <c r="N9" i="16"/>
  <c r="M9" i="16"/>
  <c r="L9" i="16"/>
  <c r="I9" i="16"/>
  <c r="H9" i="16"/>
  <c r="G9" i="16"/>
  <c r="D9" i="16"/>
  <c r="C9" i="16"/>
  <c r="B9" i="16"/>
  <c r="AH8" i="16"/>
  <c r="AG8" i="16"/>
  <c r="AF8" i="16"/>
  <c r="AC8" i="16"/>
  <c r="AB8" i="16"/>
  <c r="AA8" i="16"/>
  <c r="X8" i="16"/>
  <c r="W8" i="16"/>
  <c r="V8" i="16"/>
  <c r="S8" i="16"/>
  <c r="R8" i="16"/>
  <c r="Q8" i="16"/>
  <c r="N8" i="16"/>
  <c r="M8" i="16"/>
  <c r="L8" i="16"/>
  <c r="I8" i="16"/>
  <c r="H8" i="16"/>
  <c r="G8" i="16"/>
  <c r="D8" i="16"/>
  <c r="C8" i="16"/>
  <c r="B8" i="16"/>
  <c r="AH7" i="16"/>
  <c r="AG7" i="16"/>
  <c r="AF7" i="16"/>
  <c r="AC7" i="16"/>
  <c r="AB7" i="16"/>
  <c r="AA7" i="16"/>
  <c r="X7" i="16"/>
  <c r="W7" i="16"/>
  <c r="V7" i="16"/>
  <c r="S7" i="16"/>
  <c r="R7" i="16"/>
  <c r="Q7" i="16"/>
  <c r="N7" i="16"/>
  <c r="M7" i="16"/>
  <c r="L7" i="16"/>
  <c r="I7" i="16"/>
  <c r="H7" i="16"/>
  <c r="G7" i="16"/>
  <c r="D7" i="16"/>
  <c r="C7" i="16"/>
  <c r="B7" i="16"/>
  <c r="AH6" i="16"/>
  <c r="AG6" i="16"/>
  <c r="AF6" i="16"/>
  <c r="AC6" i="16"/>
  <c r="AB6" i="16"/>
  <c r="AA6" i="16"/>
  <c r="X6" i="16"/>
  <c r="W6" i="16"/>
  <c r="V6" i="16"/>
  <c r="S6" i="16"/>
  <c r="R6" i="16"/>
  <c r="Q6" i="16"/>
  <c r="N6" i="16"/>
  <c r="M6" i="16"/>
  <c r="L6" i="16"/>
  <c r="I6" i="16"/>
  <c r="H6" i="16"/>
  <c r="G6" i="16"/>
  <c r="D6" i="16"/>
  <c r="C6" i="16"/>
  <c r="B6" i="16"/>
  <c r="AH17" i="15"/>
  <c r="AG17" i="15"/>
  <c r="AF17" i="15"/>
  <c r="AC17" i="15"/>
  <c r="AB17" i="15"/>
  <c r="AA17" i="15"/>
  <c r="X17" i="15"/>
  <c r="W17" i="15"/>
  <c r="V17" i="15"/>
  <c r="S17" i="15"/>
  <c r="R17" i="15"/>
  <c r="Q17" i="15"/>
  <c r="N17" i="15"/>
  <c r="M17" i="15"/>
  <c r="L17" i="15"/>
  <c r="I17" i="15"/>
  <c r="H17" i="15"/>
  <c r="G17" i="15"/>
  <c r="D17" i="15"/>
  <c r="C17" i="15"/>
  <c r="B17" i="15"/>
  <c r="AH16" i="15"/>
  <c r="AG16" i="15"/>
  <c r="AF16" i="15"/>
  <c r="AC16" i="15"/>
  <c r="AB16" i="15"/>
  <c r="AA16" i="15"/>
  <c r="X16" i="15"/>
  <c r="W16" i="15"/>
  <c r="V16" i="15"/>
  <c r="S16" i="15"/>
  <c r="R16" i="15"/>
  <c r="Q16" i="15"/>
  <c r="N16" i="15"/>
  <c r="M16" i="15"/>
  <c r="L16" i="15"/>
  <c r="I16" i="15"/>
  <c r="H16" i="15"/>
  <c r="G16" i="15"/>
  <c r="D16" i="15"/>
  <c r="C16" i="15"/>
  <c r="B16" i="15"/>
  <c r="AH15" i="15"/>
  <c r="AG15" i="15"/>
  <c r="AF15" i="15"/>
  <c r="AC15" i="15"/>
  <c r="AB15" i="15"/>
  <c r="AA15" i="15"/>
  <c r="X15" i="15"/>
  <c r="W15" i="15"/>
  <c r="V15" i="15"/>
  <c r="S15" i="15"/>
  <c r="R15" i="15"/>
  <c r="Q15" i="15"/>
  <c r="N15" i="15"/>
  <c r="M15" i="15"/>
  <c r="L15" i="15"/>
  <c r="I15" i="15"/>
  <c r="H15" i="15"/>
  <c r="G15" i="15"/>
  <c r="D15" i="15"/>
  <c r="C15" i="15"/>
  <c r="B15" i="15"/>
  <c r="AH14" i="15"/>
  <c r="AG14" i="15"/>
  <c r="AF14" i="15"/>
  <c r="AC14" i="15"/>
  <c r="AB14" i="15"/>
  <c r="AA14" i="15"/>
  <c r="X14" i="15"/>
  <c r="W14" i="15"/>
  <c r="V14" i="15"/>
  <c r="S14" i="15"/>
  <c r="R14" i="15"/>
  <c r="Q14" i="15"/>
  <c r="N14" i="15"/>
  <c r="M14" i="15"/>
  <c r="L14" i="15"/>
  <c r="I14" i="15"/>
  <c r="H14" i="15"/>
  <c r="G14" i="15"/>
  <c r="D14" i="15"/>
  <c r="C14" i="15"/>
  <c r="B14" i="15"/>
  <c r="AH13" i="15"/>
  <c r="AG13" i="15"/>
  <c r="AF13" i="15"/>
  <c r="AC13" i="15"/>
  <c r="AB13" i="15"/>
  <c r="AA13" i="15"/>
  <c r="X13" i="15"/>
  <c r="W13" i="15"/>
  <c r="V13" i="15"/>
  <c r="S13" i="15"/>
  <c r="R13" i="15"/>
  <c r="Q13" i="15"/>
  <c r="N13" i="15"/>
  <c r="M13" i="15"/>
  <c r="L13" i="15"/>
  <c r="I13" i="15"/>
  <c r="H13" i="15"/>
  <c r="G13" i="15"/>
  <c r="D13" i="15"/>
  <c r="C13" i="15"/>
  <c r="B13" i="15"/>
  <c r="AH12" i="15"/>
  <c r="AG12" i="15"/>
  <c r="AF12" i="15"/>
  <c r="AC12" i="15"/>
  <c r="AB12" i="15"/>
  <c r="AA12" i="15"/>
  <c r="X12" i="15"/>
  <c r="W12" i="15"/>
  <c r="V12" i="15"/>
  <c r="S12" i="15"/>
  <c r="R12" i="15"/>
  <c r="Q12" i="15"/>
  <c r="N12" i="15"/>
  <c r="M12" i="15"/>
  <c r="L12" i="15"/>
  <c r="I12" i="15"/>
  <c r="H12" i="15"/>
  <c r="G12" i="15"/>
  <c r="D12" i="15"/>
  <c r="C12" i="15"/>
  <c r="B12" i="15"/>
  <c r="AH11" i="15"/>
  <c r="AG11" i="15"/>
  <c r="AF11" i="15"/>
  <c r="AC11" i="15"/>
  <c r="AB11" i="15"/>
  <c r="AA11" i="15"/>
  <c r="X11" i="15"/>
  <c r="W11" i="15"/>
  <c r="V11" i="15"/>
  <c r="S11" i="15"/>
  <c r="R11" i="15"/>
  <c r="Q11" i="15"/>
  <c r="N11" i="15"/>
  <c r="M11" i="15"/>
  <c r="L11" i="15"/>
  <c r="I11" i="15"/>
  <c r="H11" i="15"/>
  <c r="G11" i="15"/>
  <c r="D11" i="15"/>
  <c r="C11" i="15"/>
  <c r="B11" i="15"/>
  <c r="AH10" i="15"/>
  <c r="AG10" i="15"/>
  <c r="AF10" i="15"/>
  <c r="AC10" i="15"/>
  <c r="AB10" i="15"/>
  <c r="AA10" i="15"/>
  <c r="X10" i="15"/>
  <c r="W10" i="15"/>
  <c r="V10" i="15"/>
  <c r="S10" i="15"/>
  <c r="R10" i="15"/>
  <c r="Q10" i="15"/>
  <c r="N10" i="15"/>
  <c r="M10" i="15"/>
  <c r="L10" i="15"/>
  <c r="I10" i="15"/>
  <c r="H10" i="15"/>
  <c r="G10" i="15"/>
  <c r="D10" i="15"/>
  <c r="C10" i="15"/>
  <c r="B10" i="15"/>
  <c r="AH9" i="15"/>
  <c r="AG9" i="15"/>
  <c r="AF9" i="15"/>
  <c r="AC9" i="15"/>
  <c r="AB9" i="15"/>
  <c r="AA9" i="15"/>
  <c r="X9" i="15"/>
  <c r="W9" i="15"/>
  <c r="V9" i="15"/>
  <c r="S9" i="15"/>
  <c r="R9" i="15"/>
  <c r="Q9" i="15"/>
  <c r="N9" i="15"/>
  <c r="M9" i="15"/>
  <c r="L9" i="15"/>
  <c r="I9" i="15"/>
  <c r="H9" i="15"/>
  <c r="G9" i="15"/>
  <c r="D9" i="15"/>
  <c r="C9" i="15"/>
  <c r="B9" i="15"/>
  <c r="AH8" i="15"/>
  <c r="AG8" i="15"/>
  <c r="AF8" i="15"/>
  <c r="AC8" i="15"/>
  <c r="AB8" i="15"/>
  <c r="AA8" i="15"/>
  <c r="X8" i="15"/>
  <c r="W8" i="15"/>
  <c r="V8" i="15"/>
  <c r="S8" i="15"/>
  <c r="R8" i="15"/>
  <c r="Q8" i="15"/>
  <c r="N8" i="15"/>
  <c r="M8" i="15"/>
  <c r="L8" i="15"/>
  <c r="I8" i="15"/>
  <c r="H8" i="15"/>
  <c r="G8" i="15"/>
  <c r="D8" i="15"/>
  <c r="C8" i="15"/>
  <c r="B8" i="15"/>
  <c r="AH7" i="15"/>
  <c r="AG7" i="15"/>
  <c r="AF7" i="15"/>
  <c r="AC7" i="15"/>
  <c r="AB7" i="15"/>
  <c r="AA7" i="15"/>
  <c r="X7" i="15"/>
  <c r="W7" i="15"/>
  <c r="V7" i="15"/>
  <c r="S7" i="15"/>
  <c r="R7" i="15"/>
  <c r="Q7" i="15"/>
  <c r="N7" i="15"/>
  <c r="M7" i="15"/>
  <c r="L7" i="15"/>
  <c r="I7" i="15"/>
  <c r="H7" i="15"/>
  <c r="G7" i="15"/>
  <c r="D7" i="15"/>
  <c r="C7" i="15"/>
  <c r="B7" i="15"/>
  <c r="AH6" i="15"/>
  <c r="AG6" i="15"/>
  <c r="AF6" i="15"/>
  <c r="AC6" i="15"/>
  <c r="AB6" i="15"/>
  <c r="AA6" i="15"/>
  <c r="X6" i="15"/>
  <c r="W6" i="15"/>
  <c r="V6" i="15"/>
  <c r="S6" i="15"/>
  <c r="R6" i="15"/>
  <c r="Q6" i="15"/>
  <c r="N6" i="15"/>
  <c r="M6" i="15"/>
  <c r="L6" i="15"/>
  <c r="I6" i="15"/>
  <c r="H6" i="15"/>
  <c r="G6" i="15"/>
  <c r="D6" i="15"/>
  <c r="C6" i="15"/>
  <c r="B6" i="15"/>
  <c r="AH17" i="14"/>
  <c r="AG17" i="14"/>
  <c r="AF17" i="14"/>
  <c r="AC17" i="14"/>
  <c r="AB17" i="14"/>
  <c r="AA17" i="14"/>
  <c r="X17" i="14"/>
  <c r="W17" i="14"/>
  <c r="V17" i="14"/>
  <c r="S17" i="14"/>
  <c r="R17" i="14"/>
  <c r="Q17" i="14"/>
  <c r="N17" i="14"/>
  <c r="M17" i="14"/>
  <c r="L17" i="14"/>
  <c r="I17" i="14"/>
  <c r="H17" i="14"/>
  <c r="G17" i="14"/>
  <c r="D17" i="14"/>
  <c r="C17" i="14"/>
  <c r="B17" i="14"/>
  <c r="AH16" i="14"/>
  <c r="AG16" i="14"/>
  <c r="AF16" i="14"/>
  <c r="AC16" i="14"/>
  <c r="AB16" i="14"/>
  <c r="AA16" i="14"/>
  <c r="X16" i="14"/>
  <c r="W16" i="14"/>
  <c r="V16" i="14"/>
  <c r="S16" i="14"/>
  <c r="R16" i="14"/>
  <c r="Q16" i="14"/>
  <c r="N16" i="14"/>
  <c r="M16" i="14"/>
  <c r="L16" i="14"/>
  <c r="I16" i="14"/>
  <c r="H16" i="14"/>
  <c r="G16" i="14"/>
  <c r="D16" i="14"/>
  <c r="C16" i="14"/>
  <c r="B16" i="14"/>
  <c r="AH15" i="14"/>
  <c r="AG15" i="14"/>
  <c r="AF15" i="14"/>
  <c r="AC15" i="14"/>
  <c r="AB15" i="14"/>
  <c r="AA15" i="14"/>
  <c r="X15" i="14"/>
  <c r="W15" i="14"/>
  <c r="V15" i="14"/>
  <c r="S15" i="14"/>
  <c r="R15" i="14"/>
  <c r="Q15" i="14"/>
  <c r="N15" i="14"/>
  <c r="M15" i="14"/>
  <c r="L15" i="14"/>
  <c r="I15" i="14"/>
  <c r="H15" i="14"/>
  <c r="G15" i="14"/>
  <c r="D15" i="14"/>
  <c r="C15" i="14"/>
  <c r="B15" i="14"/>
  <c r="AH14" i="14"/>
  <c r="AG14" i="14"/>
  <c r="AF14" i="14"/>
  <c r="AC14" i="14"/>
  <c r="AB14" i="14"/>
  <c r="AA14" i="14"/>
  <c r="X14" i="14"/>
  <c r="W14" i="14"/>
  <c r="V14" i="14"/>
  <c r="S14" i="14"/>
  <c r="R14" i="14"/>
  <c r="Q14" i="14"/>
  <c r="N14" i="14"/>
  <c r="M14" i="14"/>
  <c r="L14" i="14"/>
  <c r="I14" i="14"/>
  <c r="H14" i="14"/>
  <c r="G14" i="14"/>
  <c r="D14" i="14"/>
  <c r="C14" i="14"/>
  <c r="B14" i="14"/>
  <c r="AH13" i="14"/>
  <c r="AG13" i="14"/>
  <c r="AF13" i="14"/>
  <c r="AC13" i="14"/>
  <c r="AB13" i="14"/>
  <c r="AA13" i="14"/>
  <c r="X13" i="14"/>
  <c r="W13" i="14"/>
  <c r="V13" i="14"/>
  <c r="S13" i="14"/>
  <c r="R13" i="14"/>
  <c r="Q13" i="14"/>
  <c r="N13" i="14"/>
  <c r="M13" i="14"/>
  <c r="L13" i="14"/>
  <c r="I13" i="14"/>
  <c r="H13" i="14"/>
  <c r="G13" i="14"/>
  <c r="D13" i="14"/>
  <c r="C13" i="14"/>
  <c r="B13" i="14"/>
  <c r="AH12" i="14"/>
  <c r="AG12" i="14"/>
  <c r="AF12" i="14"/>
  <c r="AC12" i="14"/>
  <c r="AB12" i="14"/>
  <c r="AA12" i="14"/>
  <c r="X12" i="14"/>
  <c r="W12" i="14"/>
  <c r="V12" i="14"/>
  <c r="S12" i="14"/>
  <c r="R12" i="14"/>
  <c r="Q12" i="14"/>
  <c r="N12" i="14"/>
  <c r="M12" i="14"/>
  <c r="L12" i="14"/>
  <c r="I12" i="14"/>
  <c r="H12" i="14"/>
  <c r="G12" i="14"/>
  <c r="D12" i="14"/>
  <c r="C12" i="14"/>
  <c r="B12" i="14"/>
  <c r="AH11" i="14"/>
  <c r="AG11" i="14"/>
  <c r="AF11" i="14"/>
  <c r="AC11" i="14"/>
  <c r="AB11" i="14"/>
  <c r="AA11" i="14"/>
  <c r="X11" i="14"/>
  <c r="W11" i="14"/>
  <c r="V11" i="14"/>
  <c r="S11" i="14"/>
  <c r="R11" i="14"/>
  <c r="Q11" i="14"/>
  <c r="N11" i="14"/>
  <c r="M11" i="14"/>
  <c r="L11" i="14"/>
  <c r="I11" i="14"/>
  <c r="H11" i="14"/>
  <c r="G11" i="14"/>
  <c r="D11" i="14"/>
  <c r="C11" i="14"/>
  <c r="B11" i="14"/>
  <c r="AH10" i="14"/>
  <c r="AG10" i="14"/>
  <c r="AF10" i="14"/>
  <c r="AC10" i="14"/>
  <c r="AB10" i="14"/>
  <c r="AA10" i="14"/>
  <c r="X10" i="14"/>
  <c r="W10" i="14"/>
  <c r="V10" i="14"/>
  <c r="S10" i="14"/>
  <c r="R10" i="14"/>
  <c r="Q10" i="14"/>
  <c r="N10" i="14"/>
  <c r="M10" i="14"/>
  <c r="L10" i="14"/>
  <c r="I10" i="14"/>
  <c r="H10" i="14"/>
  <c r="G10" i="14"/>
  <c r="D10" i="14"/>
  <c r="C10" i="14"/>
  <c r="B10" i="14"/>
  <c r="AH9" i="14"/>
  <c r="AG9" i="14"/>
  <c r="AF9" i="14"/>
  <c r="AC9" i="14"/>
  <c r="AB9" i="14"/>
  <c r="AA9" i="14"/>
  <c r="X9" i="14"/>
  <c r="W9" i="14"/>
  <c r="V9" i="14"/>
  <c r="S9" i="14"/>
  <c r="R9" i="14"/>
  <c r="Q9" i="14"/>
  <c r="N9" i="14"/>
  <c r="M9" i="14"/>
  <c r="L9" i="14"/>
  <c r="I9" i="14"/>
  <c r="H9" i="14"/>
  <c r="G9" i="14"/>
  <c r="D9" i="14"/>
  <c r="C9" i="14"/>
  <c r="B9" i="14"/>
  <c r="AH8" i="14"/>
  <c r="AG8" i="14"/>
  <c r="AF8" i="14"/>
  <c r="AC8" i="14"/>
  <c r="AB8" i="14"/>
  <c r="AA8" i="14"/>
  <c r="X8" i="14"/>
  <c r="W8" i="14"/>
  <c r="V8" i="14"/>
  <c r="S8" i="14"/>
  <c r="R8" i="14"/>
  <c r="Q8" i="14"/>
  <c r="N8" i="14"/>
  <c r="M8" i="14"/>
  <c r="L8" i="14"/>
  <c r="I8" i="14"/>
  <c r="H8" i="14"/>
  <c r="G8" i="14"/>
  <c r="D8" i="14"/>
  <c r="C8" i="14"/>
  <c r="B8" i="14"/>
  <c r="AH7" i="14"/>
  <c r="AG7" i="14"/>
  <c r="AF7" i="14"/>
  <c r="AC7" i="14"/>
  <c r="AB7" i="14"/>
  <c r="AA7" i="14"/>
  <c r="X7" i="14"/>
  <c r="W7" i="14"/>
  <c r="V7" i="14"/>
  <c r="S7" i="14"/>
  <c r="R7" i="14"/>
  <c r="Q7" i="14"/>
  <c r="N7" i="14"/>
  <c r="M7" i="14"/>
  <c r="L7" i="14"/>
  <c r="I7" i="14"/>
  <c r="H7" i="14"/>
  <c r="G7" i="14"/>
  <c r="D7" i="14"/>
  <c r="C7" i="14"/>
  <c r="B7" i="14"/>
  <c r="AH6" i="14"/>
  <c r="AG6" i="14"/>
  <c r="AF6" i="14"/>
  <c r="AC6" i="14"/>
  <c r="AB6" i="14"/>
  <c r="AA6" i="14"/>
  <c r="X6" i="14"/>
  <c r="W6" i="14"/>
  <c r="V6" i="14"/>
  <c r="S6" i="14"/>
  <c r="R6" i="14"/>
  <c r="Q6" i="14"/>
  <c r="N6" i="14"/>
  <c r="M6" i="14"/>
  <c r="L6" i="14"/>
  <c r="I6" i="14"/>
  <c r="H6" i="14"/>
  <c r="G6" i="14"/>
  <c r="AH17" i="13"/>
  <c r="AG17" i="13"/>
  <c r="AF17" i="13"/>
  <c r="AC17" i="13"/>
  <c r="AB17" i="13"/>
  <c r="AA17" i="13"/>
  <c r="X17" i="13"/>
  <c r="W17" i="13"/>
  <c r="V17" i="13"/>
  <c r="S17" i="13"/>
  <c r="R17" i="13"/>
  <c r="Q17" i="13"/>
  <c r="N17" i="13"/>
  <c r="M17" i="13"/>
  <c r="L17" i="13"/>
  <c r="I17" i="13"/>
  <c r="H17" i="13"/>
  <c r="G17" i="13"/>
  <c r="D17" i="13"/>
  <c r="C17" i="13"/>
  <c r="B17" i="13"/>
  <c r="AH16" i="13"/>
  <c r="AG16" i="13"/>
  <c r="AF16" i="13"/>
  <c r="AC16" i="13"/>
  <c r="AB16" i="13"/>
  <c r="AA16" i="13"/>
  <c r="X16" i="13"/>
  <c r="W16" i="13"/>
  <c r="V16" i="13"/>
  <c r="S16" i="13"/>
  <c r="R16" i="13"/>
  <c r="Q16" i="13"/>
  <c r="N16" i="13"/>
  <c r="M16" i="13"/>
  <c r="L16" i="13"/>
  <c r="I16" i="13"/>
  <c r="H16" i="13"/>
  <c r="G16" i="13"/>
  <c r="D16" i="13"/>
  <c r="C16" i="13"/>
  <c r="B16" i="13"/>
  <c r="AH15" i="13"/>
  <c r="AG15" i="13"/>
  <c r="AF15" i="13"/>
  <c r="AC15" i="13"/>
  <c r="AB15" i="13"/>
  <c r="AA15" i="13"/>
  <c r="X15" i="13"/>
  <c r="W15" i="13"/>
  <c r="V15" i="13"/>
  <c r="S15" i="13"/>
  <c r="R15" i="13"/>
  <c r="Q15" i="13"/>
  <c r="N15" i="13"/>
  <c r="M15" i="13"/>
  <c r="L15" i="13"/>
  <c r="I15" i="13"/>
  <c r="H15" i="13"/>
  <c r="G15" i="13"/>
  <c r="D15" i="13"/>
  <c r="C15" i="13"/>
  <c r="B15" i="13"/>
  <c r="AH14" i="13"/>
  <c r="AG14" i="13"/>
  <c r="AF14" i="13"/>
  <c r="AC14" i="13"/>
  <c r="AB14" i="13"/>
  <c r="AA14" i="13"/>
  <c r="X14" i="13"/>
  <c r="W14" i="13"/>
  <c r="V14" i="13"/>
  <c r="S14" i="13"/>
  <c r="R14" i="13"/>
  <c r="Q14" i="13"/>
  <c r="N14" i="13"/>
  <c r="M14" i="13"/>
  <c r="L14" i="13"/>
  <c r="I14" i="13"/>
  <c r="H14" i="13"/>
  <c r="G14" i="13"/>
  <c r="D14" i="13"/>
  <c r="C14" i="13"/>
  <c r="B14" i="13"/>
  <c r="AH13" i="13"/>
  <c r="AG13" i="13"/>
  <c r="AF13" i="13"/>
  <c r="AC13" i="13"/>
  <c r="AB13" i="13"/>
  <c r="AA13" i="13"/>
  <c r="X13" i="13"/>
  <c r="W13" i="13"/>
  <c r="V13" i="13"/>
  <c r="S13" i="13"/>
  <c r="R13" i="13"/>
  <c r="Q13" i="13"/>
  <c r="N13" i="13"/>
  <c r="M13" i="13"/>
  <c r="L13" i="13"/>
  <c r="I13" i="13"/>
  <c r="H13" i="13"/>
  <c r="G13" i="13"/>
  <c r="D13" i="13"/>
  <c r="C13" i="13"/>
  <c r="B13" i="13"/>
  <c r="AH12" i="13"/>
  <c r="AG12" i="13"/>
  <c r="AF12" i="13"/>
  <c r="AC12" i="13"/>
  <c r="AB12" i="13"/>
  <c r="AA12" i="13"/>
  <c r="X12" i="13"/>
  <c r="W12" i="13"/>
  <c r="V12" i="13"/>
  <c r="S12" i="13"/>
  <c r="R12" i="13"/>
  <c r="Q12" i="13"/>
  <c r="N12" i="13"/>
  <c r="M12" i="13"/>
  <c r="L12" i="13"/>
  <c r="I12" i="13"/>
  <c r="H12" i="13"/>
  <c r="G12" i="13"/>
  <c r="D12" i="13"/>
  <c r="C12" i="13"/>
  <c r="B12" i="13"/>
  <c r="AH11" i="13"/>
  <c r="AG11" i="13"/>
  <c r="AF11" i="13"/>
  <c r="AC11" i="13"/>
  <c r="AB11" i="13"/>
  <c r="AA11" i="13"/>
  <c r="X11" i="13"/>
  <c r="W11" i="13"/>
  <c r="V11" i="13"/>
  <c r="S11" i="13"/>
  <c r="R11" i="13"/>
  <c r="Q11" i="13"/>
  <c r="N11" i="13"/>
  <c r="M11" i="13"/>
  <c r="L11" i="13"/>
  <c r="I11" i="13"/>
  <c r="H11" i="13"/>
  <c r="G11" i="13"/>
  <c r="D11" i="13"/>
  <c r="C11" i="13"/>
  <c r="B11" i="13"/>
  <c r="AH10" i="13"/>
  <c r="AG10" i="13"/>
  <c r="AF10" i="13"/>
  <c r="AC10" i="13"/>
  <c r="AB10" i="13"/>
  <c r="AA10" i="13"/>
  <c r="X10" i="13"/>
  <c r="W10" i="13"/>
  <c r="V10" i="13"/>
  <c r="S10" i="13"/>
  <c r="R10" i="13"/>
  <c r="Q10" i="13"/>
  <c r="N10" i="13"/>
  <c r="M10" i="13"/>
  <c r="L10" i="13"/>
  <c r="I10" i="13"/>
  <c r="H10" i="13"/>
  <c r="G10" i="13"/>
  <c r="D10" i="13"/>
  <c r="C10" i="13"/>
  <c r="B10" i="13"/>
  <c r="AH9" i="13"/>
  <c r="AG9" i="13"/>
  <c r="AF9" i="13"/>
  <c r="AC9" i="13"/>
  <c r="AB9" i="13"/>
  <c r="AA9" i="13"/>
  <c r="X9" i="13"/>
  <c r="W9" i="13"/>
  <c r="V9" i="13"/>
  <c r="S9" i="13"/>
  <c r="R9" i="13"/>
  <c r="Q9" i="13"/>
  <c r="N9" i="13"/>
  <c r="M9" i="13"/>
  <c r="L9" i="13"/>
  <c r="I9" i="13"/>
  <c r="H9" i="13"/>
  <c r="G9" i="13"/>
  <c r="D9" i="13"/>
  <c r="C9" i="13"/>
  <c r="B9" i="13"/>
  <c r="AH8" i="13"/>
  <c r="AG8" i="13"/>
  <c r="AF8" i="13"/>
  <c r="AC8" i="13"/>
  <c r="AB8" i="13"/>
  <c r="AA8" i="13"/>
  <c r="X8" i="13"/>
  <c r="W8" i="13"/>
  <c r="V8" i="13"/>
  <c r="S8" i="13"/>
  <c r="R8" i="13"/>
  <c r="Q8" i="13"/>
  <c r="N8" i="13"/>
  <c r="M8" i="13"/>
  <c r="L8" i="13"/>
  <c r="I8" i="13"/>
  <c r="H8" i="13"/>
  <c r="G8" i="13"/>
  <c r="D8" i="13"/>
  <c r="C8" i="13"/>
  <c r="B8" i="13"/>
  <c r="AH7" i="13"/>
  <c r="AG7" i="13"/>
  <c r="AF7" i="13"/>
  <c r="AC7" i="13"/>
  <c r="AB7" i="13"/>
  <c r="AA7" i="13"/>
  <c r="X7" i="13"/>
  <c r="W7" i="13"/>
  <c r="V7" i="13"/>
  <c r="S7" i="13"/>
  <c r="R7" i="13"/>
  <c r="Q7" i="13"/>
  <c r="N7" i="13"/>
  <c r="M7" i="13"/>
  <c r="L7" i="13"/>
  <c r="I7" i="13"/>
  <c r="H7" i="13"/>
  <c r="G7" i="13"/>
  <c r="D7" i="13"/>
  <c r="C7" i="13"/>
  <c r="B7" i="13"/>
  <c r="AH6" i="13"/>
  <c r="AG6" i="13"/>
  <c r="AF6" i="13"/>
  <c r="AC6" i="13"/>
  <c r="AB6" i="13"/>
  <c r="AA6" i="13"/>
  <c r="X6" i="13"/>
  <c r="W6" i="13"/>
  <c r="V6" i="13"/>
  <c r="S6" i="13"/>
  <c r="R6" i="13"/>
  <c r="Q6" i="13"/>
  <c r="N6" i="13"/>
  <c r="M6" i="13"/>
  <c r="L6" i="13"/>
  <c r="I6" i="13"/>
  <c r="H6" i="13"/>
  <c r="G6" i="13"/>
  <c r="D6" i="13"/>
  <c r="C6" i="13"/>
  <c r="B6" i="13"/>
  <c r="AH17" i="12"/>
  <c r="AG17" i="12"/>
  <c r="AF17" i="12"/>
  <c r="AC17" i="12"/>
  <c r="AB17" i="12"/>
  <c r="AA17" i="12"/>
  <c r="X17" i="12"/>
  <c r="W17" i="12"/>
  <c r="V17" i="12"/>
  <c r="S17" i="12"/>
  <c r="R17" i="12"/>
  <c r="Q17" i="12"/>
  <c r="N17" i="12"/>
  <c r="M17" i="12"/>
  <c r="L17" i="12"/>
  <c r="I17" i="12"/>
  <c r="H17" i="12"/>
  <c r="G17" i="12"/>
  <c r="D17" i="12"/>
  <c r="C17" i="12"/>
  <c r="B17" i="12"/>
  <c r="AH16" i="12"/>
  <c r="AG16" i="12"/>
  <c r="AF16" i="12"/>
  <c r="AC16" i="12"/>
  <c r="AB16" i="12"/>
  <c r="AA16" i="12"/>
  <c r="X16" i="12"/>
  <c r="W16" i="12"/>
  <c r="V16" i="12"/>
  <c r="S16" i="12"/>
  <c r="R16" i="12"/>
  <c r="Q16" i="12"/>
  <c r="N16" i="12"/>
  <c r="M16" i="12"/>
  <c r="L16" i="12"/>
  <c r="I16" i="12"/>
  <c r="H16" i="12"/>
  <c r="G16" i="12"/>
  <c r="D16" i="12"/>
  <c r="C16" i="12"/>
  <c r="B16" i="12"/>
  <c r="AH15" i="12"/>
  <c r="AG15" i="12"/>
  <c r="AF15" i="12"/>
  <c r="AC15" i="12"/>
  <c r="AB15" i="12"/>
  <c r="AA15" i="12"/>
  <c r="X15" i="12"/>
  <c r="W15" i="12"/>
  <c r="V15" i="12"/>
  <c r="S15" i="12"/>
  <c r="R15" i="12"/>
  <c r="Q15" i="12"/>
  <c r="N15" i="12"/>
  <c r="M15" i="12"/>
  <c r="L15" i="12"/>
  <c r="I15" i="12"/>
  <c r="H15" i="12"/>
  <c r="G15" i="12"/>
  <c r="D15" i="12"/>
  <c r="C15" i="12"/>
  <c r="B15" i="12"/>
  <c r="AH14" i="12"/>
  <c r="AG14" i="12"/>
  <c r="AF14" i="12"/>
  <c r="AC14" i="12"/>
  <c r="AB14" i="12"/>
  <c r="AA14" i="12"/>
  <c r="X14" i="12"/>
  <c r="W14" i="12"/>
  <c r="V14" i="12"/>
  <c r="S14" i="12"/>
  <c r="R14" i="12"/>
  <c r="Q14" i="12"/>
  <c r="N14" i="12"/>
  <c r="M14" i="12"/>
  <c r="L14" i="12"/>
  <c r="I14" i="12"/>
  <c r="H14" i="12"/>
  <c r="G14" i="12"/>
  <c r="D14" i="12"/>
  <c r="C14" i="12"/>
  <c r="B14" i="12"/>
  <c r="AH13" i="12"/>
  <c r="AG13" i="12"/>
  <c r="AF13" i="12"/>
  <c r="AC13" i="12"/>
  <c r="AB13" i="12"/>
  <c r="AA13" i="12"/>
  <c r="X13" i="12"/>
  <c r="W13" i="12"/>
  <c r="V13" i="12"/>
  <c r="S13" i="12"/>
  <c r="R13" i="12"/>
  <c r="Q13" i="12"/>
  <c r="N13" i="12"/>
  <c r="M13" i="12"/>
  <c r="L13" i="12"/>
  <c r="I13" i="12"/>
  <c r="H13" i="12"/>
  <c r="G13" i="12"/>
  <c r="D13" i="12"/>
  <c r="C13" i="12"/>
  <c r="B13" i="12"/>
  <c r="AH12" i="12"/>
  <c r="AG12" i="12"/>
  <c r="AF12" i="12"/>
  <c r="AC12" i="12"/>
  <c r="AB12" i="12"/>
  <c r="AA12" i="12"/>
  <c r="X12" i="12"/>
  <c r="W12" i="12"/>
  <c r="V12" i="12"/>
  <c r="S12" i="12"/>
  <c r="R12" i="12"/>
  <c r="Q12" i="12"/>
  <c r="N12" i="12"/>
  <c r="M12" i="12"/>
  <c r="L12" i="12"/>
  <c r="I12" i="12"/>
  <c r="H12" i="12"/>
  <c r="G12" i="12"/>
  <c r="D12" i="12"/>
  <c r="C12" i="12"/>
  <c r="B12" i="12"/>
  <c r="AH11" i="12"/>
  <c r="AG11" i="12"/>
  <c r="AF11" i="12"/>
  <c r="AC11" i="12"/>
  <c r="AB11" i="12"/>
  <c r="AA11" i="12"/>
  <c r="X11" i="12"/>
  <c r="W11" i="12"/>
  <c r="V11" i="12"/>
  <c r="S11" i="12"/>
  <c r="R11" i="12"/>
  <c r="Q11" i="12"/>
  <c r="N11" i="12"/>
  <c r="M11" i="12"/>
  <c r="L11" i="12"/>
  <c r="I11" i="12"/>
  <c r="H11" i="12"/>
  <c r="G11" i="12"/>
  <c r="D11" i="12"/>
  <c r="C11" i="12"/>
  <c r="B11" i="12"/>
  <c r="AH10" i="12"/>
  <c r="AG10" i="12"/>
  <c r="AF10" i="12"/>
  <c r="AC10" i="12"/>
  <c r="AB10" i="12"/>
  <c r="AA10" i="12"/>
  <c r="X10" i="12"/>
  <c r="W10" i="12"/>
  <c r="V10" i="12"/>
  <c r="S10" i="12"/>
  <c r="R10" i="12"/>
  <c r="Q10" i="12"/>
  <c r="N10" i="12"/>
  <c r="M10" i="12"/>
  <c r="L10" i="12"/>
  <c r="I10" i="12"/>
  <c r="H10" i="12"/>
  <c r="G10" i="12"/>
  <c r="D10" i="12"/>
  <c r="C10" i="12"/>
  <c r="B10" i="12"/>
  <c r="AH9" i="12"/>
  <c r="AG9" i="12"/>
  <c r="AF9" i="12"/>
  <c r="AC9" i="12"/>
  <c r="AB9" i="12"/>
  <c r="AA9" i="12"/>
  <c r="X9" i="12"/>
  <c r="W9" i="12"/>
  <c r="V9" i="12"/>
  <c r="S9" i="12"/>
  <c r="R9" i="12"/>
  <c r="Q9" i="12"/>
  <c r="N9" i="12"/>
  <c r="M9" i="12"/>
  <c r="L9" i="12"/>
  <c r="I9" i="12"/>
  <c r="H9" i="12"/>
  <c r="G9" i="12"/>
  <c r="D9" i="12"/>
  <c r="C9" i="12"/>
  <c r="B9" i="12"/>
  <c r="AH8" i="12"/>
  <c r="AG8" i="12"/>
  <c r="AF8" i="12"/>
  <c r="AC8" i="12"/>
  <c r="AB8" i="12"/>
  <c r="AA8" i="12"/>
  <c r="X8" i="12"/>
  <c r="W8" i="12"/>
  <c r="V8" i="12"/>
  <c r="S8" i="12"/>
  <c r="R8" i="12"/>
  <c r="Q8" i="12"/>
  <c r="N8" i="12"/>
  <c r="M8" i="12"/>
  <c r="L8" i="12"/>
  <c r="I8" i="12"/>
  <c r="H8" i="12"/>
  <c r="G8" i="12"/>
  <c r="D8" i="12"/>
  <c r="C8" i="12"/>
  <c r="B8" i="12"/>
  <c r="AH7" i="12"/>
  <c r="AG7" i="12"/>
  <c r="AF7" i="12"/>
  <c r="AC7" i="12"/>
  <c r="AB7" i="12"/>
  <c r="AA7" i="12"/>
  <c r="X7" i="12"/>
  <c r="W7" i="12"/>
  <c r="V7" i="12"/>
  <c r="S7" i="12"/>
  <c r="R7" i="12"/>
  <c r="Q7" i="12"/>
  <c r="N7" i="12"/>
  <c r="M7" i="12"/>
  <c r="L7" i="12"/>
  <c r="I7" i="12"/>
  <c r="H7" i="12"/>
  <c r="G7" i="12"/>
  <c r="D7" i="12"/>
  <c r="C7" i="12"/>
  <c r="B7" i="12"/>
  <c r="AH6" i="12"/>
  <c r="AG6" i="12"/>
  <c r="AF6" i="12"/>
  <c r="AC6" i="12"/>
  <c r="AB6" i="12"/>
  <c r="AA6" i="12"/>
  <c r="X6" i="12"/>
  <c r="W6" i="12"/>
  <c r="V6" i="12"/>
  <c r="S6" i="12"/>
  <c r="R6" i="12"/>
  <c r="Q6" i="12"/>
  <c r="N6" i="12"/>
  <c r="M6" i="12"/>
  <c r="L6" i="12"/>
  <c r="I6" i="12"/>
  <c r="H6" i="12"/>
  <c r="G6" i="12"/>
  <c r="D6" i="12"/>
  <c r="C6" i="12"/>
  <c r="B6" i="12"/>
  <c r="AH17" i="11"/>
  <c r="AG17" i="11"/>
  <c r="AF17" i="11"/>
  <c r="AC17" i="11"/>
  <c r="AB17" i="11"/>
  <c r="AA17" i="11"/>
  <c r="X17" i="11"/>
  <c r="W17" i="11"/>
  <c r="V17" i="11"/>
  <c r="S17" i="11"/>
  <c r="R17" i="11"/>
  <c r="Q17" i="11"/>
  <c r="N17" i="11"/>
  <c r="M17" i="11"/>
  <c r="L17" i="11"/>
  <c r="I17" i="11"/>
  <c r="H17" i="11"/>
  <c r="G17" i="11"/>
  <c r="AH16" i="11"/>
  <c r="AG16" i="11"/>
  <c r="AF16" i="11"/>
  <c r="AC16" i="11"/>
  <c r="AB16" i="11"/>
  <c r="AA16" i="11"/>
  <c r="X16" i="11"/>
  <c r="W16" i="11"/>
  <c r="V16" i="11"/>
  <c r="S16" i="11"/>
  <c r="R16" i="11"/>
  <c r="Q16" i="11"/>
  <c r="N16" i="11"/>
  <c r="M16" i="11"/>
  <c r="L16" i="11"/>
  <c r="I16" i="11"/>
  <c r="H16" i="11"/>
  <c r="G16" i="11"/>
  <c r="AH15" i="11"/>
  <c r="AG15" i="11"/>
  <c r="AF15" i="11"/>
  <c r="AC15" i="11"/>
  <c r="AB15" i="11"/>
  <c r="AA15" i="11"/>
  <c r="X15" i="11"/>
  <c r="W15" i="11"/>
  <c r="V15" i="11"/>
  <c r="S15" i="11"/>
  <c r="R15" i="11"/>
  <c r="Q15" i="11"/>
  <c r="N15" i="11"/>
  <c r="M15" i="11"/>
  <c r="L15" i="11"/>
  <c r="I15" i="11"/>
  <c r="H15" i="11"/>
  <c r="G15" i="11"/>
  <c r="AH14" i="11"/>
  <c r="AG14" i="11"/>
  <c r="AF14" i="11"/>
  <c r="AC14" i="11"/>
  <c r="AB14" i="11"/>
  <c r="AA14" i="11"/>
  <c r="X14" i="11"/>
  <c r="W14" i="11"/>
  <c r="V14" i="11"/>
  <c r="S14" i="11"/>
  <c r="R14" i="11"/>
  <c r="Q14" i="11"/>
  <c r="N14" i="11"/>
  <c r="M14" i="11"/>
  <c r="L14" i="11"/>
  <c r="I14" i="11"/>
  <c r="H14" i="11"/>
  <c r="G14" i="11"/>
  <c r="AH13" i="11"/>
  <c r="AG13" i="11"/>
  <c r="AF13" i="11"/>
  <c r="AC13" i="11"/>
  <c r="AB13" i="11"/>
  <c r="AA13" i="11"/>
  <c r="X13" i="11"/>
  <c r="W13" i="11"/>
  <c r="V13" i="11"/>
  <c r="S13" i="11"/>
  <c r="R13" i="11"/>
  <c r="Q13" i="11"/>
  <c r="N13" i="11"/>
  <c r="M13" i="11"/>
  <c r="L13" i="11"/>
  <c r="I13" i="11"/>
  <c r="H13" i="11"/>
  <c r="G13" i="11"/>
  <c r="AH12" i="11"/>
  <c r="AG12" i="11"/>
  <c r="AF12" i="11"/>
  <c r="AC12" i="11"/>
  <c r="AB12" i="11"/>
  <c r="AA12" i="11"/>
  <c r="X12" i="11"/>
  <c r="W12" i="11"/>
  <c r="V12" i="11"/>
  <c r="S12" i="11"/>
  <c r="R12" i="11"/>
  <c r="Q12" i="11"/>
  <c r="N12" i="11"/>
  <c r="M12" i="11"/>
  <c r="L12" i="11"/>
  <c r="I12" i="11"/>
  <c r="H12" i="11"/>
  <c r="G12" i="11"/>
  <c r="AH11" i="11"/>
  <c r="AG11" i="11"/>
  <c r="AF11" i="11"/>
  <c r="AC11" i="11"/>
  <c r="AB11" i="11"/>
  <c r="AA11" i="11"/>
  <c r="X11" i="11"/>
  <c r="W11" i="11"/>
  <c r="V11" i="11"/>
  <c r="S11" i="11"/>
  <c r="R11" i="11"/>
  <c r="Q11" i="11"/>
  <c r="N11" i="11"/>
  <c r="M11" i="11"/>
  <c r="L11" i="11"/>
  <c r="I11" i="11"/>
  <c r="H11" i="11"/>
  <c r="G11" i="11"/>
  <c r="AH10" i="11"/>
  <c r="AG10" i="11"/>
  <c r="AF10" i="11"/>
  <c r="AC10" i="11"/>
  <c r="AB10" i="11"/>
  <c r="AA10" i="11"/>
  <c r="X10" i="11"/>
  <c r="W10" i="11"/>
  <c r="V10" i="11"/>
  <c r="S10" i="11"/>
  <c r="R10" i="11"/>
  <c r="Q10" i="11"/>
  <c r="N10" i="11"/>
  <c r="M10" i="11"/>
  <c r="L10" i="11"/>
  <c r="I10" i="11"/>
  <c r="H10" i="11"/>
  <c r="G10" i="11"/>
  <c r="AH9" i="11"/>
  <c r="AG9" i="11"/>
  <c r="AF9" i="11"/>
  <c r="AC9" i="11"/>
  <c r="AB9" i="11"/>
  <c r="AA9" i="11"/>
  <c r="X9" i="11"/>
  <c r="W9" i="11"/>
  <c r="V9" i="11"/>
  <c r="S9" i="11"/>
  <c r="R9" i="11"/>
  <c r="Q9" i="11"/>
  <c r="N9" i="11"/>
  <c r="M9" i="11"/>
  <c r="L9" i="11"/>
  <c r="I9" i="11"/>
  <c r="H9" i="11"/>
  <c r="G9" i="11"/>
  <c r="AH8" i="11"/>
  <c r="AG8" i="11"/>
  <c r="AF8" i="11"/>
  <c r="AC8" i="11"/>
  <c r="AB8" i="11"/>
  <c r="AA8" i="11"/>
  <c r="X8" i="11"/>
  <c r="W8" i="11"/>
  <c r="V8" i="11"/>
  <c r="S8" i="11"/>
  <c r="R8" i="11"/>
  <c r="Q8" i="11"/>
  <c r="N8" i="11"/>
  <c r="M8" i="11"/>
  <c r="L8" i="11"/>
  <c r="I8" i="11"/>
  <c r="H8" i="11"/>
  <c r="G8" i="11"/>
  <c r="AH7" i="11"/>
  <c r="AG7" i="11"/>
  <c r="AF7" i="11"/>
  <c r="AC7" i="11"/>
  <c r="AB7" i="11"/>
  <c r="AA7" i="11"/>
  <c r="X7" i="11"/>
  <c r="W7" i="11"/>
  <c r="V7" i="11"/>
  <c r="S7" i="11"/>
  <c r="R7" i="11"/>
  <c r="Q7" i="11"/>
  <c r="N7" i="11"/>
  <c r="M7" i="11"/>
  <c r="L7" i="11"/>
  <c r="I7" i="11"/>
  <c r="H7" i="11"/>
  <c r="G7" i="11"/>
  <c r="AH6" i="11"/>
  <c r="AG6" i="11"/>
  <c r="AF6" i="11"/>
  <c r="AC6" i="11"/>
  <c r="AB6" i="11"/>
  <c r="AA6" i="11"/>
  <c r="X6" i="11"/>
  <c r="W6" i="11"/>
  <c r="V6" i="11"/>
  <c r="S6" i="11"/>
  <c r="R6" i="11"/>
  <c r="Q6" i="11"/>
  <c r="N6" i="11"/>
  <c r="M6" i="11"/>
  <c r="L6" i="11"/>
  <c r="I6" i="11"/>
  <c r="H6" i="11"/>
  <c r="G6" i="11"/>
  <c r="D17" i="11"/>
  <c r="C17" i="11"/>
  <c r="F17" i="11" s="1"/>
  <c r="B17" i="11"/>
  <c r="D16" i="11"/>
  <c r="C16" i="11"/>
  <c r="B16" i="11"/>
  <c r="D15" i="11"/>
  <c r="C15" i="11"/>
  <c r="B15" i="11"/>
  <c r="D14" i="11"/>
  <c r="C14" i="11"/>
  <c r="B14" i="11"/>
  <c r="D13" i="11"/>
  <c r="C13" i="11"/>
  <c r="B13" i="11"/>
  <c r="D12" i="11"/>
  <c r="C12" i="11"/>
  <c r="B12" i="11"/>
  <c r="D11" i="11"/>
  <c r="C11" i="11"/>
  <c r="B11" i="11"/>
  <c r="D10" i="11"/>
  <c r="C10" i="11"/>
  <c r="B10" i="11"/>
  <c r="D9" i="11"/>
  <c r="C9" i="11"/>
  <c r="F9" i="11" s="1"/>
  <c r="B9" i="11"/>
  <c r="D8" i="11"/>
  <c r="C8" i="11"/>
  <c r="B8" i="11"/>
  <c r="D7" i="11"/>
  <c r="C7" i="11"/>
  <c r="B7" i="11"/>
  <c r="D6" i="11"/>
  <c r="C6" i="11"/>
  <c r="B6" i="11"/>
  <c r="T7" i="28" l="1"/>
  <c r="K13" i="28"/>
  <c r="P14" i="28"/>
  <c r="U15" i="28"/>
  <c r="Z16" i="28"/>
  <c r="AE17" i="28"/>
  <c r="F8" i="29"/>
  <c r="P10" i="29"/>
  <c r="U11" i="29"/>
  <c r="F14" i="26"/>
  <c r="K15" i="26"/>
  <c r="P16" i="26"/>
  <c r="U17" i="26"/>
  <c r="F10" i="27"/>
  <c r="F6" i="28"/>
  <c r="K7" i="28"/>
  <c r="P8" i="28"/>
  <c r="U9" i="28"/>
  <c r="Z10" i="28"/>
  <c r="AE11" i="28"/>
  <c r="F14" i="28"/>
  <c r="K15" i="28"/>
  <c r="P16" i="28"/>
  <c r="U17" i="28"/>
  <c r="Z6" i="29"/>
  <c r="AE7" i="29"/>
  <c r="F10" i="29"/>
  <c r="K11" i="29"/>
  <c r="P12" i="29"/>
  <c r="U13" i="29"/>
  <c r="K7" i="27"/>
  <c r="P8" i="27"/>
  <c r="U9" i="27"/>
  <c r="Z10" i="27"/>
  <c r="AE11" i="27"/>
  <c r="F14" i="27"/>
  <c r="P16" i="27"/>
  <c r="U17" i="27"/>
  <c r="Z6" i="28"/>
  <c r="P12" i="28"/>
  <c r="F6" i="29"/>
  <c r="Z10" i="29"/>
  <c r="AE11" i="29"/>
  <c r="F14" i="29"/>
  <c r="K9" i="29"/>
  <c r="K7" i="29"/>
  <c r="P8" i="29"/>
  <c r="Z12" i="29"/>
  <c r="K15" i="27"/>
  <c r="Z14" i="26"/>
  <c r="AE15" i="26"/>
  <c r="F6" i="27"/>
  <c r="P6" i="27"/>
  <c r="U7" i="27"/>
  <c r="Z8" i="27"/>
  <c r="AE9" i="27"/>
  <c r="P14" i="27"/>
  <c r="U15" i="27"/>
  <c r="Z16" i="27"/>
  <c r="K9" i="28"/>
  <c r="P6" i="29"/>
  <c r="Z8" i="29"/>
  <c r="AE9" i="29"/>
  <c r="F12" i="29"/>
  <c r="K13" i="29"/>
  <c r="AE13" i="29"/>
  <c r="Z14" i="29"/>
  <c r="AE15" i="29"/>
  <c r="F16" i="29"/>
  <c r="K17" i="29"/>
  <c r="F6" i="30"/>
  <c r="P6" i="30"/>
  <c r="K7" i="30"/>
  <c r="U7" i="30"/>
  <c r="P8" i="30"/>
  <c r="Z8" i="30"/>
  <c r="U9" i="30"/>
  <c r="AE9" i="30"/>
  <c r="Z10" i="30"/>
  <c r="AE11" i="30"/>
  <c r="F12" i="30"/>
  <c r="K13" i="30"/>
  <c r="F14" i="30"/>
  <c r="P14" i="30"/>
  <c r="K15" i="30"/>
  <c r="P16" i="30"/>
  <c r="Z16" i="30"/>
  <c r="U17" i="30"/>
  <c r="AE17" i="30"/>
  <c r="AE7" i="31"/>
  <c r="F8" i="31"/>
  <c r="Y16" i="33"/>
  <c r="O10" i="34"/>
  <c r="P14" i="29"/>
  <c r="K15" i="29"/>
  <c r="P16" i="29"/>
  <c r="Z16" i="29"/>
  <c r="U17" i="29"/>
  <c r="Z6" i="30"/>
  <c r="AE7" i="30"/>
  <c r="F10" i="30"/>
  <c r="P10" i="30"/>
  <c r="K11" i="30"/>
  <c r="P12" i="30"/>
  <c r="Z12" i="30"/>
  <c r="U13" i="30"/>
  <c r="AE13" i="30"/>
  <c r="Z14" i="30"/>
  <c r="AE15" i="30"/>
  <c r="F16" i="30"/>
  <c r="K17" i="30"/>
  <c r="F6" i="31"/>
  <c r="P6" i="31"/>
  <c r="P8" i="31"/>
  <c r="O14" i="32"/>
  <c r="Y16" i="32"/>
  <c r="AD17" i="32"/>
  <c r="AI6" i="33"/>
  <c r="E8" i="33"/>
  <c r="O10" i="33"/>
  <c r="T11" i="33"/>
  <c r="Y12" i="33"/>
  <c r="AD13" i="33"/>
  <c r="AI14" i="33"/>
  <c r="O6" i="34"/>
  <c r="T7" i="34"/>
  <c r="Y8" i="34"/>
  <c r="AD9" i="34"/>
  <c r="AI10" i="34"/>
  <c r="U7" i="31"/>
  <c r="T11" i="34"/>
  <c r="O14" i="26"/>
  <c r="Y12" i="27"/>
  <c r="T7" i="29"/>
  <c r="AI14" i="29"/>
  <c r="Y8" i="30"/>
  <c r="T11" i="30"/>
  <c r="AD17" i="30"/>
  <c r="O10" i="31"/>
  <c r="AI14" i="31"/>
  <c r="T7" i="32"/>
  <c r="O14" i="34"/>
  <c r="T15" i="34"/>
  <c r="Y16" i="34"/>
  <c r="AE15" i="12"/>
  <c r="P14" i="13"/>
  <c r="K7" i="14"/>
  <c r="F8" i="14"/>
  <c r="P8" i="14"/>
  <c r="K9" i="14"/>
  <c r="U9" i="14"/>
  <c r="F10" i="14"/>
  <c r="Z10" i="14"/>
  <c r="U11" i="14"/>
  <c r="AE11" i="14"/>
  <c r="AE13" i="14"/>
  <c r="F14" i="14"/>
  <c r="K15" i="14"/>
  <c r="P16" i="14"/>
  <c r="U17" i="14"/>
  <c r="K7" i="15"/>
  <c r="U7" i="15"/>
  <c r="AE9" i="15"/>
  <c r="F12" i="15"/>
  <c r="P14" i="15"/>
  <c r="U15" i="15"/>
  <c r="Z16" i="15"/>
  <c r="AE17" i="15"/>
  <c r="F6" i="16"/>
  <c r="K7" i="16"/>
  <c r="P8" i="16"/>
  <c r="U9" i="16"/>
  <c r="Z10" i="16"/>
  <c r="AE11" i="16"/>
  <c r="F14" i="16"/>
  <c r="K15" i="16"/>
  <c r="F16" i="16"/>
  <c r="P16" i="16"/>
  <c r="U17" i="16"/>
  <c r="P6" i="17"/>
  <c r="Z6" i="17"/>
  <c r="U7" i="17"/>
  <c r="AE7" i="17"/>
  <c r="Z8" i="17"/>
  <c r="AE9" i="17"/>
  <c r="F10" i="17"/>
  <c r="Z10" i="17"/>
  <c r="K11" i="17"/>
  <c r="F12" i="17"/>
  <c r="P12" i="17"/>
  <c r="K13" i="17"/>
  <c r="U13" i="17"/>
  <c r="P14" i="17"/>
  <c r="Z14" i="17"/>
  <c r="K15" i="17"/>
  <c r="U15" i="17"/>
  <c r="AE15" i="17"/>
  <c r="Z16" i="17"/>
  <c r="AE17" i="17"/>
  <c r="F6" i="18"/>
  <c r="K7" i="18"/>
  <c r="F8" i="18"/>
  <c r="P8" i="18"/>
  <c r="U9" i="18"/>
  <c r="P10" i="18"/>
  <c r="Z10" i="18"/>
  <c r="K11" i="18"/>
  <c r="U11" i="18"/>
  <c r="AE11" i="18"/>
  <c r="Z12" i="18"/>
  <c r="F14" i="18"/>
  <c r="K15" i="18"/>
  <c r="F16" i="18"/>
  <c r="P16" i="18"/>
  <c r="U17" i="18"/>
  <c r="P6" i="19"/>
  <c r="K7" i="19"/>
  <c r="U7" i="19"/>
  <c r="Z8" i="19"/>
  <c r="U9" i="19"/>
  <c r="AE9" i="19"/>
  <c r="AE11" i="19"/>
  <c r="F12" i="19"/>
  <c r="K13" i="19"/>
  <c r="P14" i="19"/>
  <c r="Z14" i="19"/>
  <c r="K15" i="19"/>
  <c r="U15" i="19"/>
  <c r="Z16" i="19"/>
  <c r="U17" i="19"/>
  <c r="AE17" i="19"/>
  <c r="F6" i="20"/>
  <c r="K7" i="20"/>
  <c r="P8" i="20"/>
  <c r="U9" i="20"/>
  <c r="Z10" i="20"/>
  <c r="U11" i="20"/>
  <c r="AE11" i="20"/>
  <c r="F14" i="20"/>
  <c r="K15" i="20"/>
  <c r="F16" i="20"/>
  <c r="P16" i="20"/>
  <c r="U17" i="20"/>
  <c r="F6" i="21"/>
  <c r="P6" i="21"/>
  <c r="Z6" i="21"/>
  <c r="U7" i="21"/>
  <c r="AE7" i="21"/>
  <c r="P8" i="21"/>
  <c r="Z8" i="21"/>
  <c r="U9" i="21"/>
  <c r="AE9" i="21"/>
  <c r="F10" i="21"/>
  <c r="K11" i="21"/>
  <c r="AE11" i="21"/>
  <c r="F12" i="21"/>
  <c r="P12" i="21"/>
  <c r="K13" i="21"/>
  <c r="U13" i="21"/>
  <c r="F14" i="21"/>
  <c r="P14" i="21"/>
  <c r="Z14" i="21"/>
  <c r="K15" i="21"/>
  <c r="U15" i="21"/>
  <c r="AE15" i="21"/>
  <c r="P16" i="21"/>
  <c r="U17" i="21"/>
  <c r="AE17" i="21"/>
  <c r="F6" i="22"/>
  <c r="Z6" i="22"/>
  <c r="K7" i="22"/>
  <c r="P8" i="22"/>
  <c r="U9" i="22"/>
  <c r="P10" i="22"/>
  <c r="Z10" i="22"/>
  <c r="U11" i="22"/>
  <c r="AE11" i="22"/>
  <c r="P12" i="22"/>
  <c r="Z12" i="22"/>
  <c r="F14" i="22"/>
  <c r="Z14" i="22"/>
  <c r="K15" i="22"/>
  <c r="P16" i="22"/>
  <c r="U17" i="22"/>
  <c r="F6" i="23"/>
  <c r="Z6" i="23"/>
  <c r="K7" i="23"/>
  <c r="P8" i="23"/>
  <c r="U9" i="23"/>
  <c r="AE9" i="23"/>
  <c r="F10" i="23"/>
  <c r="Z10" i="23"/>
  <c r="AE11" i="23"/>
  <c r="F12" i="23"/>
  <c r="U13" i="23"/>
  <c r="F14" i="23"/>
  <c r="P14" i="23"/>
  <c r="K15" i="23"/>
  <c r="P16" i="23"/>
  <c r="F12" i="25"/>
  <c r="P12" i="25"/>
  <c r="K13" i="25"/>
  <c r="U13" i="25"/>
  <c r="F14" i="25"/>
  <c r="P14" i="25"/>
  <c r="Z14" i="25"/>
  <c r="K15" i="25"/>
  <c r="AE15" i="25"/>
  <c r="P16" i="25"/>
  <c r="Z16" i="25"/>
  <c r="U17" i="25"/>
  <c r="AE17" i="25"/>
  <c r="F6" i="26"/>
  <c r="Z6" i="26"/>
  <c r="K7" i="26"/>
  <c r="F8" i="26"/>
  <c r="P8" i="26"/>
  <c r="U9" i="26"/>
  <c r="F10" i="26"/>
  <c r="P10" i="26"/>
  <c r="Z10" i="26"/>
  <c r="K11" i="26"/>
  <c r="AE11" i="26"/>
  <c r="P12" i="26"/>
  <c r="Z12" i="26"/>
  <c r="U13" i="26"/>
  <c r="Y12" i="25"/>
  <c r="AD17" i="34"/>
  <c r="AI6" i="35"/>
  <c r="AD9" i="35"/>
  <c r="T11" i="35"/>
  <c r="Y12" i="35"/>
  <c r="AI14" i="35"/>
  <c r="T15" i="35"/>
  <c r="E16" i="35"/>
  <c r="U17" i="23"/>
  <c r="F6" i="24"/>
  <c r="Z6" i="24"/>
  <c r="K7" i="24"/>
  <c r="AE7" i="24"/>
  <c r="F8" i="24"/>
  <c r="P8" i="24"/>
  <c r="K9" i="24"/>
  <c r="U9" i="24"/>
  <c r="F10" i="24"/>
  <c r="P10" i="24"/>
  <c r="Z10" i="24"/>
  <c r="K11" i="24"/>
  <c r="U11" i="24"/>
  <c r="AE11" i="24"/>
  <c r="P12" i="24"/>
  <c r="Z12" i="24"/>
  <c r="U13" i="24"/>
  <c r="AE13" i="24"/>
  <c r="F14" i="24"/>
  <c r="Z14" i="24"/>
  <c r="K15" i="24"/>
  <c r="AE15" i="24"/>
  <c r="F16" i="24"/>
  <c r="P16" i="24"/>
  <c r="K17" i="24"/>
  <c r="U17" i="24"/>
  <c r="F6" i="25"/>
  <c r="P6" i="25"/>
  <c r="Z6" i="25"/>
  <c r="K7" i="25"/>
  <c r="U7" i="25"/>
  <c r="AE7" i="25"/>
  <c r="P8" i="25"/>
  <c r="Z8" i="25"/>
  <c r="U9" i="25"/>
  <c r="AE9" i="25"/>
  <c r="F10" i="25"/>
  <c r="Z10" i="25"/>
  <c r="K11" i="25"/>
  <c r="AE11" i="25"/>
  <c r="AD17" i="18"/>
  <c r="O10" i="21"/>
  <c r="O14" i="21"/>
  <c r="T11" i="22"/>
  <c r="Y16" i="22"/>
  <c r="AI10" i="24"/>
  <c r="AD13" i="24"/>
  <c r="AD17" i="24"/>
  <c r="Z8" i="31"/>
  <c r="O6" i="26"/>
  <c r="Y8" i="26"/>
  <c r="AI10" i="26"/>
  <c r="E16" i="26"/>
  <c r="Y16" i="26"/>
  <c r="AD17" i="26"/>
  <c r="AI6" i="27"/>
  <c r="T11" i="27"/>
  <c r="AD13" i="27"/>
  <c r="E16" i="27"/>
  <c r="AI10" i="28"/>
  <c r="O14" i="28"/>
  <c r="AI6" i="29"/>
  <c r="O10" i="29"/>
  <c r="Y12" i="29"/>
  <c r="AD13" i="29"/>
  <c r="O6" i="30"/>
  <c r="T7" i="30"/>
  <c r="AD9" i="30"/>
  <c r="O10" i="30"/>
  <c r="AI10" i="30"/>
  <c r="O14" i="30"/>
  <c r="T15" i="30"/>
  <c r="Y16" i="30"/>
  <c r="AI6" i="31"/>
  <c r="Y8" i="31"/>
  <c r="J9" i="31"/>
  <c r="T11" i="31"/>
  <c r="Y12" i="31"/>
  <c r="AD13" i="31"/>
  <c r="J17" i="31"/>
  <c r="O6" i="32"/>
  <c r="Y8" i="32"/>
  <c r="AD9" i="32"/>
  <c r="AI10" i="32"/>
  <c r="T15" i="32"/>
  <c r="K9" i="31"/>
  <c r="U9" i="31"/>
  <c r="AE9" i="31"/>
  <c r="F10" i="31"/>
  <c r="Z10" i="31"/>
  <c r="K11" i="31"/>
  <c r="U11" i="31"/>
  <c r="AE11" i="31"/>
  <c r="F12" i="31"/>
  <c r="P12" i="31"/>
  <c r="K13" i="31"/>
  <c r="U13" i="31"/>
  <c r="F14" i="31"/>
  <c r="P14" i="31"/>
  <c r="Z14" i="31"/>
  <c r="K15" i="31"/>
  <c r="U15" i="31"/>
  <c r="AE15" i="31"/>
  <c r="F16" i="31"/>
  <c r="P16" i="31"/>
  <c r="K17" i="31"/>
  <c r="U17" i="31"/>
  <c r="F6" i="32"/>
  <c r="P6" i="32"/>
  <c r="K7" i="32"/>
  <c r="U7" i="32"/>
  <c r="P8" i="32"/>
  <c r="Z8" i="32"/>
  <c r="U9" i="32"/>
  <c r="AE9" i="32"/>
  <c r="Z10" i="32"/>
  <c r="U11" i="32"/>
  <c r="AE11" i="32"/>
  <c r="F12" i="32"/>
  <c r="K13" i="32"/>
  <c r="F14" i="32"/>
  <c r="P14" i="32"/>
  <c r="K15" i="32"/>
  <c r="U15" i="32"/>
  <c r="P16" i="32"/>
  <c r="Z16" i="32"/>
  <c r="U17" i="32"/>
  <c r="AE17" i="32"/>
  <c r="F6" i="33"/>
  <c r="Y12" i="16"/>
  <c r="AI14" i="16"/>
  <c r="T15" i="17"/>
  <c r="AD9" i="21"/>
  <c r="AD9" i="22"/>
  <c r="T7" i="24"/>
  <c r="AD9" i="24"/>
  <c r="AD9" i="26"/>
  <c r="O10" i="26"/>
  <c r="O10" i="27"/>
  <c r="AI14" i="27"/>
  <c r="F17" i="29"/>
  <c r="F13" i="32"/>
  <c r="Z17" i="32"/>
  <c r="U12" i="33"/>
  <c r="AI15" i="35"/>
  <c r="F17" i="35"/>
  <c r="J16" i="19"/>
  <c r="AD16" i="21"/>
  <c r="AI13" i="22"/>
  <c r="E15" i="22"/>
  <c r="O17" i="22"/>
  <c r="O9" i="23"/>
  <c r="O13" i="23"/>
  <c r="Y15" i="23"/>
  <c r="AI17" i="23"/>
  <c r="E7" i="26"/>
  <c r="O9" i="26"/>
  <c r="J16" i="26"/>
  <c r="J12" i="27"/>
  <c r="O13" i="27"/>
  <c r="J8" i="28"/>
  <c r="AI17" i="29"/>
  <c r="E15" i="32"/>
  <c r="T6" i="33"/>
  <c r="O11" i="35"/>
  <c r="Y7" i="33"/>
  <c r="Y11" i="34"/>
  <c r="Z6" i="33"/>
  <c r="K7" i="33"/>
  <c r="U9" i="33"/>
  <c r="Y7" i="35"/>
  <c r="O13" i="35"/>
  <c r="AI17" i="35"/>
  <c r="O11" i="23"/>
  <c r="AI7" i="29"/>
  <c r="F7" i="17"/>
  <c r="K16" i="17"/>
  <c r="J10" i="21"/>
  <c r="P11" i="27"/>
  <c r="F11" i="28"/>
  <c r="E17" i="33"/>
  <c r="E7" i="18"/>
  <c r="P15" i="16"/>
  <c r="AD6" i="19"/>
  <c r="O11" i="19"/>
  <c r="AD6" i="21"/>
  <c r="AI7" i="21"/>
  <c r="E9" i="21"/>
  <c r="O11" i="21"/>
  <c r="AI15" i="21"/>
  <c r="J16" i="30"/>
  <c r="AE6" i="17"/>
  <c r="P9" i="17"/>
  <c r="U12" i="17"/>
  <c r="F15" i="19"/>
  <c r="J14" i="24"/>
  <c r="Y17" i="24"/>
  <c r="AI7" i="25"/>
  <c r="E9" i="25"/>
  <c r="AE17" i="23"/>
  <c r="O13" i="31"/>
  <c r="Y7" i="21"/>
  <c r="O16" i="19"/>
  <c r="J7" i="21"/>
  <c r="AE7" i="33"/>
  <c r="P8" i="33"/>
  <c r="Z8" i="33"/>
  <c r="K9" i="33"/>
  <c r="F10" i="33"/>
  <c r="P10" i="33"/>
  <c r="Z10" i="33"/>
  <c r="K11" i="33"/>
  <c r="AE11" i="33"/>
  <c r="P12" i="33"/>
  <c r="U13" i="33"/>
  <c r="F14" i="33"/>
  <c r="Z14" i="33"/>
  <c r="K15" i="33"/>
  <c r="AE15" i="33"/>
  <c r="P16" i="33"/>
  <c r="Z16" i="33"/>
  <c r="U17" i="33"/>
  <c r="F6" i="34"/>
  <c r="Z6" i="34"/>
  <c r="K7" i="34"/>
  <c r="AE7" i="34"/>
  <c r="F8" i="34"/>
  <c r="P8" i="34"/>
  <c r="K9" i="34"/>
  <c r="U9" i="34"/>
  <c r="AE9" i="34"/>
  <c r="F10" i="34"/>
  <c r="P10" i="34"/>
  <c r="Z10" i="34"/>
  <c r="K11" i="34"/>
  <c r="AE11" i="34"/>
  <c r="P12" i="34"/>
  <c r="Z12" i="34"/>
  <c r="U13" i="34"/>
  <c r="F14" i="34"/>
  <c r="P14" i="34"/>
  <c r="Z14" i="34"/>
  <c r="K15" i="34"/>
  <c r="U15" i="34"/>
  <c r="AE15" i="34"/>
  <c r="P16" i="34"/>
  <c r="F9" i="21"/>
  <c r="Y15" i="15"/>
  <c r="AD8" i="19"/>
  <c r="U15" i="23"/>
  <c r="F12" i="27"/>
  <c r="O13" i="29"/>
  <c r="T6" i="31"/>
  <c r="AI7" i="17"/>
  <c r="Z17" i="20"/>
  <c r="F7" i="21"/>
  <c r="U12" i="21"/>
  <c r="J10" i="25"/>
  <c r="AI13" i="30"/>
  <c r="E11" i="31"/>
  <c r="J8" i="34"/>
  <c r="AI13" i="24"/>
  <c r="AD8" i="31"/>
  <c r="E9" i="17"/>
  <c r="O11" i="25"/>
  <c r="Y10" i="35"/>
  <c r="T7" i="15"/>
  <c r="K10" i="23"/>
  <c r="P7" i="24"/>
  <c r="F17" i="25"/>
  <c r="U16" i="26"/>
  <c r="U12" i="27"/>
  <c r="Z13" i="27"/>
  <c r="AE14" i="27"/>
  <c r="F17" i="27"/>
  <c r="U8" i="28"/>
  <c r="U16" i="28"/>
  <c r="AE6" i="29"/>
  <c r="P15" i="30"/>
  <c r="U12" i="31"/>
  <c r="Z13" i="31"/>
  <c r="AE14" i="31"/>
  <c r="F17" i="31"/>
  <c r="AE14" i="19"/>
  <c r="U8" i="20"/>
  <c r="F11" i="20"/>
  <c r="K14" i="20"/>
  <c r="P15" i="20"/>
  <c r="AE14" i="33"/>
  <c r="P6" i="35"/>
  <c r="K7" i="35"/>
  <c r="U7" i="35"/>
  <c r="P8" i="35"/>
  <c r="Z8" i="35"/>
  <c r="U9" i="35"/>
  <c r="AI9" i="35"/>
  <c r="F12" i="35"/>
  <c r="K13" i="35"/>
  <c r="F14" i="35"/>
  <c r="P14" i="35"/>
  <c r="K15" i="35"/>
  <c r="Z16" i="35"/>
  <c r="U17" i="35"/>
  <c r="AE17" i="35"/>
  <c r="Y13" i="21"/>
  <c r="AI7" i="27"/>
  <c r="J10" i="27"/>
  <c r="O11" i="27"/>
  <c r="J6" i="28"/>
  <c r="Y9" i="28"/>
  <c r="J14" i="28"/>
  <c r="K10" i="29"/>
  <c r="U12" i="29"/>
  <c r="Z13" i="29"/>
  <c r="AE14" i="29"/>
  <c r="J6" i="30"/>
  <c r="O15" i="31"/>
  <c r="P7" i="32"/>
  <c r="E9" i="33"/>
  <c r="Y7" i="29"/>
  <c r="U7" i="29"/>
  <c r="T9" i="29"/>
  <c r="U9" i="29"/>
  <c r="U15" i="29"/>
  <c r="Y15" i="29"/>
  <c r="J7" i="31"/>
  <c r="K7" i="31"/>
  <c r="E11" i="33"/>
  <c r="P14" i="33"/>
  <c r="T14" i="33"/>
  <c r="U15" i="33"/>
  <c r="Y15" i="33"/>
  <c r="AE17" i="33"/>
  <c r="AI17" i="33"/>
  <c r="AI9" i="19"/>
  <c r="AD11" i="21"/>
  <c r="Y11" i="24"/>
  <c r="E15" i="24"/>
  <c r="AI9" i="27"/>
  <c r="AI9" i="29"/>
  <c r="U7" i="33"/>
  <c r="Z10" i="35"/>
  <c r="Y15" i="25"/>
  <c r="U15" i="25"/>
  <c r="E7" i="30"/>
  <c r="O9" i="30"/>
  <c r="K9" i="30"/>
  <c r="U11" i="30"/>
  <c r="Y11" i="30"/>
  <c r="AD16" i="31"/>
  <c r="Z16" i="31"/>
  <c r="AI9" i="33"/>
  <c r="AE9" i="33"/>
  <c r="K13" i="33"/>
  <c r="O13" i="33"/>
  <c r="AE13" i="34"/>
  <c r="AI13" i="34"/>
  <c r="E15" i="34"/>
  <c r="E6" i="35"/>
  <c r="F6" i="35"/>
  <c r="AD11" i="35"/>
  <c r="AE11" i="35"/>
  <c r="U15" i="35"/>
  <c r="Y15" i="35"/>
  <c r="O16" i="35"/>
  <c r="P16" i="35"/>
  <c r="O8" i="21"/>
  <c r="Z16" i="21"/>
  <c r="E6" i="23"/>
  <c r="E11" i="25"/>
  <c r="E11" i="27"/>
  <c r="E11" i="29"/>
  <c r="AE17" i="29"/>
  <c r="P6" i="33"/>
  <c r="O16" i="33"/>
  <c r="AE9" i="35"/>
  <c r="Y7" i="27"/>
  <c r="AI17" i="27"/>
  <c r="AE17" i="27"/>
  <c r="J8" i="30"/>
  <c r="F8" i="30"/>
  <c r="AI17" i="31"/>
  <c r="AE17" i="31"/>
  <c r="J12" i="33"/>
  <c r="F12" i="33"/>
  <c r="F16" i="34"/>
  <c r="J16" i="34"/>
  <c r="K17" i="34"/>
  <c r="O17" i="34"/>
  <c r="E11" i="35"/>
  <c r="J8" i="18"/>
  <c r="K13" i="27"/>
  <c r="Y15" i="27"/>
  <c r="J12" i="29"/>
  <c r="E15" i="30"/>
  <c r="O17" i="30"/>
  <c r="AI9" i="31"/>
  <c r="J12" i="31"/>
  <c r="T14" i="31"/>
  <c r="E7" i="34"/>
  <c r="O9" i="34"/>
  <c r="U11" i="34"/>
  <c r="J12" i="35"/>
  <c r="F7" i="19"/>
  <c r="E17" i="19"/>
  <c r="P17" i="19"/>
  <c r="O7" i="20"/>
  <c r="AD14" i="21"/>
  <c r="Y13" i="25"/>
  <c r="AI15" i="25"/>
  <c r="O7" i="26"/>
  <c r="Y9" i="26"/>
  <c r="AI7" i="31"/>
  <c r="U8" i="32"/>
  <c r="J10" i="17"/>
  <c r="O11" i="17"/>
  <c r="AI11" i="22"/>
  <c r="P11" i="23"/>
  <c r="AE12" i="29"/>
  <c r="F17" i="33"/>
  <c r="T9" i="35"/>
  <c r="AI12" i="35"/>
  <c r="T17" i="35"/>
  <c r="J6" i="32"/>
  <c r="J14" i="32"/>
  <c r="T12" i="33"/>
  <c r="E6" i="15"/>
  <c r="Y13" i="17"/>
  <c r="AI15" i="17"/>
  <c r="AI7" i="19"/>
  <c r="E9" i="19"/>
  <c r="J10" i="19"/>
  <c r="Y13" i="19"/>
  <c r="AI15" i="19"/>
  <c r="T8" i="22"/>
  <c r="E17" i="29"/>
  <c r="Y13" i="30"/>
  <c r="J6" i="34"/>
  <c r="AE6" i="35"/>
  <c r="F7" i="35"/>
  <c r="U10" i="35"/>
  <c r="P11" i="35"/>
  <c r="U12" i="35"/>
  <c r="AE14" i="35"/>
  <c r="F15" i="35"/>
  <c r="K16" i="35"/>
  <c r="E17" i="35"/>
  <c r="Z16" i="34"/>
  <c r="U17" i="34"/>
  <c r="AE17" i="34"/>
  <c r="Z6" i="35"/>
  <c r="AE7" i="35"/>
  <c r="F8" i="35"/>
  <c r="K9" i="35"/>
  <c r="F10" i="35"/>
  <c r="P10" i="35"/>
  <c r="K11" i="35"/>
  <c r="U11" i="35"/>
  <c r="P12" i="35"/>
  <c r="Z12" i="35"/>
  <c r="U13" i="35"/>
  <c r="AE13" i="35"/>
  <c r="Z14" i="35"/>
  <c r="E15" i="14"/>
  <c r="AD11" i="17"/>
  <c r="AI12" i="17"/>
  <c r="E17" i="17"/>
  <c r="T17" i="17"/>
  <c r="Y14" i="18"/>
  <c r="E6" i="19"/>
  <c r="O8" i="19"/>
  <c r="Y10" i="19"/>
  <c r="AI12" i="19"/>
  <c r="E6" i="21"/>
  <c r="Y10" i="21"/>
  <c r="AI12" i="21"/>
  <c r="J15" i="21"/>
  <c r="O16" i="21"/>
  <c r="O8" i="23"/>
  <c r="T9" i="23"/>
  <c r="Y10" i="23"/>
  <c r="AD11" i="23"/>
  <c r="AI12" i="23"/>
  <c r="T17" i="23"/>
  <c r="AD15" i="24"/>
  <c r="AI16" i="24"/>
  <c r="E6" i="25"/>
  <c r="O8" i="25"/>
  <c r="T9" i="25"/>
  <c r="Y10" i="25"/>
  <c r="AD11" i="25"/>
  <c r="AI12" i="25"/>
  <c r="O16" i="25"/>
  <c r="E6" i="27"/>
  <c r="T9" i="27"/>
  <c r="Y10" i="27"/>
  <c r="AD11" i="27"/>
  <c r="AI12" i="27"/>
  <c r="O16" i="27"/>
  <c r="T17" i="27"/>
  <c r="AD7" i="28"/>
  <c r="E6" i="29"/>
  <c r="O8" i="29"/>
  <c r="Y10" i="29"/>
  <c r="AD11" i="29"/>
  <c r="O16" i="29"/>
  <c r="O8" i="31"/>
  <c r="T9" i="31"/>
  <c r="Y10" i="31"/>
  <c r="AD11" i="31"/>
  <c r="AI12" i="31"/>
  <c r="J15" i="31"/>
  <c r="O16" i="31"/>
  <c r="T17" i="31"/>
  <c r="Y6" i="32"/>
  <c r="Z9" i="32"/>
  <c r="P15" i="32"/>
  <c r="U16" i="32"/>
  <c r="E6" i="33"/>
  <c r="AE6" i="33"/>
  <c r="O8" i="33"/>
  <c r="T9" i="33"/>
  <c r="Y10" i="33"/>
  <c r="P11" i="33"/>
  <c r="AD11" i="33"/>
  <c r="AI12" i="33"/>
  <c r="E14" i="33"/>
  <c r="T17" i="33"/>
  <c r="AI8" i="34"/>
  <c r="O12" i="34"/>
  <c r="O8" i="35"/>
  <c r="E11" i="14"/>
  <c r="O13" i="14"/>
  <c r="O9" i="15"/>
  <c r="T11" i="15"/>
  <c r="O8" i="27"/>
  <c r="K8" i="27"/>
  <c r="AE6" i="31"/>
  <c r="AD6" i="31"/>
  <c r="F9" i="31"/>
  <c r="E9" i="31"/>
  <c r="K10" i="31"/>
  <c r="J10" i="31"/>
  <c r="P11" i="31"/>
  <c r="O11" i="31"/>
  <c r="AI15" i="31"/>
  <c r="AI11" i="32"/>
  <c r="AI7" i="33"/>
  <c r="K10" i="33"/>
  <c r="J10" i="33"/>
  <c r="Z13" i="33"/>
  <c r="Y13" i="33"/>
  <c r="AI15" i="33"/>
  <c r="AI7" i="35"/>
  <c r="F9" i="35"/>
  <c r="E9" i="35"/>
  <c r="J10" i="35"/>
  <c r="K10" i="35"/>
  <c r="Z13" i="35"/>
  <c r="Y13" i="35"/>
  <c r="F17" i="21"/>
  <c r="E17" i="21"/>
  <c r="T17" i="25"/>
  <c r="P17" i="25"/>
  <c r="AI15" i="27"/>
  <c r="F13" i="28"/>
  <c r="E13" i="28"/>
  <c r="AI15" i="29"/>
  <c r="T17" i="29"/>
  <c r="P17" i="29"/>
  <c r="Z13" i="21"/>
  <c r="K16" i="21"/>
  <c r="E17" i="27"/>
  <c r="AI12" i="29"/>
  <c r="U10" i="31"/>
  <c r="E17" i="25"/>
  <c r="Y13" i="27"/>
  <c r="T12" i="31"/>
  <c r="F9" i="33"/>
  <c r="O16" i="23"/>
  <c r="K16" i="23"/>
  <c r="F9" i="27"/>
  <c r="E9" i="27"/>
  <c r="F9" i="29"/>
  <c r="E9" i="29"/>
  <c r="P11" i="29"/>
  <c r="O11" i="29"/>
  <c r="Y13" i="29"/>
  <c r="P17" i="23"/>
  <c r="K10" i="27"/>
  <c r="J10" i="29"/>
  <c r="AD14" i="31"/>
  <c r="E17" i="31"/>
  <c r="O11" i="33"/>
  <c r="U13" i="12"/>
  <c r="O10" i="13"/>
  <c r="P16" i="13"/>
  <c r="U17" i="13"/>
  <c r="K11" i="14"/>
  <c r="U13" i="14"/>
  <c r="P8" i="15"/>
  <c r="U9" i="15"/>
  <c r="Z10" i="15"/>
  <c r="AE11" i="15"/>
  <c r="F14" i="15"/>
  <c r="K15" i="15"/>
  <c r="F6" i="17"/>
  <c r="K7" i="17"/>
  <c r="P8" i="17"/>
  <c r="U9" i="17"/>
  <c r="K7" i="21"/>
  <c r="F10" i="22"/>
  <c r="K11" i="22"/>
  <c r="Y11" i="12"/>
  <c r="J16" i="12"/>
  <c r="U12" i="15"/>
  <c r="K10" i="17"/>
  <c r="Z13" i="17"/>
  <c r="AE14" i="17"/>
  <c r="F17" i="17"/>
  <c r="F9" i="19"/>
  <c r="K10" i="19"/>
  <c r="P11" i="19"/>
  <c r="Z13" i="19"/>
  <c r="F17" i="19"/>
  <c r="AE10" i="20"/>
  <c r="F13" i="20"/>
  <c r="U16" i="20"/>
  <c r="K10" i="21"/>
  <c r="P11" i="21"/>
  <c r="F9" i="23"/>
  <c r="Z13" i="23"/>
  <c r="F17" i="23"/>
  <c r="P16" i="15"/>
  <c r="U17" i="15"/>
  <c r="E11" i="17"/>
  <c r="AE11" i="17"/>
  <c r="F14" i="17"/>
  <c r="P16" i="17"/>
  <c r="U17" i="17"/>
  <c r="Z6" i="18"/>
  <c r="AE7" i="18"/>
  <c r="AD9" i="18"/>
  <c r="U13" i="18"/>
  <c r="Z14" i="18"/>
  <c r="AE15" i="18"/>
  <c r="F6" i="19"/>
  <c r="P8" i="19"/>
  <c r="Z10" i="19"/>
  <c r="F14" i="19"/>
  <c r="P16" i="19"/>
  <c r="U13" i="20"/>
  <c r="Z10" i="21"/>
  <c r="J10" i="12"/>
  <c r="O11" i="12"/>
  <c r="E17" i="12"/>
  <c r="P6" i="16"/>
  <c r="Z16" i="16"/>
  <c r="K17" i="17"/>
  <c r="U7" i="18"/>
  <c r="P14" i="18"/>
  <c r="F8" i="19"/>
  <c r="P14" i="20"/>
  <c r="U15" i="20"/>
  <c r="Z16" i="20"/>
  <c r="AE17" i="20"/>
  <c r="F8" i="21"/>
  <c r="K9" i="21"/>
  <c r="P10" i="21"/>
  <c r="Z12" i="21"/>
  <c r="AE13" i="21"/>
  <c r="F12" i="16"/>
  <c r="Z12" i="17"/>
  <c r="Z12" i="19"/>
  <c r="K17" i="19"/>
  <c r="Z8" i="20"/>
  <c r="AE9" i="20"/>
  <c r="F12" i="20"/>
  <c r="K13" i="20"/>
  <c r="F12" i="14"/>
  <c r="U15" i="14"/>
  <c r="Z8" i="16"/>
  <c r="U15" i="16"/>
  <c r="P10" i="17"/>
  <c r="F12" i="18"/>
  <c r="Z16" i="18"/>
  <c r="P6" i="20"/>
  <c r="P6" i="13"/>
  <c r="F12" i="13"/>
  <c r="P14" i="16"/>
  <c r="K9" i="17"/>
  <c r="U11" i="17"/>
  <c r="AE13" i="17"/>
  <c r="K13" i="18"/>
  <c r="U15" i="18"/>
  <c r="AE17" i="18"/>
  <c r="U7" i="20"/>
  <c r="O8" i="15"/>
  <c r="Z16" i="14"/>
  <c r="AE9" i="16"/>
  <c r="AE17" i="16"/>
  <c r="AE9" i="18"/>
  <c r="AI14" i="17"/>
  <c r="AE7" i="12"/>
  <c r="U7" i="16"/>
  <c r="K13" i="16"/>
  <c r="F16" i="17"/>
  <c r="P6" i="18"/>
  <c r="Z8" i="18"/>
  <c r="AD9" i="12"/>
  <c r="AI13" i="12"/>
  <c r="Y16" i="12"/>
  <c r="AD17" i="12"/>
  <c r="AI6" i="13"/>
  <c r="Y7" i="13"/>
  <c r="AI9" i="13"/>
  <c r="Y15" i="13"/>
  <c r="J16" i="14"/>
  <c r="Y16" i="14"/>
  <c r="Y7" i="15"/>
  <c r="AI9" i="15"/>
  <c r="O13" i="15"/>
  <c r="AI10" i="16"/>
  <c r="O14" i="16"/>
  <c r="Y7" i="17"/>
  <c r="J6" i="35"/>
  <c r="F16" i="21"/>
  <c r="K17" i="21"/>
  <c r="P6" i="22"/>
  <c r="U7" i="22"/>
  <c r="Z8" i="22"/>
  <c r="AE9" i="22"/>
  <c r="F12" i="22"/>
  <c r="K13" i="22"/>
  <c r="P14" i="22"/>
  <c r="U15" i="22"/>
  <c r="Z16" i="22"/>
  <c r="AE17" i="22"/>
  <c r="F8" i="23"/>
  <c r="P10" i="23"/>
  <c r="U11" i="23"/>
  <c r="Z12" i="23"/>
  <c r="AE13" i="23"/>
  <c r="F16" i="23"/>
  <c r="K17" i="23"/>
  <c r="P6" i="24"/>
  <c r="Z8" i="24"/>
  <c r="AE9" i="24"/>
  <c r="F12" i="24"/>
  <c r="K13" i="24"/>
  <c r="P14" i="24"/>
  <c r="Z16" i="24"/>
  <c r="F8" i="25"/>
  <c r="K9" i="25"/>
  <c r="P10" i="25"/>
  <c r="U11" i="25"/>
  <c r="Z12" i="25"/>
  <c r="AE13" i="25"/>
  <c r="F16" i="25"/>
  <c r="K17" i="25"/>
  <c r="P6" i="26"/>
  <c r="U7" i="26"/>
  <c r="Z8" i="26"/>
  <c r="AE9" i="26"/>
  <c r="K13" i="26"/>
  <c r="P14" i="26"/>
  <c r="U15" i="26"/>
  <c r="Z16" i="26"/>
  <c r="AE13" i="27"/>
  <c r="P6" i="28"/>
  <c r="U7" i="28"/>
  <c r="Z8" i="28"/>
  <c r="AE9" i="28"/>
  <c r="F12" i="28"/>
  <c r="Z6" i="20"/>
  <c r="AE7" i="20"/>
  <c r="AI9" i="17"/>
  <c r="Y10" i="17"/>
  <c r="J12" i="17"/>
  <c r="O13" i="17"/>
  <c r="Y15" i="17"/>
  <c r="O16" i="17"/>
  <c r="O6" i="18"/>
  <c r="T7" i="18"/>
  <c r="O9" i="18"/>
  <c r="Y11" i="18"/>
  <c r="O14" i="18"/>
  <c r="E15" i="18"/>
  <c r="T15" i="18"/>
  <c r="J16" i="18"/>
  <c r="AI6" i="19"/>
  <c r="J7" i="19"/>
  <c r="Y7" i="19"/>
  <c r="T9" i="19"/>
  <c r="E11" i="19"/>
  <c r="AD11" i="19"/>
  <c r="J12" i="19"/>
  <c r="Y12" i="19"/>
  <c r="O13" i="19"/>
  <c r="AI14" i="19"/>
  <c r="Y15" i="19"/>
  <c r="T17" i="19"/>
  <c r="AI17" i="19"/>
  <c r="T7" i="20"/>
  <c r="AD9" i="20"/>
  <c r="O12" i="20"/>
  <c r="T15" i="20"/>
  <c r="AD17" i="20"/>
  <c r="AI6" i="21"/>
  <c r="AD8" i="21"/>
  <c r="J9" i="21"/>
  <c r="AI9" i="21"/>
  <c r="E11" i="21"/>
  <c r="J12" i="21"/>
  <c r="Y12" i="21"/>
  <c r="O13" i="21"/>
  <c r="AD13" i="21"/>
  <c r="AI14" i="21"/>
  <c r="Y15" i="21"/>
  <c r="J17" i="21"/>
  <c r="AI17" i="21"/>
  <c r="O6" i="22"/>
  <c r="E7" i="22"/>
  <c r="T7" i="22"/>
  <c r="J8" i="22"/>
  <c r="Y8" i="22"/>
  <c r="O9" i="22"/>
  <c r="T10" i="22"/>
  <c r="J13" i="22"/>
  <c r="O14" i="22"/>
  <c r="T15" i="22"/>
  <c r="J16" i="22"/>
  <c r="AD17" i="22"/>
  <c r="AI6" i="23"/>
  <c r="Y7" i="23"/>
  <c r="AI9" i="23"/>
  <c r="O10" i="23"/>
  <c r="E11" i="23"/>
  <c r="T11" i="23"/>
  <c r="J12" i="23"/>
  <c r="Y12" i="23"/>
  <c r="AI14" i="23"/>
  <c r="O6" i="24"/>
  <c r="E7" i="24"/>
  <c r="J8" i="24"/>
  <c r="Y8" i="24"/>
  <c r="O9" i="24"/>
  <c r="O14" i="24"/>
  <c r="T15" i="24"/>
  <c r="J16" i="24"/>
  <c r="Y16" i="24"/>
  <c r="O17" i="24"/>
  <c r="AI6" i="25"/>
  <c r="E16" i="25"/>
  <c r="AI17" i="25"/>
  <c r="T7" i="26"/>
  <c r="Y11" i="26"/>
  <c r="AI13" i="26"/>
  <c r="E15" i="26"/>
  <c r="T15" i="26"/>
  <c r="O17" i="26"/>
  <c r="P10" i="14"/>
  <c r="Z12" i="14"/>
  <c r="F16" i="14"/>
  <c r="K17" i="14"/>
  <c r="P6" i="15"/>
  <c r="Z8" i="15"/>
  <c r="K13" i="15"/>
  <c r="AE6" i="27"/>
  <c r="AD13" i="16"/>
  <c r="AI8" i="11"/>
  <c r="J10" i="13"/>
  <c r="U12" i="13"/>
  <c r="AE14" i="13"/>
  <c r="E17" i="15"/>
  <c r="F10" i="12"/>
  <c r="K11" i="12"/>
  <c r="P12" i="12"/>
  <c r="F6" i="13"/>
  <c r="K7" i="13"/>
  <c r="P8" i="13"/>
  <c r="U9" i="13"/>
  <c r="Z10" i="13"/>
  <c r="AE11" i="13"/>
  <c r="AI17" i="17"/>
  <c r="O10" i="19"/>
  <c r="U11" i="33"/>
  <c r="Z12" i="33"/>
  <c r="AE13" i="33"/>
  <c r="F16" i="33"/>
  <c r="K17" i="33"/>
  <c r="P6" i="34"/>
  <c r="U7" i="34"/>
  <c r="Z8" i="34"/>
  <c r="F12" i="34"/>
  <c r="AE15" i="35"/>
  <c r="F16" i="35"/>
  <c r="K17" i="35"/>
  <c r="P7" i="20"/>
  <c r="AE14" i="21"/>
  <c r="AE6" i="23"/>
  <c r="U12" i="23"/>
  <c r="AE14" i="23"/>
  <c r="T9" i="11"/>
  <c r="T17" i="11"/>
  <c r="J10" i="15"/>
  <c r="AE6" i="19"/>
  <c r="U12" i="19"/>
  <c r="AE6" i="21"/>
  <c r="AD13" i="23"/>
  <c r="F14" i="13"/>
  <c r="F10" i="20"/>
  <c r="Z6" i="32"/>
  <c r="Y11" i="21"/>
  <c r="U11" i="21"/>
  <c r="Y15" i="24"/>
  <c r="U15" i="24"/>
  <c r="F12" i="26"/>
  <c r="J12" i="26"/>
  <c r="U15" i="30"/>
  <c r="Y15" i="30"/>
  <c r="O9" i="29"/>
  <c r="E15" i="31"/>
  <c r="Y7" i="24"/>
  <c r="U7" i="24"/>
  <c r="F8" i="33"/>
  <c r="J8" i="33"/>
  <c r="O13" i="34"/>
  <c r="K13" i="34"/>
  <c r="AE17" i="26"/>
  <c r="AI17" i="26"/>
  <c r="F8" i="17"/>
  <c r="J8" i="17"/>
  <c r="AE17" i="24"/>
  <c r="AI17" i="24"/>
  <c r="K9" i="23"/>
  <c r="E9" i="32"/>
  <c r="J10" i="32"/>
  <c r="O11" i="32"/>
  <c r="AI15" i="32"/>
  <c r="E17" i="32"/>
  <c r="P15" i="12"/>
  <c r="F9" i="13"/>
  <c r="Y13" i="13"/>
  <c r="F17" i="13"/>
  <c r="E9" i="15"/>
  <c r="O11" i="15"/>
  <c r="Z13" i="15"/>
  <c r="AE14" i="15"/>
  <c r="O16" i="15"/>
  <c r="O7" i="16"/>
  <c r="Z9" i="16"/>
  <c r="O10" i="16"/>
  <c r="AE10" i="16"/>
  <c r="Z17" i="16"/>
  <c r="E17" i="13"/>
  <c r="K11" i="15"/>
  <c r="AE13" i="11"/>
  <c r="K15" i="13"/>
  <c r="AI15" i="13"/>
  <c r="F7" i="12"/>
  <c r="K8" i="12"/>
  <c r="P9" i="12"/>
  <c r="U10" i="12"/>
  <c r="Z11" i="12"/>
  <c r="E12" i="12"/>
  <c r="AE12" i="12"/>
  <c r="K16" i="12"/>
  <c r="P17" i="12"/>
  <c r="F11" i="13"/>
  <c r="P13" i="13"/>
  <c r="AI14" i="13"/>
  <c r="F7" i="14"/>
  <c r="U10" i="14"/>
  <c r="AD11" i="14"/>
  <c r="O14" i="14"/>
  <c r="F15" i="14"/>
  <c r="T15" i="14"/>
  <c r="K16" i="14"/>
  <c r="P17" i="14"/>
  <c r="U6" i="15"/>
  <c r="Z7" i="15"/>
  <c r="AE8" i="15"/>
  <c r="F11" i="15"/>
  <c r="K12" i="15"/>
  <c r="T13" i="15"/>
  <c r="Y14" i="15"/>
  <c r="AE16" i="15"/>
  <c r="E6" i="16"/>
  <c r="F7" i="16"/>
  <c r="O8" i="16"/>
  <c r="T9" i="16"/>
  <c r="AD11" i="16"/>
  <c r="AI12" i="16"/>
  <c r="F15" i="16"/>
  <c r="Y16" i="16"/>
  <c r="AD7" i="17"/>
  <c r="AI8" i="17"/>
  <c r="F11" i="17"/>
  <c r="K12" i="17"/>
  <c r="P13" i="17"/>
  <c r="Y14" i="17"/>
  <c r="AD15" i="17"/>
  <c r="E16" i="17"/>
  <c r="E6" i="18"/>
  <c r="F7" i="18"/>
  <c r="K8" i="18"/>
  <c r="Y10" i="18"/>
  <c r="F15" i="18"/>
  <c r="K16" i="18"/>
  <c r="Y16" i="18"/>
  <c r="T17" i="18"/>
  <c r="AE8" i="19"/>
  <c r="F11" i="19"/>
  <c r="O12" i="19"/>
  <c r="P13" i="19"/>
  <c r="E6" i="20"/>
  <c r="F7" i="20"/>
  <c r="F15" i="20"/>
  <c r="U6" i="21"/>
  <c r="AI8" i="21"/>
  <c r="F11" i="21"/>
  <c r="O12" i="21"/>
  <c r="P13" i="21"/>
  <c r="Y14" i="21"/>
  <c r="AI16" i="21"/>
  <c r="F7" i="22"/>
  <c r="K8" i="22"/>
  <c r="Y7" i="14"/>
  <c r="J12" i="14"/>
  <c r="AI17" i="14"/>
  <c r="Y11" i="15"/>
  <c r="J16" i="15"/>
  <c r="J12" i="16"/>
  <c r="Y15" i="16"/>
  <c r="AI17" i="16"/>
  <c r="Y7" i="18"/>
  <c r="AI9" i="18"/>
  <c r="E11" i="18"/>
  <c r="J12" i="18"/>
  <c r="O13" i="18"/>
  <c r="Y15" i="18"/>
  <c r="AI17" i="18"/>
  <c r="Y7" i="20"/>
  <c r="Y15" i="20"/>
  <c r="E7" i="21"/>
  <c r="J8" i="21"/>
  <c r="AD12" i="21"/>
  <c r="J16" i="21"/>
  <c r="T6" i="22"/>
  <c r="AD8" i="22"/>
  <c r="AI9" i="22"/>
  <c r="J12" i="22"/>
  <c r="O13" i="22"/>
  <c r="T14" i="22"/>
  <c r="AD16" i="22"/>
  <c r="J8" i="23"/>
  <c r="AI7" i="13"/>
  <c r="Z8" i="13"/>
  <c r="AI11" i="16"/>
  <c r="AD11" i="22"/>
  <c r="O16" i="22"/>
  <c r="Y6" i="23"/>
  <c r="AD7" i="23"/>
  <c r="AE8" i="23"/>
  <c r="F11" i="23"/>
  <c r="O12" i="23"/>
  <c r="P13" i="23"/>
  <c r="Y14" i="23"/>
  <c r="AD15" i="23"/>
  <c r="AI16" i="23"/>
  <c r="E6" i="24"/>
  <c r="F7" i="24"/>
  <c r="Y10" i="24"/>
  <c r="Z11" i="24"/>
  <c r="AE12" i="24"/>
  <c r="F15" i="24"/>
  <c r="O16" i="24"/>
  <c r="T17" i="24"/>
  <c r="Y6" i="25"/>
  <c r="AD7" i="25"/>
  <c r="AI8" i="25"/>
  <c r="Y14" i="25"/>
  <c r="AI16" i="25"/>
  <c r="E6" i="26"/>
  <c r="F7" i="26"/>
  <c r="K8" i="26"/>
  <c r="P9" i="26"/>
  <c r="Y10" i="26"/>
  <c r="Z11" i="26"/>
  <c r="F15" i="26"/>
  <c r="U6" i="27"/>
  <c r="Z7" i="27"/>
  <c r="AE8" i="27"/>
  <c r="F11" i="27"/>
  <c r="K12" i="27"/>
  <c r="P13" i="27"/>
  <c r="U14" i="27"/>
  <c r="Z15" i="27"/>
  <c r="AE16" i="27"/>
  <c r="F15" i="28"/>
  <c r="Z7" i="29"/>
  <c r="F11" i="29"/>
  <c r="P13" i="29"/>
  <c r="AD15" i="29"/>
  <c r="AI16" i="29"/>
  <c r="E6" i="30"/>
  <c r="F7" i="30"/>
  <c r="K8" i="30"/>
  <c r="U10" i="30"/>
  <c r="AE12" i="30"/>
  <c r="F15" i="30"/>
  <c r="K16" i="30"/>
  <c r="P17" i="30"/>
  <c r="Z7" i="31"/>
  <c r="AE8" i="31"/>
  <c r="K12" i="31"/>
  <c r="P13" i="31"/>
  <c r="U14" i="31"/>
  <c r="Z15" i="31"/>
  <c r="AE16" i="31"/>
  <c r="F7" i="32"/>
  <c r="F15" i="32"/>
  <c r="K16" i="32"/>
  <c r="F11" i="33"/>
  <c r="E16" i="33"/>
  <c r="F7" i="34"/>
  <c r="F15" i="34"/>
  <c r="K16" i="34"/>
  <c r="P17" i="34"/>
  <c r="Z7" i="35"/>
  <c r="O10" i="35"/>
  <c r="F11" i="35"/>
  <c r="P13" i="35"/>
  <c r="J16" i="23"/>
  <c r="O17" i="23"/>
  <c r="AI9" i="24"/>
  <c r="E11" i="24"/>
  <c r="J12" i="24"/>
  <c r="O13" i="24"/>
  <c r="J8" i="25"/>
  <c r="J16" i="25"/>
  <c r="O17" i="25"/>
  <c r="Y7" i="26"/>
  <c r="AI9" i="26"/>
  <c r="O13" i="26"/>
  <c r="AI13" i="27"/>
  <c r="J16" i="27"/>
  <c r="E11" i="28"/>
  <c r="J12" i="28"/>
  <c r="O13" i="28"/>
  <c r="J8" i="29"/>
  <c r="J16" i="29"/>
  <c r="O17" i="29"/>
  <c r="Y7" i="30"/>
  <c r="AI9" i="30"/>
  <c r="E11" i="30"/>
  <c r="J12" i="30"/>
  <c r="O13" i="30"/>
  <c r="E7" i="31"/>
  <c r="AD13" i="19"/>
  <c r="J14" i="19"/>
  <c r="O6" i="20"/>
  <c r="Y8" i="20"/>
  <c r="E9" i="20"/>
  <c r="J10" i="20"/>
  <c r="AI10" i="20"/>
  <c r="O11" i="20"/>
  <c r="Y13" i="20"/>
  <c r="O14" i="20"/>
  <c r="AI15" i="20"/>
  <c r="Y16" i="20"/>
  <c r="E17" i="20"/>
  <c r="J6" i="21"/>
  <c r="AD10" i="21"/>
  <c r="J14" i="21"/>
  <c r="O11" i="22"/>
  <c r="AD14" i="22"/>
  <c r="AI15" i="22"/>
  <c r="J6" i="23"/>
  <c r="J14" i="23"/>
  <c r="AI7" i="24"/>
  <c r="O11" i="24"/>
  <c r="AI15" i="24"/>
  <c r="J14" i="25"/>
  <c r="Y17" i="25"/>
  <c r="E9" i="26"/>
  <c r="J10" i="26"/>
  <c r="O11" i="26"/>
  <c r="O16" i="26"/>
  <c r="T17" i="26"/>
  <c r="J6" i="27"/>
  <c r="Y9" i="27"/>
  <c r="E13" i="27"/>
  <c r="E6" i="28"/>
  <c r="O8" i="28"/>
  <c r="T9" i="28"/>
  <c r="J10" i="28"/>
  <c r="Y10" i="28"/>
  <c r="AD11" i="28"/>
  <c r="AI12" i="28"/>
  <c r="Y13" i="28"/>
  <c r="AI15" i="28"/>
  <c r="O16" i="28"/>
  <c r="T17" i="28"/>
  <c r="J6" i="29"/>
  <c r="Y6" i="29"/>
  <c r="AI8" i="29"/>
  <c r="Y9" i="29"/>
  <c r="O12" i="29"/>
  <c r="E13" i="29"/>
  <c r="J14" i="29"/>
  <c r="Y14" i="29"/>
  <c r="J10" i="30"/>
  <c r="AD11" i="30"/>
  <c r="J6" i="31"/>
  <c r="Y6" i="31"/>
  <c r="J11" i="31"/>
  <c r="E6" i="32"/>
  <c r="O8" i="32"/>
  <c r="AD11" i="32"/>
  <c r="AI12" i="32"/>
  <c r="Y6" i="33"/>
  <c r="AD7" i="33"/>
  <c r="AI8" i="33"/>
  <c r="E10" i="33"/>
  <c r="O15" i="33"/>
  <c r="AI16" i="33"/>
  <c r="E6" i="34"/>
  <c r="T9" i="34"/>
  <c r="AI12" i="34"/>
  <c r="Y6" i="35"/>
  <c r="AI8" i="35"/>
  <c r="O12" i="35"/>
  <c r="E13" i="35"/>
  <c r="J14" i="35"/>
  <c r="AI16" i="35"/>
  <c r="P6" i="11"/>
  <c r="Z11" i="11"/>
  <c r="Z15" i="11"/>
  <c r="T10" i="31"/>
  <c r="AD12" i="31"/>
  <c r="AI13" i="31"/>
  <c r="Y7" i="32"/>
  <c r="E11" i="32"/>
  <c r="J12" i="32"/>
  <c r="Y15" i="32"/>
  <c r="J16" i="35"/>
  <c r="AI7" i="15"/>
  <c r="Y13" i="15"/>
  <c r="Y14" i="11"/>
  <c r="U7" i="11"/>
  <c r="K10" i="11"/>
  <c r="Y11" i="11"/>
  <c r="Y8" i="11"/>
  <c r="O11" i="11"/>
  <c r="O6" i="11"/>
  <c r="U12" i="11"/>
  <c r="AE12" i="11"/>
  <c r="K14" i="11"/>
  <c r="K15" i="11"/>
  <c r="Y15" i="11"/>
  <c r="AE16" i="11"/>
  <c r="F8" i="12"/>
  <c r="Z6" i="15"/>
  <c r="T13" i="34"/>
  <c r="K7" i="12"/>
  <c r="P8" i="12"/>
  <c r="U9" i="12"/>
  <c r="AE11" i="12"/>
  <c r="F14" i="12"/>
  <c r="K15" i="12"/>
  <c r="P16" i="12"/>
  <c r="U17" i="12"/>
  <c r="E16" i="11"/>
  <c r="Z10" i="11"/>
  <c r="F11" i="11"/>
  <c r="P13" i="11"/>
  <c r="T15" i="13"/>
  <c r="AD17" i="13"/>
  <c r="AI9" i="14"/>
  <c r="AD13" i="14"/>
  <c r="AI14" i="14"/>
  <c r="Y15" i="14"/>
  <c r="O6" i="15"/>
  <c r="F7" i="15"/>
  <c r="Y8" i="15"/>
  <c r="AD9" i="15"/>
  <c r="U10" i="15"/>
  <c r="AE12" i="15"/>
  <c r="O14" i="15"/>
  <c r="Y16" i="15"/>
  <c r="AD17" i="15"/>
  <c r="AI6" i="16"/>
  <c r="Y7" i="16"/>
  <c r="AI9" i="16"/>
  <c r="E11" i="16"/>
  <c r="P13" i="16"/>
  <c r="E7" i="17"/>
  <c r="K8" i="17"/>
  <c r="Y8" i="17"/>
  <c r="O9" i="17"/>
  <c r="AD9" i="17"/>
  <c r="U10" i="17"/>
  <c r="AI10" i="17"/>
  <c r="Z11" i="17"/>
  <c r="AE12" i="17"/>
  <c r="O14" i="17"/>
  <c r="F15" i="17"/>
  <c r="J16" i="17"/>
  <c r="Y16" i="17"/>
  <c r="P17" i="17"/>
  <c r="AD17" i="17"/>
  <c r="O10" i="18"/>
  <c r="T11" i="18"/>
  <c r="Y12" i="18"/>
  <c r="AD13" i="18"/>
  <c r="E16" i="18"/>
  <c r="O6" i="19"/>
  <c r="T7" i="19"/>
  <c r="K8" i="19"/>
  <c r="Y8" i="19"/>
  <c r="P9" i="19"/>
  <c r="AD9" i="19"/>
  <c r="U10" i="19"/>
  <c r="AI10" i="19"/>
  <c r="Z11" i="19"/>
  <c r="AE12" i="19"/>
  <c r="O14" i="19"/>
  <c r="T15" i="19"/>
  <c r="K16" i="19"/>
  <c r="Y16" i="19"/>
  <c r="AD17" i="19"/>
  <c r="AI6" i="20"/>
  <c r="O10" i="20"/>
  <c r="E11" i="20"/>
  <c r="J12" i="20"/>
  <c r="Y12" i="20"/>
  <c r="P13" i="20"/>
  <c r="AD13" i="20"/>
  <c r="AI14" i="20"/>
  <c r="E16" i="20"/>
  <c r="AE16" i="20"/>
  <c r="O6" i="21"/>
  <c r="Y8" i="21"/>
  <c r="P9" i="21"/>
  <c r="U10" i="21"/>
  <c r="AI10" i="21"/>
  <c r="Z11" i="21"/>
  <c r="J13" i="21"/>
  <c r="F15" i="21"/>
  <c r="Y16" i="21"/>
  <c r="P17" i="21"/>
  <c r="AD17" i="21"/>
  <c r="AI6" i="22"/>
  <c r="J9" i="22"/>
  <c r="O10" i="22"/>
  <c r="F11" i="22"/>
  <c r="Y12" i="22"/>
  <c r="AD13" i="22"/>
  <c r="AI14" i="22"/>
  <c r="J17" i="22"/>
  <c r="F7" i="23"/>
  <c r="T7" i="23"/>
  <c r="P9" i="23"/>
  <c r="U10" i="23"/>
  <c r="Z11" i="23"/>
  <c r="AE12" i="23"/>
  <c r="F15" i="23"/>
  <c r="AI6" i="24"/>
  <c r="O10" i="24"/>
  <c r="T11" i="24"/>
  <c r="Y12" i="24"/>
  <c r="AI14" i="24"/>
  <c r="E16" i="24"/>
  <c r="O6" i="25"/>
  <c r="F7" i="25"/>
  <c r="T7" i="25"/>
  <c r="Y8" i="25"/>
  <c r="P9" i="25"/>
  <c r="AD9" i="25"/>
  <c r="U10" i="25"/>
  <c r="AI10" i="25"/>
  <c r="Z11" i="25"/>
  <c r="AE12" i="25"/>
  <c r="O14" i="25"/>
  <c r="F15" i="25"/>
  <c r="T15" i="25"/>
  <c r="Y16" i="25"/>
  <c r="AD17" i="25"/>
  <c r="AI6" i="26"/>
  <c r="F11" i="26"/>
  <c r="Y12" i="26"/>
  <c r="AD13" i="26"/>
  <c r="AI14" i="26"/>
  <c r="Z15" i="26"/>
  <c r="P9" i="27"/>
  <c r="AI6" i="28"/>
  <c r="Z7" i="28"/>
  <c r="O10" i="28"/>
  <c r="T11" i="28"/>
  <c r="Y12" i="28"/>
  <c r="AD13" i="28"/>
  <c r="AI14" i="28"/>
  <c r="Z15" i="28"/>
  <c r="E16" i="28"/>
  <c r="O6" i="29"/>
  <c r="F7" i="29"/>
  <c r="Y8" i="29"/>
  <c r="J14" i="16"/>
  <c r="J6" i="22"/>
  <c r="O7" i="22"/>
  <c r="E13" i="22"/>
  <c r="J14" i="22"/>
  <c r="O15" i="22"/>
  <c r="T16" i="22"/>
  <c r="J6" i="24"/>
  <c r="J6" i="26"/>
  <c r="J14" i="26"/>
  <c r="J14" i="30"/>
  <c r="O15" i="30"/>
  <c r="J8" i="11"/>
  <c r="AE9" i="11"/>
  <c r="P10" i="12"/>
  <c r="U11" i="12"/>
  <c r="AE13" i="12"/>
  <c r="F16" i="12"/>
  <c r="U7" i="13"/>
  <c r="AE9" i="13"/>
  <c r="U15" i="13"/>
  <c r="Z16" i="13"/>
  <c r="K11" i="20"/>
  <c r="P12" i="20"/>
  <c r="AE15" i="20"/>
  <c r="AE7" i="28"/>
  <c r="F10" i="28"/>
  <c r="K11" i="28"/>
  <c r="U13" i="28"/>
  <c r="P9" i="29"/>
  <c r="AD9" i="29"/>
  <c r="U10" i="29"/>
  <c r="AI10" i="29"/>
  <c r="Z11" i="29"/>
  <c r="O14" i="29"/>
  <c r="F15" i="29"/>
  <c r="T15" i="29"/>
  <c r="Y16" i="29"/>
  <c r="AD17" i="29"/>
  <c r="AI6" i="30"/>
  <c r="Y12" i="30"/>
  <c r="AD13" i="30"/>
  <c r="AI14" i="30"/>
  <c r="E16" i="30"/>
  <c r="O6" i="31"/>
  <c r="T7" i="31"/>
  <c r="K8" i="31"/>
  <c r="P9" i="31"/>
  <c r="AD9" i="31"/>
  <c r="AI10" i="31"/>
  <c r="Z11" i="31"/>
  <c r="J13" i="31"/>
  <c r="O14" i="31"/>
  <c r="F15" i="31"/>
  <c r="T15" i="31"/>
  <c r="K16" i="31"/>
  <c r="Y16" i="31"/>
  <c r="P17" i="31"/>
  <c r="AD17" i="31"/>
  <c r="AI6" i="32"/>
  <c r="O10" i="32"/>
  <c r="T11" i="32"/>
  <c r="Y12" i="32"/>
  <c r="P13" i="32"/>
  <c r="AD13" i="32"/>
  <c r="AI14" i="32"/>
  <c r="E16" i="32"/>
  <c r="O6" i="33"/>
  <c r="F7" i="33"/>
  <c r="T7" i="33"/>
  <c r="K8" i="33"/>
  <c r="Y8" i="33"/>
  <c r="P9" i="33"/>
  <c r="AD9" i="33"/>
  <c r="U10" i="33"/>
  <c r="AI10" i="33"/>
  <c r="Z11" i="33"/>
  <c r="E12" i="33"/>
  <c r="AE12" i="33"/>
  <c r="AI13" i="33"/>
  <c r="O14" i="33"/>
  <c r="F15" i="33"/>
  <c r="T15" i="33"/>
  <c r="K16" i="33"/>
  <c r="P17" i="33"/>
  <c r="AD17" i="33"/>
  <c r="AI6" i="34"/>
  <c r="Y7" i="34"/>
  <c r="AI9" i="34"/>
  <c r="F11" i="34"/>
  <c r="J12" i="34"/>
  <c r="Y12" i="34"/>
  <c r="AD13" i="34"/>
  <c r="AI14" i="34"/>
  <c r="Y15" i="34"/>
  <c r="E16" i="34"/>
  <c r="AI17" i="34"/>
  <c r="O6" i="35"/>
  <c r="E7" i="35"/>
  <c r="T7" i="35"/>
  <c r="J8" i="35"/>
  <c r="Y8" i="35"/>
  <c r="P9" i="35"/>
  <c r="AI10" i="35"/>
  <c r="Z11" i="35"/>
  <c r="AE12" i="35"/>
  <c r="O14" i="35"/>
  <c r="E15" i="35"/>
  <c r="Y16" i="35"/>
  <c r="P17" i="35"/>
  <c r="AD17" i="35"/>
  <c r="O7" i="32"/>
  <c r="AE15" i="28"/>
  <c r="AE7" i="32"/>
  <c r="F10" i="32"/>
  <c r="P10" i="32"/>
  <c r="K11" i="32"/>
  <c r="P12" i="32"/>
  <c r="Z12" i="32"/>
  <c r="U13" i="32"/>
  <c r="AE13" i="32"/>
  <c r="O13" i="20"/>
  <c r="K8" i="21"/>
  <c r="K8" i="23"/>
  <c r="E15" i="23"/>
  <c r="E7" i="25"/>
  <c r="K8" i="25"/>
  <c r="AI9" i="32"/>
  <c r="O13" i="32"/>
  <c r="K8" i="35"/>
  <c r="Y11" i="35"/>
  <c r="E7" i="15"/>
  <c r="K12" i="28"/>
  <c r="F11" i="30"/>
  <c r="F11" i="32"/>
  <c r="Y11" i="17"/>
  <c r="O17" i="17"/>
  <c r="AE12" i="21"/>
  <c r="O17" i="21"/>
  <c r="AI17" i="22"/>
  <c r="E7" i="23"/>
  <c r="Y11" i="23"/>
  <c r="AI13" i="23"/>
  <c r="O9" i="25"/>
  <c r="E15" i="25"/>
  <c r="AI17" i="28"/>
  <c r="AI13" i="29"/>
  <c r="AE12" i="31"/>
  <c r="O9" i="33"/>
  <c r="Y11" i="33"/>
  <c r="E15" i="33"/>
  <c r="O17" i="35"/>
  <c r="O13" i="16"/>
  <c r="AI13" i="25"/>
  <c r="E15" i="29"/>
  <c r="AI17" i="32"/>
  <c r="E11" i="34"/>
  <c r="O9" i="35"/>
  <c r="P13" i="28"/>
  <c r="AI13" i="17"/>
  <c r="AI9" i="20"/>
  <c r="O9" i="21"/>
  <c r="Y11" i="25"/>
  <c r="E11" i="26"/>
  <c r="Y15" i="28"/>
  <c r="E7" i="29"/>
  <c r="J16" i="33"/>
  <c r="AI13" i="35"/>
  <c r="Z7" i="11"/>
  <c r="P10" i="11"/>
  <c r="P14" i="11"/>
  <c r="O6" i="12"/>
  <c r="E7" i="14"/>
  <c r="J8" i="14"/>
  <c r="AI13" i="14"/>
  <c r="O17" i="14"/>
  <c r="O10" i="15"/>
  <c r="E11" i="15"/>
  <c r="J12" i="15"/>
  <c r="Y12" i="15"/>
  <c r="AD13" i="15"/>
  <c r="AI17" i="15"/>
  <c r="Y11" i="16"/>
  <c r="T15" i="16"/>
  <c r="AD17" i="16"/>
  <c r="AI6" i="17"/>
  <c r="O13" i="11"/>
  <c r="E15" i="17"/>
  <c r="AI17" i="20"/>
  <c r="AI13" i="21"/>
  <c r="K16" i="25"/>
  <c r="K16" i="29"/>
  <c r="O17" i="33"/>
  <c r="Z15" i="34"/>
  <c r="E15" i="21"/>
  <c r="AI9" i="28"/>
  <c r="K8" i="29"/>
  <c r="Y11" i="29"/>
  <c r="AI17" i="30"/>
  <c r="E7" i="33"/>
  <c r="U12" i="12"/>
  <c r="AE6" i="14"/>
  <c r="O8" i="14"/>
  <c r="T9" i="14"/>
  <c r="P11" i="14"/>
  <c r="U12" i="14"/>
  <c r="AI12" i="14"/>
  <c r="Z13" i="14"/>
  <c r="AE14" i="14"/>
  <c r="F17" i="14"/>
  <c r="U8" i="15"/>
  <c r="Z9" i="15"/>
  <c r="AE10" i="15"/>
  <c r="F13" i="15"/>
  <c r="P15" i="15"/>
  <c r="U16" i="15"/>
  <c r="Z17" i="15"/>
  <c r="AE6" i="16"/>
  <c r="F9" i="16"/>
  <c r="K10" i="16"/>
  <c r="Y10" i="16"/>
  <c r="U12" i="16"/>
  <c r="Z13" i="16"/>
  <c r="AE14" i="16"/>
  <c r="O16" i="16"/>
  <c r="F17" i="16"/>
  <c r="T17" i="16"/>
  <c r="Y6" i="17"/>
  <c r="U8" i="17"/>
  <c r="Z9" i="17"/>
  <c r="AE10" i="17"/>
  <c r="F13" i="17"/>
  <c r="P15" i="17"/>
  <c r="U16" i="17"/>
  <c r="Z17" i="17"/>
  <c r="AE6" i="18"/>
  <c r="K10" i="18"/>
  <c r="P11" i="18"/>
  <c r="U12" i="18"/>
  <c r="Z13" i="18"/>
  <c r="AE14" i="18"/>
  <c r="P7" i="19"/>
  <c r="U8" i="19"/>
  <c r="Z9" i="19"/>
  <c r="AE10" i="19"/>
  <c r="F13" i="19"/>
  <c r="P15" i="19"/>
  <c r="U16" i="19"/>
  <c r="Z17" i="19"/>
  <c r="AE6" i="20"/>
  <c r="O8" i="20"/>
  <c r="U12" i="20"/>
  <c r="AE14" i="20"/>
  <c r="P7" i="21"/>
  <c r="U8" i="21"/>
  <c r="Z9" i="21"/>
  <c r="F13" i="21"/>
  <c r="P15" i="21"/>
  <c r="U16" i="21"/>
  <c r="Z17" i="21"/>
  <c r="AE6" i="22"/>
  <c r="F9" i="22"/>
  <c r="K10" i="22"/>
  <c r="Z13" i="22"/>
  <c r="P7" i="23"/>
  <c r="U8" i="23"/>
  <c r="E11" i="22"/>
  <c r="Y15" i="26"/>
  <c r="Y7" i="28"/>
  <c r="T10" i="33"/>
  <c r="AE8" i="22"/>
  <c r="K12" i="22"/>
  <c r="P13" i="22"/>
  <c r="U14" i="30"/>
  <c r="U6" i="34"/>
  <c r="Z7" i="34"/>
  <c r="J14" i="34"/>
  <c r="AE15" i="32"/>
  <c r="T11" i="25"/>
  <c r="O6" i="28"/>
  <c r="Y8" i="28"/>
  <c r="Y16" i="28"/>
  <c r="Z9" i="23"/>
  <c r="AE10" i="23"/>
  <c r="F13" i="23"/>
  <c r="P15" i="23"/>
  <c r="U16" i="23"/>
  <c r="Z17" i="23"/>
  <c r="AE6" i="24"/>
  <c r="U12" i="24"/>
  <c r="Z13" i="24"/>
  <c r="AE14" i="24"/>
  <c r="F17" i="24"/>
  <c r="P7" i="25"/>
  <c r="U8" i="25"/>
  <c r="Z9" i="25"/>
  <c r="AE10" i="25"/>
  <c r="F13" i="25"/>
  <c r="P15" i="25"/>
  <c r="U16" i="25"/>
  <c r="AE6" i="26"/>
  <c r="U12" i="26"/>
  <c r="AE14" i="26"/>
  <c r="AE10" i="27"/>
  <c r="K14" i="27"/>
  <c r="Z17" i="27"/>
  <c r="AE6" i="28"/>
  <c r="P11" i="28"/>
  <c r="U12" i="28"/>
  <c r="AE14" i="28"/>
  <c r="F17" i="28"/>
  <c r="P7" i="29"/>
  <c r="U8" i="29"/>
  <c r="AE10" i="29"/>
  <c r="P15" i="29"/>
  <c r="U16" i="29"/>
  <c r="Z17" i="29"/>
  <c r="AE6" i="30"/>
  <c r="F9" i="30"/>
  <c r="U12" i="30"/>
  <c r="AE14" i="30"/>
  <c r="F17" i="30"/>
  <c r="U8" i="31"/>
  <c r="Z9" i="31"/>
  <c r="AE10" i="31"/>
  <c r="F13" i="31"/>
  <c r="U16" i="31"/>
  <c r="Z17" i="31"/>
  <c r="AE6" i="32"/>
  <c r="U12" i="32"/>
  <c r="AE14" i="32"/>
  <c r="K6" i="33"/>
  <c r="P7" i="33"/>
  <c r="U8" i="33"/>
  <c r="Z9" i="33"/>
  <c r="AE10" i="33"/>
  <c r="O12" i="33"/>
  <c r="F13" i="33"/>
  <c r="T13" i="33"/>
  <c r="K14" i="33"/>
  <c r="Y14" i="33"/>
  <c r="AD15" i="33"/>
  <c r="Z17" i="33"/>
  <c r="AE6" i="34"/>
  <c r="K10" i="34"/>
  <c r="P11" i="34"/>
  <c r="U12" i="34"/>
  <c r="AE14" i="34"/>
  <c r="P7" i="35"/>
  <c r="U8" i="35"/>
  <c r="Z9" i="35"/>
  <c r="AE10" i="35"/>
  <c r="P15" i="35"/>
  <c r="U16" i="35"/>
  <c r="T6" i="12"/>
  <c r="U7" i="12"/>
  <c r="AE9" i="12"/>
  <c r="F12" i="12"/>
  <c r="O13" i="12"/>
  <c r="P14" i="12"/>
  <c r="U15" i="12"/>
  <c r="AD16" i="12"/>
  <c r="AE17" i="12"/>
  <c r="P10" i="13"/>
  <c r="AI13" i="13"/>
  <c r="F16" i="19"/>
  <c r="F13" i="11"/>
  <c r="Y6" i="14"/>
  <c r="AD7" i="14"/>
  <c r="AI8" i="14"/>
  <c r="F11" i="14"/>
  <c r="P13" i="14"/>
  <c r="AD15" i="14"/>
  <c r="AI16" i="14"/>
  <c r="AE6" i="15"/>
  <c r="K8" i="15"/>
  <c r="F9" i="15"/>
  <c r="P9" i="15"/>
  <c r="K10" i="15"/>
  <c r="Y10" i="15"/>
  <c r="AI10" i="15"/>
  <c r="P11" i="15"/>
  <c r="AD11" i="15"/>
  <c r="AI12" i="15"/>
  <c r="F15" i="15"/>
  <c r="K16" i="15"/>
  <c r="F17" i="15"/>
  <c r="T17" i="15"/>
  <c r="Y6" i="16"/>
  <c r="P7" i="16"/>
  <c r="U8" i="16"/>
  <c r="F11" i="16"/>
  <c r="F13" i="16"/>
  <c r="E16" i="16"/>
  <c r="U16" i="16"/>
  <c r="E6" i="17"/>
  <c r="O6" i="17"/>
  <c r="T7" i="17"/>
  <c r="Y6" i="18"/>
  <c r="AD7" i="18"/>
  <c r="AE8" i="18"/>
  <c r="F11" i="18"/>
  <c r="O12" i="18"/>
  <c r="T13" i="18"/>
  <c r="AD15" i="18"/>
  <c r="AE16" i="18"/>
  <c r="Y6" i="22"/>
  <c r="AD7" i="22"/>
  <c r="AE16" i="22"/>
  <c r="F11" i="24"/>
  <c r="K12" i="24"/>
  <c r="P13" i="24"/>
  <c r="AE16" i="24"/>
  <c r="U6" i="26"/>
  <c r="P13" i="26"/>
  <c r="U14" i="26"/>
  <c r="O15" i="26"/>
  <c r="AE16" i="26"/>
  <c r="U6" i="30"/>
  <c r="P13" i="30"/>
  <c r="O12" i="32"/>
  <c r="Y14" i="34"/>
  <c r="AD15" i="34"/>
  <c r="AI16" i="34"/>
  <c r="E9" i="11"/>
  <c r="AI9" i="11"/>
  <c r="Y12" i="11"/>
  <c r="AI13" i="11"/>
  <c r="AI17" i="11"/>
  <c r="E7" i="12"/>
  <c r="J8" i="12"/>
  <c r="O9" i="12"/>
  <c r="AD12" i="12"/>
  <c r="E15" i="12"/>
  <c r="O17" i="12"/>
  <c r="T6" i="13"/>
  <c r="E11" i="13"/>
  <c r="J12" i="13"/>
  <c r="O13" i="13"/>
  <c r="AD13" i="35"/>
  <c r="E6" i="12"/>
  <c r="E9" i="12"/>
  <c r="T12" i="12"/>
  <c r="Y13" i="12"/>
  <c r="Z13" i="12"/>
  <c r="U8" i="13"/>
  <c r="P9" i="13"/>
  <c r="AE10" i="13"/>
  <c r="F13" i="13"/>
  <c r="P15" i="13"/>
  <c r="U16" i="13"/>
  <c r="Z17" i="13"/>
  <c r="E16" i="14"/>
  <c r="F8" i="11"/>
  <c r="E11" i="11"/>
  <c r="F16" i="11"/>
  <c r="K6" i="11"/>
  <c r="K7" i="11"/>
  <c r="Y7" i="11"/>
  <c r="U8" i="11"/>
  <c r="AE8" i="11"/>
  <c r="AD9" i="11"/>
  <c r="O10" i="11"/>
  <c r="K11" i="11"/>
  <c r="U11" i="11"/>
  <c r="AI12" i="11"/>
  <c r="AD13" i="11"/>
  <c r="O14" i="11"/>
  <c r="U15" i="11"/>
  <c r="U16" i="11"/>
  <c r="AI16" i="11"/>
  <c r="AE17" i="11"/>
  <c r="E6" i="11"/>
  <c r="E14" i="11"/>
  <c r="J12" i="11"/>
  <c r="T13" i="11"/>
  <c r="J16" i="11"/>
  <c r="O11" i="13"/>
  <c r="AI17" i="13"/>
  <c r="O8" i="17"/>
  <c r="F9" i="17"/>
  <c r="P11" i="17"/>
  <c r="AI13" i="18"/>
  <c r="O17" i="18"/>
  <c r="Z9" i="20"/>
  <c r="E12" i="11"/>
  <c r="E17" i="11"/>
  <c r="U6" i="11"/>
  <c r="AE6" i="11"/>
  <c r="O7" i="11"/>
  <c r="AE7" i="11"/>
  <c r="K8" i="11"/>
  <c r="K9" i="11"/>
  <c r="U9" i="11"/>
  <c r="T10" i="11"/>
  <c r="AE10" i="11"/>
  <c r="AD11" i="11"/>
  <c r="K12" i="11"/>
  <c r="K13" i="11"/>
  <c r="U13" i="11"/>
  <c r="T14" i="11"/>
  <c r="AE14" i="11"/>
  <c r="O15" i="11"/>
  <c r="AE15" i="11"/>
  <c r="K16" i="11"/>
  <c r="Y16" i="11"/>
  <c r="K17" i="11"/>
  <c r="U17" i="11"/>
  <c r="AD6" i="12"/>
  <c r="T7" i="12"/>
  <c r="AI7" i="12"/>
  <c r="Y8" i="12"/>
  <c r="AI10" i="12"/>
  <c r="J13" i="12"/>
  <c r="O14" i="12"/>
  <c r="AD14" i="12"/>
  <c r="T15" i="12"/>
  <c r="AI15" i="12"/>
  <c r="O7" i="13"/>
  <c r="Y12" i="13"/>
  <c r="J14" i="13"/>
  <c r="E16" i="13"/>
  <c r="K9" i="12"/>
  <c r="T10" i="12"/>
  <c r="K17" i="12"/>
  <c r="K13" i="13"/>
  <c r="T9" i="15"/>
  <c r="Z11" i="15"/>
  <c r="AI15" i="15"/>
  <c r="J10" i="11"/>
  <c r="T11" i="11"/>
  <c r="J14" i="11"/>
  <c r="U6" i="16"/>
  <c r="AI16" i="18"/>
  <c r="AI6" i="12"/>
  <c r="T11" i="12"/>
  <c r="AI14" i="12"/>
  <c r="E16" i="12"/>
  <c r="J17" i="12"/>
  <c r="O6" i="13"/>
  <c r="T7" i="13"/>
  <c r="AD9" i="13"/>
  <c r="O14" i="13"/>
  <c r="J8" i="15"/>
  <c r="E15" i="15"/>
  <c r="E7" i="19"/>
  <c r="J8" i="19"/>
  <c r="AI13" i="19"/>
  <c r="E15" i="19"/>
  <c r="O17" i="19"/>
  <c r="J8" i="27"/>
  <c r="O9" i="27"/>
  <c r="Y11" i="27"/>
  <c r="P17" i="15"/>
  <c r="Z6" i="11"/>
  <c r="AI7" i="11"/>
  <c r="T8" i="11"/>
  <c r="P9" i="11"/>
  <c r="Y10" i="11"/>
  <c r="AI11" i="11"/>
  <c r="T12" i="11"/>
  <c r="Z13" i="11"/>
  <c r="Z14" i="11"/>
  <c r="T16" i="11"/>
  <c r="O17" i="11"/>
  <c r="AD17" i="11"/>
  <c r="Z9" i="14"/>
  <c r="K14" i="14"/>
  <c r="P15" i="14"/>
  <c r="K6" i="18"/>
  <c r="P7" i="18"/>
  <c r="U8" i="18"/>
  <c r="AE10" i="18"/>
  <c r="F13" i="18"/>
  <c r="P15" i="18"/>
  <c r="U16" i="18"/>
  <c r="Z17" i="18"/>
  <c r="U8" i="22"/>
  <c r="Z9" i="22"/>
  <c r="AE10" i="22"/>
  <c r="AE10" i="32"/>
  <c r="P7" i="34"/>
  <c r="U8" i="34"/>
  <c r="Z9" i="34"/>
  <c r="AE10" i="34"/>
  <c r="F13" i="34"/>
  <c r="P15" i="34"/>
  <c r="U8" i="14"/>
  <c r="AE10" i="14"/>
  <c r="O12" i="14"/>
  <c r="F13" i="14"/>
  <c r="Y14" i="14"/>
  <c r="U16" i="14"/>
  <c r="Z17" i="14"/>
  <c r="AE17" i="13"/>
  <c r="AD13" i="13"/>
  <c r="E7" i="32"/>
  <c r="J8" i="32"/>
  <c r="O9" i="32"/>
  <c r="Y11" i="32"/>
  <c r="AI15" i="11"/>
  <c r="F7" i="11"/>
  <c r="F15" i="11"/>
  <c r="J6" i="11"/>
  <c r="T7" i="11"/>
  <c r="Z8" i="11"/>
  <c r="P12" i="11"/>
  <c r="Z12" i="11"/>
  <c r="T15" i="11"/>
  <c r="P16" i="11"/>
  <c r="Z16" i="11"/>
  <c r="Z17" i="11"/>
  <c r="O10" i="12"/>
  <c r="E13" i="11"/>
  <c r="Y6" i="11"/>
  <c r="O9" i="11"/>
  <c r="J16" i="32"/>
  <c r="P10" i="27"/>
  <c r="Z12" i="27"/>
  <c r="Y14" i="22"/>
  <c r="AD15" i="22"/>
  <c r="Y6" i="24"/>
  <c r="AD7" i="24"/>
  <c r="AI8" i="24"/>
  <c r="Y14" i="24"/>
  <c r="AD7" i="26"/>
  <c r="AI8" i="26"/>
  <c r="O12" i="26"/>
  <c r="AD15" i="26"/>
  <c r="P7" i="30"/>
  <c r="AD7" i="30"/>
  <c r="U8" i="30"/>
  <c r="AI8" i="30"/>
  <c r="Z9" i="30"/>
  <c r="AE10" i="30"/>
  <c r="O12" i="30"/>
  <c r="F13" i="30"/>
  <c r="AD15" i="30"/>
  <c r="U16" i="30"/>
  <c r="Z17" i="30"/>
  <c r="Z17" i="35"/>
  <c r="E17" i="24"/>
  <c r="AI7" i="32"/>
  <c r="E9" i="30"/>
  <c r="K10" i="30"/>
  <c r="AI15" i="34"/>
  <c r="U16" i="34"/>
  <c r="Z17" i="34"/>
  <c r="O17" i="32"/>
  <c r="T7" i="14"/>
  <c r="F6" i="12"/>
  <c r="J7" i="12"/>
  <c r="AD11" i="12"/>
  <c r="Y7" i="12"/>
  <c r="AD8" i="12"/>
  <c r="T9" i="12"/>
  <c r="AI9" i="12"/>
  <c r="Y10" i="12"/>
  <c r="E11" i="12"/>
  <c r="J12" i="12"/>
  <c r="T14" i="12"/>
  <c r="Y15" i="12"/>
  <c r="E7" i="13"/>
  <c r="O8" i="12"/>
  <c r="AI12" i="12"/>
  <c r="J15" i="12"/>
  <c r="O16" i="14"/>
  <c r="E9" i="16"/>
  <c r="P6" i="12"/>
  <c r="P11" i="22"/>
  <c r="T9" i="26"/>
  <c r="Y6" i="12"/>
  <c r="AD7" i="12"/>
  <c r="AI8" i="12"/>
  <c r="E10" i="12"/>
  <c r="Y14" i="12"/>
  <c r="AD15" i="12"/>
  <c r="AI16" i="12"/>
  <c r="T9" i="13"/>
  <c r="Y10" i="13"/>
  <c r="AI12" i="13"/>
  <c r="O16" i="13"/>
  <c r="T17" i="13"/>
  <c r="O10" i="14"/>
  <c r="Y13" i="14"/>
  <c r="K13" i="12"/>
  <c r="O16" i="12"/>
  <c r="E17" i="16"/>
  <c r="Z13" i="20"/>
  <c r="T17" i="12"/>
  <c r="U10" i="24"/>
  <c r="Y7" i="25"/>
  <c r="J12" i="25"/>
  <c r="O13" i="25"/>
  <c r="Y10" i="14"/>
  <c r="P6" i="14"/>
  <c r="Z6" i="14"/>
  <c r="AE7" i="14"/>
  <c r="Z8" i="14"/>
  <c r="O9" i="14"/>
  <c r="AE9" i="14"/>
  <c r="Y11" i="14"/>
  <c r="P12" i="14"/>
  <c r="K13" i="14"/>
  <c r="P14" i="14"/>
  <c r="Z14" i="14"/>
  <c r="AE15" i="14"/>
  <c r="AD17" i="14"/>
  <c r="F6" i="15"/>
  <c r="AD13" i="17"/>
  <c r="F10" i="18"/>
  <c r="P12" i="18"/>
  <c r="T6" i="11"/>
  <c r="AI6" i="11"/>
  <c r="O8" i="11"/>
  <c r="Y9" i="11"/>
  <c r="Y13" i="11"/>
  <c r="E8" i="12"/>
  <c r="O6" i="14"/>
  <c r="AI7" i="14"/>
  <c r="Y8" i="14"/>
  <c r="E9" i="14"/>
  <c r="AD9" i="14"/>
  <c r="J10" i="14"/>
  <c r="J6" i="15"/>
  <c r="AI6" i="15"/>
  <c r="O7" i="15"/>
  <c r="J14" i="15"/>
  <c r="AI14" i="15"/>
  <c r="O6" i="16"/>
  <c r="T7" i="16"/>
  <c r="AI7" i="16"/>
  <c r="Y8" i="16"/>
  <c r="AD9" i="16"/>
  <c r="J10" i="16"/>
  <c r="O11" i="16"/>
  <c r="AI15" i="16"/>
  <c r="J6" i="17"/>
  <c r="O7" i="17"/>
  <c r="O10" i="17"/>
  <c r="Y12" i="17"/>
  <c r="Y8" i="18"/>
  <c r="E9" i="18"/>
  <c r="AI10" i="18"/>
  <c r="J6" i="19"/>
  <c r="J9" i="19"/>
  <c r="T11" i="19"/>
  <c r="E8" i="11"/>
  <c r="U10" i="11"/>
  <c r="F12" i="11"/>
  <c r="U14" i="11"/>
  <c r="AE6" i="12"/>
  <c r="K10" i="12"/>
  <c r="AI17" i="12"/>
  <c r="U7" i="14"/>
  <c r="K6" i="12"/>
  <c r="P7" i="12"/>
  <c r="T8" i="12"/>
  <c r="J9" i="12"/>
  <c r="Z9" i="12"/>
  <c r="AE10" i="12"/>
  <c r="J11" i="12"/>
  <c r="O12" i="12"/>
  <c r="Y12" i="12"/>
  <c r="E13" i="12"/>
  <c r="P13" i="12"/>
  <c r="AD13" i="12"/>
  <c r="K14" i="12"/>
  <c r="O15" i="12"/>
  <c r="U16" i="12"/>
  <c r="Z17" i="12"/>
  <c r="E6" i="13"/>
  <c r="AE6" i="13"/>
  <c r="F7" i="13"/>
  <c r="O8" i="13"/>
  <c r="Y8" i="13"/>
  <c r="E9" i="13"/>
  <c r="K10" i="13"/>
  <c r="P11" i="13"/>
  <c r="AD11" i="13"/>
  <c r="Z13" i="13"/>
  <c r="F15" i="13"/>
  <c r="AE7" i="15"/>
  <c r="K9" i="15"/>
  <c r="F10" i="15"/>
  <c r="P10" i="15"/>
  <c r="P12" i="15"/>
  <c r="Z12" i="15"/>
  <c r="AE13" i="15"/>
  <c r="Z14" i="15"/>
  <c r="K17" i="15"/>
  <c r="Z6" i="19"/>
  <c r="AE7" i="19"/>
  <c r="P10" i="19"/>
  <c r="AD7" i="11"/>
  <c r="Y16" i="13"/>
  <c r="P7" i="13"/>
  <c r="P6" i="23"/>
  <c r="U7" i="23"/>
  <c r="Z8" i="23"/>
  <c r="AD9" i="23"/>
  <c r="K11" i="23"/>
  <c r="P12" i="23"/>
  <c r="K13" i="23"/>
  <c r="O14" i="23"/>
  <c r="Z14" i="23"/>
  <c r="Z16" i="23"/>
  <c r="AD17" i="23"/>
  <c r="AE14" i="12"/>
  <c r="P11" i="12"/>
  <c r="AI10" i="13"/>
  <c r="AI10" i="14"/>
  <c r="Z9" i="13"/>
  <c r="J6" i="14"/>
  <c r="AI6" i="14"/>
  <c r="O7" i="14"/>
  <c r="Y12" i="14"/>
  <c r="AI6" i="18"/>
  <c r="Y9" i="18"/>
  <c r="J14" i="18"/>
  <c r="AI14" i="18"/>
  <c r="AE11" i="11"/>
  <c r="AE17" i="14"/>
  <c r="Z6" i="16"/>
  <c r="E7" i="16"/>
  <c r="AE7" i="16"/>
  <c r="J8" i="16"/>
  <c r="O9" i="16"/>
  <c r="F10" i="16"/>
  <c r="P10" i="16"/>
  <c r="K11" i="16"/>
  <c r="U11" i="16"/>
  <c r="Z12" i="16"/>
  <c r="U13" i="16"/>
  <c r="AI13" i="16"/>
  <c r="AE15" i="16"/>
  <c r="Y6" i="28"/>
  <c r="AD15" i="11"/>
  <c r="Z6" i="13"/>
  <c r="J8" i="13"/>
  <c r="O9" i="13"/>
  <c r="F10" i="13"/>
  <c r="K11" i="13"/>
  <c r="Y11" i="13"/>
  <c r="Z12" i="13"/>
  <c r="U13" i="13"/>
  <c r="AE13" i="13"/>
  <c r="Z14" i="13"/>
  <c r="E15" i="13"/>
  <c r="J16" i="13"/>
  <c r="O17" i="13"/>
  <c r="AE6" i="25"/>
  <c r="F9" i="25"/>
  <c r="K10" i="25"/>
  <c r="U12" i="25"/>
  <c r="Z13" i="25"/>
  <c r="AE14" i="25"/>
  <c r="P7" i="28"/>
  <c r="Z9" i="28"/>
  <c r="AE10" i="28"/>
  <c r="P15" i="28"/>
  <c r="Z17" i="28"/>
  <c r="O16" i="20"/>
  <c r="K16" i="20"/>
  <c r="Z7" i="21"/>
  <c r="AD7" i="21"/>
  <c r="AI12" i="22"/>
  <c r="AE12" i="22"/>
  <c r="J10" i="24"/>
  <c r="K10" i="24"/>
  <c r="P9" i="30"/>
  <c r="T9" i="30"/>
  <c r="J14" i="31"/>
  <c r="K14" i="31"/>
  <c r="P9" i="32"/>
  <c r="T9" i="32"/>
  <c r="Y10" i="32"/>
  <c r="U10" i="32"/>
  <c r="Z13" i="32"/>
  <c r="Y13" i="32"/>
  <c r="T17" i="32"/>
  <c r="P17" i="32"/>
  <c r="U16" i="33"/>
  <c r="T16" i="33"/>
  <c r="O8" i="34"/>
  <c r="K8" i="34"/>
  <c r="F9" i="34"/>
  <c r="E9" i="34"/>
  <c r="Y10" i="34"/>
  <c r="U10" i="34"/>
  <c r="AD11" i="34"/>
  <c r="Z11" i="34"/>
  <c r="Z13" i="34"/>
  <c r="Y13" i="34"/>
  <c r="F17" i="34"/>
  <c r="E17" i="34"/>
  <c r="Y14" i="35"/>
  <c r="U14" i="35"/>
  <c r="AD15" i="35"/>
  <c r="Z15" i="35"/>
  <c r="AI12" i="18"/>
  <c r="AE12" i="18"/>
  <c r="AI12" i="20"/>
  <c r="AE12" i="20"/>
  <c r="P9" i="22"/>
  <c r="T9" i="22"/>
  <c r="T9" i="24"/>
  <c r="P9" i="24"/>
  <c r="F9" i="28"/>
  <c r="E9" i="28"/>
  <c r="P7" i="31"/>
  <c r="O7" i="31"/>
  <c r="O11" i="18"/>
  <c r="P11" i="32"/>
  <c r="Z9" i="11"/>
  <c r="K8" i="13"/>
  <c r="P17" i="13"/>
  <c r="K8" i="14"/>
  <c r="F9" i="14"/>
  <c r="Z11" i="14"/>
  <c r="AE12" i="14"/>
  <c r="T17" i="14"/>
  <c r="P9" i="16"/>
  <c r="P11" i="16"/>
  <c r="Y13" i="16"/>
  <c r="J10" i="18"/>
  <c r="O8" i="26"/>
  <c r="AI15" i="26"/>
  <c r="E17" i="30"/>
  <c r="AE12" i="32"/>
  <c r="AI7" i="34"/>
  <c r="J10" i="34"/>
  <c r="O11" i="34"/>
  <c r="Z15" i="15"/>
  <c r="AD15" i="15"/>
  <c r="AE16" i="17"/>
  <c r="AI16" i="17"/>
  <c r="Y10" i="20"/>
  <c r="U10" i="20"/>
  <c r="T17" i="20"/>
  <c r="P17" i="20"/>
  <c r="AD15" i="21"/>
  <c r="Z15" i="21"/>
  <c r="T17" i="22"/>
  <c r="P17" i="22"/>
  <c r="O8" i="24"/>
  <c r="K8" i="24"/>
  <c r="J6" i="25"/>
  <c r="K6" i="25"/>
  <c r="AD15" i="25"/>
  <c r="Z15" i="25"/>
  <c r="J7" i="22"/>
  <c r="K16" i="24"/>
  <c r="AI7" i="26"/>
  <c r="P17" i="26"/>
  <c r="Z13" i="30"/>
  <c r="O7" i="12"/>
  <c r="U10" i="13"/>
  <c r="Z11" i="13"/>
  <c r="AE12" i="13"/>
  <c r="K16" i="13"/>
  <c r="AI15" i="14"/>
  <c r="K14" i="15"/>
  <c r="K8" i="16"/>
  <c r="U10" i="16"/>
  <c r="K16" i="16"/>
  <c r="Y13" i="18"/>
  <c r="F9" i="20"/>
  <c r="F17" i="20"/>
  <c r="E9" i="22"/>
  <c r="Z11" i="22"/>
  <c r="AD11" i="24"/>
  <c r="J14" i="27"/>
  <c r="AI7" i="28"/>
  <c r="O11" i="28"/>
  <c r="O8" i="30"/>
  <c r="Y10" i="30"/>
  <c r="K10" i="32"/>
  <c r="O16" i="32"/>
  <c r="P9" i="34"/>
  <c r="AD11" i="18"/>
  <c r="Z11" i="18"/>
  <c r="AD11" i="20"/>
  <c r="Z11" i="20"/>
  <c r="U10" i="22"/>
  <c r="Y10" i="22"/>
  <c r="U12" i="22"/>
  <c r="T12" i="22"/>
  <c r="F15" i="22"/>
  <c r="J15" i="22"/>
  <c r="F17" i="22"/>
  <c r="E17" i="22"/>
  <c r="K10" i="20"/>
  <c r="AE14" i="22"/>
  <c r="K8" i="32"/>
  <c r="P8" i="11"/>
  <c r="K10" i="14"/>
  <c r="Z11" i="16"/>
  <c r="AE12" i="16"/>
  <c r="U10" i="18"/>
  <c r="AI7" i="22"/>
  <c r="K16" i="26"/>
  <c r="K10" i="28"/>
  <c r="E17" i="28"/>
  <c r="Z11" i="30"/>
  <c r="AI12" i="30"/>
  <c r="Z11" i="32"/>
  <c r="AE12" i="34"/>
  <c r="T17" i="34"/>
  <c r="AI7" i="18"/>
  <c r="F17" i="18"/>
  <c r="E17" i="18"/>
  <c r="AI7" i="30"/>
  <c r="AI12" i="24"/>
  <c r="P9" i="14"/>
  <c r="E17" i="14"/>
  <c r="P13" i="15"/>
  <c r="F9" i="18"/>
  <c r="P17" i="18"/>
  <c r="O8" i="22"/>
  <c r="K10" i="26"/>
  <c r="P11" i="26"/>
  <c r="Y17" i="27"/>
  <c r="O16" i="30"/>
  <c r="T17" i="30"/>
  <c r="F9" i="32"/>
  <c r="O16" i="34"/>
  <c r="K14" i="17"/>
  <c r="J14" i="17"/>
  <c r="P9" i="18"/>
  <c r="T9" i="18"/>
  <c r="F9" i="24"/>
  <c r="E9" i="24"/>
  <c r="Z13" i="26"/>
  <c r="Y13" i="26"/>
  <c r="F17" i="26"/>
  <c r="E17" i="26"/>
  <c r="P11" i="30"/>
  <c r="O11" i="30"/>
  <c r="O8" i="18"/>
  <c r="O16" i="18"/>
  <c r="E7" i="11"/>
  <c r="O11" i="14"/>
  <c r="AI15" i="18"/>
  <c r="AI7" i="20"/>
  <c r="P11" i="20"/>
  <c r="P11" i="24"/>
  <c r="Y13" i="24"/>
  <c r="F9" i="26"/>
  <c r="P9" i="20"/>
  <c r="T9" i="20"/>
  <c r="AI12" i="26"/>
  <c r="AE12" i="26"/>
  <c r="P17" i="16"/>
  <c r="J10" i="22"/>
  <c r="AI15" i="30"/>
  <c r="AI14" i="11"/>
  <c r="U8" i="12"/>
  <c r="P7" i="15"/>
  <c r="K8" i="20"/>
  <c r="AD6" i="22"/>
  <c r="U10" i="26"/>
  <c r="AD11" i="26"/>
  <c r="Z13" i="28"/>
  <c r="F17" i="32"/>
  <c r="K16" i="22"/>
  <c r="E15" i="11"/>
  <c r="AI8" i="19"/>
  <c r="O9" i="19"/>
  <c r="F10" i="19"/>
  <c r="K11" i="19"/>
  <c r="Y11" i="19"/>
  <c r="AI11" i="19"/>
  <c r="P12" i="19"/>
  <c r="T13" i="19"/>
  <c r="Y14" i="19"/>
  <c r="O15" i="19"/>
  <c r="AE15" i="19"/>
  <c r="Z6" i="27"/>
  <c r="AD7" i="27"/>
  <c r="K11" i="27"/>
  <c r="P12" i="27"/>
  <c r="U13" i="27"/>
  <c r="Z14" i="27"/>
  <c r="E15" i="27"/>
  <c r="AE15" i="27"/>
  <c r="O17" i="27"/>
  <c r="O6" i="27"/>
  <c r="F7" i="27"/>
  <c r="P7" i="27"/>
  <c r="Y8" i="27"/>
  <c r="AD9" i="27"/>
  <c r="U10" i="27"/>
  <c r="AI10" i="27"/>
  <c r="Z11" i="27"/>
  <c r="AE12" i="27"/>
  <c r="F13" i="27"/>
  <c r="O14" i="27"/>
  <c r="F15" i="27"/>
  <c r="P15" i="27"/>
  <c r="K16" i="27"/>
  <c r="U16" i="27"/>
  <c r="P17" i="27"/>
  <c r="AD17" i="27"/>
  <c r="AI7" i="23"/>
  <c r="E9" i="23"/>
  <c r="J10" i="23"/>
  <c r="Y13" i="23"/>
  <c r="AI15" i="23"/>
  <c r="E17" i="23"/>
  <c r="Z17" i="22"/>
  <c r="U8" i="24"/>
  <c r="Z9" i="24"/>
  <c r="AE10" i="24"/>
  <c r="F13" i="24"/>
  <c r="K14" i="24"/>
  <c r="P15" i="24"/>
  <c r="U16" i="24"/>
  <c r="Z17" i="24"/>
  <c r="P7" i="26"/>
  <c r="U8" i="26"/>
  <c r="Z9" i="26"/>
  <c r="AE10" i="26"/>
  <c r="F13" i="26"/>
  <c r="Z17" i="26"/>
  <c r="AI16" i="30"/>
  <c r="AD7" i="32"/>
  <c r="J6" i="13"/>
  <c r="AD7" i="13"/>
  <c r="AI11" i="13"/>
  <c r="O12" i="13"/>
  <c r="AD15" i="13"/>
  <c r="AI16" i="13"/>
  <c r="J6" i="16"/>
  <c r="O12" i="16"/>
  <c r="Y14" i="16"/>
  <c r="E15" i="16"/>
  <c r="J16" i="16"/>
  <c r="AI16" i="16"/>
  <c r="O17" i="16"/>
  <c r="J6" i="20"/>
  <c r="E7" i="20"/>
  <c r="J8" i="20"/>
  <c r="O9" i="20"/>
  <c r="P10" i="20"/>
  <c r="Y11" i="20"/>
  <c r="Z12" i="20"/>
  <c r="AI13" i="20"/>
  <c r="J14" i="20"/>
  <c r="Y14" i="20"/>
  <c r="E15" i="20"/>
  <c r="J16" i="20"/>
  <c r="AI16" i="20"/>
  <c r="O17" i="20"/>
  <c r="E7" i="28"/>
  <c r="F8" i="28"/>
  <c r="O9" i="28"/>
  <c r="P10" i="28"/>
  <c r="U11" i="28"/>
  <c r="O12" i="28"/>
  <c r="Z12" i="28"/>
  <c r="AI13" i="28"/>
  <c r="Y14" i="28"/>
  <c r="F16" i="28"/>
  <c r="AI16" i="28"/>
  <c r="O17" i="28"/>
  <c r="Y14" i="32"/>
  <c r="AI16" i="32"/>
  <c r="F11" i="25"/>
  <c r="F7" i="28"/>
  <c r="K8" i="28"/>
  <c r="P9" i="28"/>
  <c r="U10" i="28"/>
  <c r="Z11" i="28"/>
  <c r="AE12" i="28"/>
  <c r="K16" i="28"/>
  <c r="F13" i="35"/>
  <c r="Y6" i="34"/>
  <c r="U14" i="34"/>
  <c r="AD7" i="34"/>
  <c r="Z7" i="33"/>
  <c r="Y9" i="33"/>
  <c r="U14" i="33"/>
  <c r="F8" i="32"/>
  <c r="AI13" i="32"/>
  <c r="AD15" i="32"/>
  <c r="K9" i="32"/>
  <c r="F16" i="32"/>
  <c r="Z14" i="32"/>
  <c r="K17" i="32"/>
  <c r="AI8" i="32"/>
  <c r="T16" i="31"/>
  <c r="K6" i="31"/>
  <c r="F11" i="31"/>
  <c r="AI11" i="31"/>
  <c r="P15" i="31"/>
  <c r="T8" i="31"/>
  <c r="AD10" i="31"/>
  <c r="E13" i="31"/>
  <c r="U6" i="31"/>
  <c r="Y6" i="30"/>
  <c r="Z7" i="30"/>
  <c r="Y14" i="30"/>
  <c r="Z9" i="29"/>
  <c r="F13" i="29"/>
  <c r="Z15" i="29"/>
  <c r="AD7" i="29"/>
  <c r="U14" i="29"/>
  <c r="Y11" i="28"/>
  <c r="AD9" i="28"/>
  <c r="E15" i="28"/>
  <c r="AD17" i="28"/>
  <c r="T15" i="28"/>
  <c r="K17" i="28"/>
  <c r="AI8" i="28"/>
  <c r="Z14" i="28"/>
  <c r="J16" i="28"/>
  <c r="AE13" i="28"/>
  <c r="AE7" i="27"/>
  <c r="AD15" i="27"/>
  <c r="Y16" i="27"/>
  <c r="Y6" i="27"/>
  <c r="U8" i="27"/>
  <c r="Y14" i="27"/>
  <c r="Z9" i="27"/>
  <c r="O12" i="27"/>
  <c r="T15" i="27"/>
  <c r="T7" i="27"/>
  <c r="Z7" i="26"/>
  <c r="K12" i="26"/>
  <c r="E13" i="26"/>
  <c r="Y17" i="26"/>
  <c r="AE8" i="26"/>
  <c r="K14" i="26"/>
  <c r="K6" i="26"/>
  <c r="P15" i="26"/>
  <c r="AI11" i="26"/>
  <c r="O10" i="25"/>
  <c r="K12" i="25"/>
  <c r="Y9" i="25"/>
  <c r="P11" i="25"/>
  <c r="P13" i="25"/>
  <c r="Z17" i="25"/>
  <c r="AD13" i="25"/>
  <c r="AI14" i="25"/>
  <c r="AI9" i="25"/>
  <c r="O12" i="24"/>
  <c r="AE8" i="24"/>
  <c r="K6" i="24"/>
  <c r="O6" i="23"/>
  <c r="AE16" i="23"/>
  <c r="AI10" i="23"/>
  <c r="AI8" i="23"/>
  <c r="AE7" i="23"/>
  <c r="Y8" i="23"/>
  <c r="AE15" i="23"/>
  <c r="Y16" i="23"/>
  <c r="U16" i="22"/>
  <c r="U6" i="22"/>
  <c r="Z7" i="22"/>
  <c r="T13" i="22"/>
  <c r="U14" i="22"/>
  <c r="Z15" i="22"/>
  <c r="AD10" i="22"/>
  <c r="Y6" i="21"/>
  <c r="U14" i="21"/>
  <c r="F8" i="20"/>
  <c r="Y6" i="20"/>
  <c r="AD15" i="20"/>
  <c r="K9" i="20"/>
  <c r="AD7" i="20"/>
  <c r="Z14" i="20"/>
  <c r="K17" i="20"/>
  <c r="AE13" i="20"/>
  <c r="AI8" i="20"/>
  <c r="U13" i="19"/>
  <c r="Y6" i="19"/>
  <c r="AD15" i="19"/>
  <c r="AD7" i="19"/>
  <c r="AI16" i="19"/>
  <c r="AE13" i="19"/>
  <c r="U11" i="19"/>
  <c r="K9" i="19"/>
  <c r="AI8" i="18"/>
  <c r="K14" i="18"/>
  <c r="J6" i="18"/>
  <c r="P13" i="18"/>
  <c r="K12" i="18"/>
  <c r="P7" i="17"/>
  <c r="O12" i="17"/>
  <c r="F8" i="16"/>
  <c r="P12" i="16"/>
  <c r="AD15" i="16"/>
  <c r="K9" i="16"/>
  <c r="AD7" i="16"/>
  <c r="Z14" i="16"/>
  <c r="K17" i="16"/>
  <c r="AI8" i="16"/>
  <c r="AE13" i="16"/>
  <c r="Y6" i="15"/>
  <c r="O15" i="15"/>
  <c r="AI11" i="15"/>
  <c r="Y9" i="15"/>
  <c r="U14" i="15"/>
  <c r="E13" i="15"/>
  <c r="AI13" i="15"/>
  <c r="Y17" i="15"/>
  <c r="K6" i="15"/>
  <c r="J14" i="14"/>
  <c r="AE16" i="14"/>
  <c r="P7" i="14"/>
  <c r="AE7" i="13"/>
  <c r="AE15" i="13"/>
  <c r="AI8" i="13"/>
  <c r="Y14" i="13"/>
  <c r="F8" i="13"/>
  <c r="U11" i="13"/>
  <c r="P12" i="13"/>
  <c r="Y6" i="13"/>
  <c r="F16" i="13"/>
  <c r="K9" i="13"/>
  <c r="K17" i="13"/>
  <c r="U6" i="35"/>
  <c r="AD7" i="35"/>
  <c r="O15" i="35"/>
  <c r="O7" i="35"/>
  <c r="AI11" i="35"/>
  <c r="AE8" i="35"/>
  <c r="K14" i="35"/>
  <c r="AE16" i="35"/>
  <c r="K6" i="35"/>
  <c r="K12" i="35"/>
  <c r="Y9" i="35"/>
  <c r="Y17" i="35"/>
  <c r="O7" i="34"/>
  <c r="AI11" i="34"/>
  <c r="O15" i="34"/>
  <c r="P13" i="34"/>
  <c r="AE8" i="34"/>
  <c r="K6" i="34"/>
  <c r="K12" i="34"/>
  <c r="K14" i="34"/>
  <c r="AE16" i="34"/>
  <c r="Y9" i="34"/>
  <c r="E13" i="34"/>
  <c r="Y17" i="34"/>
  <c r="U6" i="33"/>
  <c r="O7" i="33"/>
  <c r="T8" i="33"/>
  <c r="K12" i="33"/>
  <c r="J14" i="33"/>
  <c r="J6" i="33"/>
  <c r="AE16" i="33"/>
  <c r="E13" i="33"/>
  <c r="Z15" i="33"/>
  <c r="Y17" i="33"/>
  <c r="AE8" i="33"/>
  <c r="AI11" i="33"/>
  <c r="AE8" i="32"/>
  <c r="K14" i="32"/>
  <c r="AE16" i="32"/>
  <c r="K6" i="32"/>
  <c r="K12" i="32"/>
  <c r="Y9" i="32"/>
  <c r="Z15" i="32"/>
  <c r="Y17" i="32"/>
  <c r="Z7" i="32"/>
  <c r="E13" i="32"/>
  <c r="U14" i="32"/>
  <c r="U6" i="32"/>
  <c r="O15" i="32"/>
  <c r="J8" i="31"/>
  <c r="O9" i="31"/>
  <c r="J16" i="31"/>
  <c r="O17" i="31"/>
  <c r="AI8" i="31"/>
  <c r="AE13" i="31"/>
  <c r="AI16" i="31"/>
  <c r="AD7" i="31"/>
  <c r="Z12" i="31"/>
  <c r="AD15" i="31"/>
  <c r="Y14" i="31"/>
  <c r="P10" i="31"/>
  <c r="O12" i="31"/>
  <c r="T13" i="31"/>
  <c r="O7" i="30"/>
  <c r="AI11" i="30"/>
  <c r="AE8" i="30"/>
  <c r="K14" i="30"/>
  <c r="AE16" i="30"/>
  <c r="K6" i="30"/>
  <c r="K12" i="30"/>
  <c r="Y9" i="30"/>
  <c r="Z15" i="30"/>
  <c r="Y17" i="30"/>
  <c r="E13" i="30"/>
  <c r="O15" i="29"/>
  <c r="U6" i="29"/>
  <c r="AI11" i="29"/>
  <c r="O7" i="29"/>
  <c r="AE16" i="29"/>
  <c r="K14" i="29"/>
  <c r="AE8" i="29"/>
  <c r="K12" i="29"/>
  <c r="Y17" i="29"/>
  <c r="K6" i="29"/>
  <c r="U14" i="28"/>
  <c r="AD15" i="28"/>
  <c r="U6" i="28"/>
  <c r="O15" i="28"/>
  <c r="O7" i="28"/>
  <c r="AI11" i="28"/>
  <c r="AE8" i="28"/>
  <c r="K14" i="28"/>
  <c r="AE16" i="28"/>
  <c r="Y17" i="28"/>
  <c r="K6" i="28"/>
  <c r="E7" i="27"/>
  <c r="K9" i="27"/>
  <c r="O15" i="27"/>
  <c r="K17" i="27"/>
  <c r="O7" i="27"/>
  <c r="AI11" i="27"/>
  <c r="F8" i="27"/>
  <c r="U11" i="27"/>
  <c r="F16" i="27"/>
  <c r="K6" i="27"/>
  <c r="AI8" i="27"/>
  <c r="AI16" i="27"/>
  <c r="J8" i="26"/>
  <c r="AE13" i="26"/>
  <c r="AE7" i="26"/>
  <c r="Y14" i="26"/>
  <c r="K17" i="26"/>
  <c r="K9" i="26"/>
  <c r="Y6" i="26"/>
  <c r="F16" i="26"/>
  <c r="U11" i="26"/>
  <c r="AI16" i="26"/>
  <c r="Z7" i="25"/>
  <c r="O12" i="25"/>
  <c r="E13" i="25"/>
  <c r="U14" i="25"/>
  <c r="U6" i="25"/>
  <c r="O15" i="25"/>
  <c r="O7" i="25"/>
  <c r="AI11" i="25"/>
  <c r="AE8" i="25"/>
  <c r="K14" i="25"/>
  <c r="AE16" i="25"/>
  <c r="Y9" i="24"/>
  <c r="Z15" i="24"/>
  <c r="Z7" i="24"/>
  <c r="E13" i="24"/>
  <c r="U14" i="24"/>
  <c r="U6" i="24"/>
  <c r="O15" i="24"/>
  <c r="O7" i="24"/>
  <c r="AI11" i="24"/>
  <c r="K6" i="23"/>
  <c r="K12" i="23"/>
  <c r="T13" i="23"/>
  <c r="K14" i="23"/>
  <c r="Y17" i="23"/>
  <c r="Y9" i="23"/>
  <c r="Z15" i="23"/>
  <c r="Z7" i="23"/>
  <c r="E13" i="23"/>
  <c r="U6" i="23"/>
  <c r="U14" i="23"/>
  <c r="O7" i="23"/>
  <c r="AI11" i="23"/>
  <c r="O15" i="23"/>
  <c r="AE7" i="22"/>
  <c r="AI10" i="22"/>
  <c r="AD12" i="22"/>
  <c r="AE15" i="22"/>
  <c r="O12" i="22"/>
  <c r="K6" i="22"/>
  <c r="P7" i="22"/>
  <c r="F8" i="22"/>
  <c r="K9" i="22"/>
  <c r="U13" i="22"/>
  <c r="K14" i="22"/>
  <c r="P15" i="22"/>
  <c r="F16" i="22"/>
  <c r="K17" i="22"/>
  <c r="J11" i="22"/>
  <c r="F13" i="22"/>
  <c r="AI8" i="22"/>
  <c r="AE13" i="22"/>
  <c r="AI16" i="22"/>
  <c r="J11" i="21"/>
  <c r="AI11" i="21"/>
  <c r="O7" i="21"/>
  <c r="O15" i="21"/>
  <c r="AE8" i="21"/>
  <c r="AE10" i="21"/>
  <c r="AE16" i="21"/>
  <c r="K6" i="21"/>
  <c r="K12" i="21"/>
  <c r="K14" i="21"/>
  <c r="Y9" i="21"/>
  <c r="Y17" i="21"/>
  <c r="E13" i="21"/>
  <c r="AE8" i="20"/>
  <c r="K12" i="20"/>
  <c r="Y17" i="20"/>
  <c r="K6" i="20"/>
  <c r="Z15" i="20"/>
  <c r="Y9" i="20"/>
  <c r="E13" i="20"/>
  <c r="Z7" i="20"/>
  <c r="U14" i="20"/>
  <c r="O15" i="20"/>
  <c r="U6" i="20"/>
  <c r="AI11" i="20"/>
  <c r="AE16" i="19"/>
  <c r="U6" i="19"/>
  <c r="Z7" i="19"/>
  <c r="K12" i="19"/>
  <c r="K14" i="19"/>
  <c r="Y9" i="19"/>
  <c r="Y17" i="19"/>
  <c r="E13" i="19"/>
  <c r="Z15" i="19"/>
  <c r="O7" i="19"/>
  <c r="K6" i="19"/>
  <c r="U14" i="19"/>
  <c r="Z7" i="18"/>
  <c r="Z9" i="18"/>
  <c r="E13" i="18"/>
  <c r="Z15" i="18"/>
  <c r="Y17" i="18"/>
  <c r="AE13" i="18"/>
  <c r="U6" i="18"/>
  <c r="K9" i="18"/>
  <c r="U14" i="18"/>
  <c r="O7" i="18"/>
  <c r="AI11" i="18"/>
  <c r="O15" i="18"/>
  <c r="K17" i="18"/>
  <c r="AE8" i="17"/>
  <c r="Z15" i="17"/>
  <c r="Y17" i="17"/>
  <c r="K6" i="17"/>
  <c r="Y9" i="17"/>
  <c r="E13" i="17"/>
  <c r="U14" i="17"/>
  <c r="Z7" i="17"/>
  <c r="O15" i="17"/>
  <c r="AI11" i="17"/>
  <c r="U6" i="17"/>
  <c r="K14" i="16"/>
  <c r="AE16" i="16"/>
  <c r="AE8" i="16"/>
  <c r="K12" i="16"/>
  <c r="K6" i="16"/>
  <c r="Z15" i="16"/>
  <c r="Y17" i="16"/>
  <c r="Y9" i="16"/>
  <c r="E13" i="16"/>
  <c r="Z7" i="16"/>
  <c r="U14" i="16"/>
  <c r="O15" i="16"/>
  <c r="AD7" i="15"/>
  <c r="O17" i="15"/>
  <c r="F16" i="15"/>
  <c r="F8" i="15"/>
  <c r="U11" i="15"/>
  <c r="U13" i="15"/>
  <c r="AI16" i="15"/>
  <c r="AI8" i="15"/>
  <c r="O12" i="15"/>
  <c r="AE15" i="15"/>
  <c r="AE8" i="14"/>
  <c r="K12" i="14"/>
  <c r="K6" i="14"/>
  <c r="Z15" i="14"/>
  <c r="Y17" i="14"/>
  <c r="Y9" i="14"/>
  <c r="E13" i="14"/>
  <c r="Z7" i="14"/>
  <c r="U14" i="14"/>
  <c r="O15" i="14"/>
  <c r="U6" i="14"/>
  <c r="AI11" i="14"/>
  <c r="K14" i="13"/>
  <c r="AE16" i="13"/>
  <c r="AE8" i="13"/>
  <c r="K12" i="13"/>
  <c r="K6" i="13"/>
  <c r="Z15" i="13"/>
  <c r="Y17" i="13"/>
  <c r="Y9" i="13"/>
  <c r="E13" i="13"/>
  <c r="Z7" i="13"/>
  <c r="U14" i="13"/>
  <c r="O15" i="13"/>
  <c r="J6" i="12"/>
  <c r="K12" i="12"/>
  <c r="T13" i="12"/>
  <c r="J14" i="12"/>
  <c r="AE16" i="12"/>
  <c r="AE8" i="12"/>
  <c r="AI11" i="12"/>
  <c r="Z15" i="12"/>
  <c r="Y17" i="12"/>
  <c r="U6" i="12"/>
  <c r="Z7" i="12"/>
  <c r="AD10" i="12"/>
  <c r="U14" i="12"/>
  <c r="Y9" i="12"/>
  <c r="O12" i="11"/>
  <c r="Y17" i="11"/>
  <c r="F10" i="11"/>
  <c r="P7" i="11"/>
  <c r="O16" i="11"/>
  <c r="F6" i="11"/>
  <c r="P11" i="11"/>
  <c r="P15" i="11"/>
  <c r="AI10" i="11"/>
  <c r="F14" i="11"/>
  <c r="E10" i="11"/>
  <c r="T6" i="35"/>
  <c r="T8" i="35"/>
  <c r="T10" i="35"/>
  <c r="T12" i="35"/>
  <c r="T14" i="35"/>
  <c r="T16" i="35"/>
  <c r="E8" i="35"/>
  <c r="E10" i="35"/>
  <c r="E12" i="35"/>
  <c r="E14" i="35"/>
  <c r="AD6" i="35"/>
  <c r="J7" i="35"/>
  <c r="AD8" i="35"/>
  <c r="J9" i="35"/>
  <c r="AD10" i="35"/>
  <c r="J11" i="35"/>
  <c r="AD12" i="35"/>
  <c r="J13" i="35"/>
  <c r="AD14" i="35"/>
  <c r="J15" i="35"/>
  <c r="AD16" i="35"/>
  <c r="J17" i="35"/>
  <c r="T13" i="35"/>
  <c r="T6" i="34"/>
  <c r="T8" i="34"/>
  <c r="T10" i="34"/>
  <c r="T12" i="34"/>
  <c r="T14" i="34"/>
  <c r="T16" i="34"/>
  <c r="E8" i="34"/>
  <c r="E10" i="34"/>
  <c r="E12" i="34"/>
  <c r="E14" i="34"/>
  <c r="AD6" i="34"/>
  <c r="J7" i="34"/>
  <c r="AD8" i="34"/>
  <c r="J9" i="34"/>
  <c r="AD10" i="34"/>
  <c r="J11" i="34"/>
  <c r="AD12" i="34"/>
  <c r="J13" i="34"/>
  <c r="AD14" i="34"/>
  <c r="J15" i="34"/>
  <c r="AD16" i="34"/>
  <c r="J17" i="34"/>
  <c r="P13" i="33"/>
  <c r="P15" i="33"/>
  <c r="AD6" i="33"/>
  <c r="J7" i="33"/>
  <c r="AD8" i="33"/>
  <c r="J9" i="33"/>
  <c r="AD10" i="33"/>
  <c r="J11" i="33"/>
  <c r="AD12" i="33"/>
  <c r="J13" i="33"/>
  <c r="AD14" i="33"/>
  <c r="J15" i="33"/>
  <c r="AD16" i="33"/>
  <c r="J17" i="33"/>
  <c r="T6" i="32"/>
  <c r="T8" i="32"/>
  <c r="T10" i="32"/>
  <c r="T12" i="32"/>
  <c r="T14" i="32"/>
  <c r="T16" i="32"/>
  <c r="E8" i="32"/>
  <c r="E10" i="32"/>
  <c r="E12" i="32"/>
  <c r="E14" i="32"/>
  <c r="AD6" i="32"/>
  <c r="J7" i="32"/>
  <c r="AD8" i="32"/>
  <c r="J9" i="32"/>
  <c r="AD10" i="32"/>
  <c r="J11" i="32"/>
  <c r="AD12" i="32"/>
  <c r="J13" i="32"/>
  <c r="AD14" i="32"/>
  <c r="J15" i="32"/>
  <c r="AD16" i="32"/>
  <c r="J17" i="32"/>
  <c r="T13" i="32"/>
  <c r="Z6" i="31"/>
  <c r="F7" i="31"/>
  <c r="E6" i="31"/>
  <c r="Y7" i="31"/>
  <c r="E8" i="31"/>
  <c r="Y9" i="31"/>
  <c r="E10" i="31"/>
  <c r="Y11" i="31"/>
  <c r="E12" i="31"/>
  <c r="Y13" i="31"/>
  <c r="E14" i="31"/>
  <c r="Y15" i="31"/>
  <c r="E16" i="31"/>
  <c r="Y17" i="31"/>
  <c r="T6" i="30"/>
  <c r="T8" i="30"/>
  <c r="T10" i="30"/>
  <c r="T12" i="30"/>
  <c r="T14" i="30"/>
  <c r="T16" i="30"/>
  <c r="E8" i="30"/>
  <c r="E10" i="30"/>
  <c r="E12" i="30"/>
  <c r="E14" i="30"/>
  <c r="AD6" i="30"/>
  <c r="J7" i="30"/>
  <c r="AD8" i="30"/>
  <c r="J9" i="30"/>
  <c r="AD10" i="30"/>
  <c r="J11" i="30"/>
  <c r="AD12" i="30"/>
  <c r="J13" i="30"/>
  <c r="AD14" i="30"/>
  <c r="J15" i="30"/>
  <c r="AD16" i="30"/>
  <c r="J17" i="30"/>
  <c r="T13" i="30"/>
  <c r="T6" i="29"/>
  <c r="T8" i="29"/>
  <c r="T10" i="29"/>
  <c r="T12" i="29"/>
  <c r="T14" i="29"/>
  <c r="T16" i="29"/>
  <c r="E8" i="29"/>
  <c r="E10" i="29"/>
  <c r="E12" i="29"/>
  <c r="E14" i="29"/>
  <c r="E16" i="29"/>
  <c r="AD6" i="29"/>
  <c r="J7" i="29"/>
  <c r="AD8" i="29"/>
  <c r="J9" i="29"/>
  <c r="AD10" i="29"/>
  <c r="J11" i="29"/>
  <c r="AD12" i="29"/>
  <c r="J13" i="29"/>
  <c r="AD14" i="29"/>
  <c r="J15" i="29"/>
  <c r="AD16" i="29"/>
  <c r="J17" i="29"/>
  <c r="T11" i="29"/>
  <c r="T13" i="29"/>
  <c r="T6" i="28"/>
  <c r="T8" i="28"/>
  <c r="T10" i="28"/>
  <c r="T12" i="28"/>
  <c r="T14" i="28"/>
  <c r="T16" i="28"/>
  <c r="P17" i="28"/>
  <c r="E8" i="28"/>
  <c r="E10" i="28"/>
  <c r="E12" i="28"/>
  <c r="E14" i="28"/>
  <c r="AD6" i="28"/>
  <c r="J7" i="28"/>
  <c r="AD8" i="28"/>
  <c r="J9" i="28"/>
  <c r="AD10" i="28"/>
  <c r="J11" i="28"/>
  <c r="AD12" i="28"/>
  <c r="J13" i="28"/>
  <c r="AD14" i="28"/>
  <c r="J15" i="28"/>
  <c r="AD16" i="28"/>
  <c r="J17" i="28"/>
  <c r="T13" i="28"/>
  <c r="T6" i="27"/>
  <c r="T8" i="27"/>
  <c r="T10" i="27"/>
  <c r="T12" i="27"/>
  <c r="T14" i="27"/>
  <c r="T16" i="27"/>
  <c r="E8" i="27"/>
  <c r="E10" i="27"/>
  <c r="E12" i="27"/>
  <c r="E14" i="27"/>
  <c r="AD6" i="27"/>
  <c r="J7" i="27"/>
  <c r="AD8" i="27"/>
  <c r="J9" i="27"/>
  <c r="AD10" i="27"/>
  <c r="J11" i="27"/>
  <c r="AD12" i="27"/>
  <c r="J13" i="27"/>
  <c r="AD14" i="27"/>
  <c r="J15" i="27"/>
  <c r="AD16" i="27"/>
  <c r="J17" i="27"/>
  <c r="T13" i="27"/>
  <c r="T6" i="26"/>
  <c r="T8" i="26"/>
  <c r="T10" i="26"/>
  <c r="T12" i="26"/>
  <c r="T14" i="26"/>
  <c r="T16" i="26"/>
  <c r="E8" i="26"/>
  <c r="E10" i="26"/>
  <c r="E12" i="26"/>
  <c r="E14" i="26"/>
  <c r="AD6" i="26"/>
  <c r="J7" i="26"/>
  <c r="AD8" i="26"/>
  <c r="J9" i="26"/>
  <c r="AD10" i="26"/>
  <c r="J11" i="26"/>
  <c r="AD12" i="26"/>
  <c r="J13" i="26"/>
  <c r="AD14" i="26"/>
  <c r="J15" i="26"/>
  <c r="AD16" i="26"/>
  <c r="J17" i="26"/>
  <c r="T11" i="26"/>
  <c r="T13" i="26"/>
  <c r="T6" i="25"/>
  <c r="T8" i="25"/>
  <c r="T10" i="25"/>
  <c r="T12" i="25"/>
  <c r="T14" i="25"/>
  <c r="T16" i="25"/>
  <c r="E8" i="25"/>
  <c r="E10" i="25"/>
  <c r="E12" i="25"/>
  <c r="E14" i="25"/>
  <c r="AD6" i="25"/>
  <c r="J7" i="25"/>
  <c r="AD8" i="25"/>
  <c r="J9" i="25"/>
  <c r="AD10" i="25"/>
  <c r="J11" i="25"/>
  <c r="AD12" i="25"/>
  <c r="J13" i="25"/>
  <c r="AD14" i="25"/>
  <c r="J15" i="25"/>
  <c r="AD16" i="25"/>
  <c r="J17" i="25"/>
  <c r="T13" i="25"/>
  <c r="T6" i="24"/>
  <c r="T8" i="24"/>
  <c r="T10" i="24"/>
  <c r="T12" i="24"/>
  <c r="T14" i="24"/>
  <c r="T16" i="24"/>
  <c r="P17" i="24"/>
  <c r="E8" i="24"/>
  <c r="E10" i="24"/>
  <c r="E12" i="24"/>
  <c r="E14" i="24"/>
  <c r="AD6" i="24"/>
  <c r="J7" i="24"/>
  <c r="AD8" i="24"/>
  <c r="J9" i="24"/>
  <c r="AD10" i="24"/>
  <c r="J11" i="24"/>
  <c r="AD12" i="24"/>
  <c r="J13" i="24"/>
  <c r="AD14" i="24"/>
  <c r="J15" i="24"/>
  <c r="AD16" i="24"/>
  <c r="J17" i="24"/>
  <c r="T13" i="24"/>
  <c r="T6" i="23"/>
  <c r="T8" i="23"/>
  <c r="T10" i="23"/>
  <c r="T12" i="23"/>
  <c r="T14" i="23"/>
  <c r="T16" i="23"/>
  <c r="E8" i="23"/>
  <c r="E10" i="23"/>
  <c r="E12" i="23"/>
  <c r="E14" i="23"/>
  <c r="E16" i="23"/>
  <c r="AD6" i="23"/>
  <c r="J7" i="23"/>
  <c r="AD8" i="23"/>
  <c r="J9" i="23"/>
  <c r="AD10" i="23"/>
  <c r="J11" i="23"/>
  <c r="AD12" i="23"/>
  <c r="J13" i="23"/>
  <c r="AD14" i="23"/>
  <c r="J15" i="23"/>
  <c r="AD16" i="23"/>
  <c r="J17" i="23"/>
  <c r="T15" i="23"/>
  <c r="E6" i="22"/>
  <c r="Y7" i="22"/>
  <c r="E8" i="22"/>
  <c r="Y9" i="22"/>
  <c r="E10" i="22"/>
  <c r="Y11" i="22"/>
  <c r="E12" i="22"/>
  <c r="Y13" i="22"/>
  <c r="E14" i="22"/>
  <c r="Y15" i="22"/>
  <c r="E16" i="22"/>
  <c r="Y17" i="22"/>
  <c r="T6" i="21"/>
  <c r="T8" i="21"/>
  <c r="T10" i="21"/>
  <c r="T12" i="21"/>
  <c r="T14" i="21"/>
  <c r="T16" i="21"/>
  <c r="E8" i="21"/>
  <c r="E10" i="21"/>
  <c r="E12" i="21"/>
  <c r="E14" i="21"/>
  <c r="E16" i="21"/>
  <c r="T9" i="21"/>
  <c r="T11" i="21"/>
  <c r="T13" i="21"/>
  <c r="T15" i="21"/>
  <c r="T17" i="21"/>
  <c r="T7" i="21"/>
  <c r="T6" i="20"/>
  <c r="T8" i="20"/>
  <c r="T10" i="20"/>
  <c r="T12" i="20"/>
  <c r="T14" i="20"/>
  <c r="T16" i="20"/>
  <c r="E8" i="20"/>
  <c r="E10" i="20"/>
  <c r="E12" i="20"/>
  <c r="E14" i="20"/>
  <c r="AD6" i="20"/>
  <c r="J7" i="20"/>
  <c r="AD8" i="20"/>
  <c r="J9" i="20"/>
  <c r="AD10" i="20"/>
  <c r="J11" i="20"/>
  <c r="AD12" i="20"/>
  <c r="J13" i="20"/>
  <c r="AD14" i="20"/>
  <c r="J15" i="20"/>
  <c r="AD16" i="20"/>
  <c r="J17" i="20"/>
  <c r="T11" i="20"/>
  <c r="T13" i="20"/>
  <c r="T6" i="19"/>
  <c r="T8" i="19"/>
  <c r="T10" i="19"/>
  <c r="T12" i="19"/>
  <c r="T14" i="19"/>
  <c r="T16" i="19"/>
  <c r="E8" i="19"/>
  <c r="E10" i="19"/>
  <c r="E12" i="19"/>
  <c r="E14" i="19"/>
  <c r="E16" i="19"/>
  <c r="AD10" i="19"/>
  <c r="J11" i="19"/>
  <c r="AD12" i="19"/>
  <c r="J13" i="19"/>
  <c r="AD14" i="19"/>
  <c r="J15" i="19"/>
  <c r="AD16" i="19"/>
  <c r="J17" i="19"/>
  <c r="T6" i="18"/>
  <c r="T8" i="18"/>
  <c r="T10" i="18"/>
  <c r="T12" i="18"/>
  <c r="T14" i="18"/>
  <c r="T16" i="18"/>
  <c r="E8" i="18"/>
  <c r="E10" i="18"/>
  <c r="E12" i="18"/>
  <c r="E14" i="18"/>
  <c r="AD6" i="18"/>
  <c r="J7" i="18"/>
  <c r="AD8" i="18"/>
  <c r="J9" i="18"/>
  <c r="AD10" i="18"/>
  <c r="J11" i="18"/>
  <c r="AD12" i="18"/>
  <c r="J13" i="18"/>
  <c r="AD14" i="18"/>
  <c r="J15" i="18"/>
  <c r="AD16" i="18"/>
  <c r="J17" i="18"/>
  <c r="T6" i="17"/>
  <c r="T8" i="17"/>
  <c r="T10" i="17"/>
  <c r="T12" i="17"/>
  <c r="T14" i="17"/>
  <c r="T16" i="17"/>
  <c r="E8" i="17"/>
  <c r="E10" i="17"/>
  <c r="E12" i="17"/>
  <c r="E14" i="17"/>
  <c r="AD6" i="17"/>
  <c r="J7" i="17"/>
  <c r="AD8" i="17"/>
  <c r="J9" i="17"/>
  <c r="AD10" i="17"/>
  <c r="J11" i="17"/>
  <c r="AD12" i="17"/>
  <c r="J13" i="17"/>
  <c r="AD14" i="17"/>
  <c r="J15" i="17"/>
  <c r="AD16" i="17"/>
  <c r="J17" i="17"/>
  <c r="T9" i="17"/>
  <c r="T11" i="17"/>
  <c r="T13" i="17"/>
  <c r="T8" i="16"/>
  <c r="T10" i="16"/>
  <c r="T12" i="16"/>
  <c r="T14" i="16"/>
  <c r="T16" i="16"/>
  <c r="T6" i="16"/>
  <c r="E8" i="16"/>
  <c r="E10" i="16"/>
  <c r="E12" i="16"/>
  <c r="E14" i="16"/>
  <c r="AD6" i="16"/>
  <c r="J7" i="16"/>
  <c r="AD8" i="16"/>
  <c r="J9" i="16"/>
  <c r="AD10" i="16"/>
  <c r="J11" i="16"/>
  <c r="AD12" i="16"/>
  <c r="J13" i="16"/>
  <c r="AD14" i="16"/>
  <c r="J15" i="16"/>
  <c r="AD16" i="16"/>
  <c r="J17" i="16"/>
  <c r="T11" i="16"/>
  <c r="T13" i="16"/>
  <c r="T8" i="15"/>
  <c r="T10" i="15"/>
  <c r="T12" i="15"/>
  <c r="T14" i="15"/>
  <c r="T16" i="15"/>
  <c r="T6" i="15"/>
  <c r="E8" i="15"/>
  <c r="E10" i="15"/>
  <c r="E12" i="15"/>
  <c r="E14" i="15"/>
  <c r="E16" i="15"/>
  <c r="AD6" i="15"/>
  <c r="J7" i="15"/>
  <c r="AD8" i="15"/>
  <c r="J9" i="15"/>
  <c r="AD10" i="15"/>
  <c r="J11" i="15"/>
  <c r="AD12" i="15"/>
  <c r="J13" i="15"/>
  <c r="AD14" i="15"/>
  <c r="J15" i="15"/>
  <c r="AD16" i="15"/>
  <c r="J17" i="15"/>
  <c r="T15" i="15"/>
  <c r="T6" i="14"/>
  <c r="T8" i="14"/>
  <c r="T10" i="14"/>
  <c r="T12" i="14"/>
  <c r="T14" i="14"/>
  <c r="T16" i="14"/>
  <c r="E8" i="14"/>
  <c r="E10" i="14"/>
  <c r="E12" i="14"/>
  <c r="E14" i="14"/>
  <c r="AD6" i="14"/>
  <c r="J7" i="14"/>
  <c r="AD8" i="14"/>
  <c r="J9" i="14"/>
  <c r="AD10" i="14"/>
  <c r="J11" i="14"/>
  <c r="AD12" i="14"/>
  <c r="J13" i="14"/>
  <c r="AD14" i="14"/>
  <c r="J15" i="14"/>
  <c r="AD16" i="14"/>
  <c r="J17" i="14"/>
  <c r="T11" i="14"/>
  <c r="T13" i="14"/>
  <c r="T8" i="13"/>
  <c r="T10" i="13"/>
  <c r="T12" i="13"/>
  <c r="T14" i="13"/>
  <c r="T16" i="13"/>
  <c r="U6" i="13"/>
  <c r="E8" i="13"/>
  <c r="E10" i="13"/>
  <c r="E12" i="13"/>
  <c r="E14" i="13"/>
  <c r="AD6" i="13"/>
  <c r="J7" i="13"/>
  <c r="AD8" i="13"/>
  <c r="J9" i="13"/>
  <c r="AD10" i="13"/>
  <c r="J11" i="13"/>
  <c r="AD12" i="13"/>
  <c r="J13" i="13"/>
  <c r="AD14" i="13"/>
  <c r="J15" i="13"/>
  <c r="AD16" i="13"/>
  <c r="J17" i="13"/>
  <c r="T11" i="13"/>
  <c r="T13" i="13"/>
  <c r="Z6" i="12"/>
  <c r="Z8" i="12"/>
  <c r="F9" i="12"/>
  <c r="Z10" i="12"/>
  <c r="F11" i="12"/>
  <c r="Z12" i="12"/>
  <c r="F13" i="12"/>
  <c r="Z14" i="12"/>
  <c r="F15" i="12"/>
  <c r="Z16" i="12"/>
  <c r="F17" i="12"/>
  <c r="T16" i="12"/>
  <c r="E14" i="12"/>
  <c r="P17" i="11"/>
  <c r="AD6" i="11"/>
  <c r="J7" i="11"/>
  <c r="AD8" i="11"/>
  <c r="J9" i="11"/>
  <c r="AD10" i="11"/>
  <c r="J11" i="11"/>
  <c r="AD12" i="11"/>
  <c r="J13" i="11"/>
  <c r="AD14" i="11"/>
  <c r="J15" i="11"/>
  <c r="AD16" i="11"/>
  <c r="J17" i="11"/>
  <c r="AK10" i="33" l="1"/>
  <c r="AK12" i="21"/>
  <c r="AK15" i="33"/>
  <c r="AK11" i="11"/>
  <c r="AK9" i="29"/>
  <c r="AK12" i="33"/>
  <c r="AK6" i="31"/>
  <c r="AK12" i="31"/>
  <c r="AK9" i="33"/>
  <c r="AK14" i="12"/>
  <c r="AK7" i="18"/>
  <c r="AK11" i="31"/>
  <c r="AK16" i="33"/>
  <c r="AK15" i="34"/>
  <c r="AK7" i="19"/>
  <c r="AK11" i="27"/>
  <c r="AK13" i="22"/>
  <c r="AK9" i="27"/>
  <c r="AK17" i="25"/>
  <c r="AK17" i="17"/>
  <c r="AK9" i="18"/>
  <c r="AK13" i="12"/>
  <c r="AK11" i="32"/>
  <c r="AK14" i="22"/>
  <c r="AK17" i="11"/>
  <c r="AK13" i="11"/>
  <c r="AK9" i="22"/>
  <c r="AK17" i="21"/>
  <c r="AK14" i="33"/>
  <c r="AK15" i="12"/>
  <c r="AK6" i="12"/>
  <c r="AK11" i="35"/>
  <c r="AK17" i="26"/>
  <c r="AK17" i="29"/>
  <c r="AK15" i="31"/>
  <c r="AK11" i="33"/>
  <c r="AK6" i="11"/>
  <c r="AK15" i="29"/>
  <c r="AK11" i="15"/>
  <c r="AK17" i="24"/>
  <c r="AK9" i="25"/>
  <c r="AK17" i="30"/>
  <c r="AK9" i="30"/>
  <c r="AK6" i="32"/>
  <c r="AK9" i="35"/>
  <c r="AK17" i="12"/>
  <c r="AK7" i="29"/>
  <c r="AK17" i="33"/>
  <c r="AK15" i="35"/>
  <c r="AK11" i="12"/>
  <c r="AK9" i="19"/>
  <c r="AK12" i="12"/>
  <c r="AK7" i="15"/>
  <c r="AK8" i="22"/>
  <c r="AK8" i="33"/>
  <c r="AK9" i="11"/>
  <c r="AK17" i="32"/>
  <c r="AK12" i="11"/>
  <c r="AK9" i="16"/>
  <c r="AK6" i="21"/>
  <c r="AK7" i="26"/>
  <c r="AK17" i="34"/>
  <c r="AK9" i="34"/>
  <c r="AK7" i="14"/>
  <c r="AK6" i="13"/>
  <c r="AK13" i="15"/>
  <c r="AK7" i="22"/>
  <c r="AK6" i="22"/>
  <c r="AK11" i="24"/>
  <c r="AK17" i="31"/>
  <c r="AK10" i="12"/>
  <c r="AK15" i="20"/>
  <c r="AK13" i="21"/>
  <c r="AK17" i="27"/>
  <c r="AK7" i="32"/>
  <c r="AK11" i="34"/>
  <c r="AK15" i="19"/>
  <c r="AK8" i="12"/>
  <c r="AK9" i="26"/>
  <c r="AK15" i="28"/>
  <c r="AK7" i="28"/>
  <c r="AK16" i="12"/>
  <c r="AK17" i="18"/>
  <c r="AK16" i="35"/>
  <c r="AK9" i="13"/>
  <c r="AK15" i="25"/>
  <c r="AK16" i="11"/>
  <c r="AK15" i="13"/>
  <c r="AK8" i="11"/>
  <c r="AK7" i="11"/>
  <c r="AK7" i="13"/>
  <c r="AK15" i="16"/>
  <c r="AK14" i="11"/>
  <c r="AK15" i="22"/>
  <c r="AK10" i="31"/>
  <c r="AK9" i="12"/>
  <c r="AK15" i="21"/>
  <c r="AK15" i="17"/>
  <c r="AK7" i="17"/>
  <c r="AK11" i="28"/>
  <c r="AK8" i="21"/>
  <c r="AK9" i="31"/>
  <c r="AK7" i="20"/>
  <c r="AK15" i="32"/>
  <c r="AK17" i="15"/>
  <c r="AK6" i="19"/>
  <c r="AK17" i="23"/>
  <c r="AK9" i="23"/>
  <c r="AK7" i="12"/>
  <c r="AK9" i="14"/>
  <c r="AK16" i="24"/>
  <c r="AK14" i="31"/>
  <c r="AK17" i="35"/>
  <c r="AK15" i="18"/>
  <c r="AK13" i="19"/>
  <c r="AK15" i="26"/>
  <c r="AK9" i="15"/>
  <c r="AK15" i="11"/>
  <c r="AK7" i="16"/>
  <c r="AK14" i="21"/>
  <c r="AK17" i="22"/>
  <c r="AK16" i="34"/>
  <c r="AK11" i="16"/>
  <c r="AK8" i="19"/>
  <c r="AK13" i="18"/>
  <c r="AK11" i="19"/>
  <c r="AK16" i="26"/>
  <c r="AK15" i="27"/>
  <c r="AK10" i="11"/>
  <c r="AK17" i="20"/>
  <c r="AK10" i="21"/>
  <c r="AK13" i="23"/>
  <c r="AK15" i="30"/>
  <c r="AK11" i="18"/>
  <c r="AK17" i="19"/>
  <c r="AK8" i="24"/>
  <c r="AK6" i="28"/>
  <c r="AK17" i="13"/>
  <c r="AK8" i="17"/>
  <c r="AK9" i="24"/>
  <c r="AK8" i="27"/>
  <c r="AK17" i="28"/>
  <c r="AK9" i="28"/>
  <c r="AK13" i="34"/>
  <c r="AK16" i="21"/>
  <c r="AK16" i="27"/>
  <c r="AK13" i="33"/>
  <c r="AK8" i="35"/>
  <c r="AK7" i="35"/>
  <c r="AK6" i="33"/>
  <c r="AK8" i="32"/>
  <c r="AK16" i="32"/>
  <c r="AK16" i="31"/>
  <c r="AK8" i="31"/>
  <c r="AK7" i="31"/>
  <c r="AK16" i="30"/>
  <c r="AK7" i="30"/>
  <c r="AK6" i="30"/>
  <c r="AK13" i="29"/>
  <c r="AK7" i="27"/>
  <c r="AK6" i="27"/>
  <c r="AK6" i="26"/>
  <c r="AK11" i="26"/>
  <c r="AK6" i="25"/>
  <c r="AK11" i="25"/>
  <c r="AK10" i="25"/>
  <c r="AK8" i="25"/>
  <c r="AK7" i="23"/>
  <c r="AK10" i="22"/>
  <c r="AK7" i="21"/>
  <c r="AK11" i="21"/>
  <c r="AK9" i="21"/>
  <c r="AK13" i="20"/>
  <c r="AK9" i="20"/>
  <c r="AK16" i="20"/>
  <c r="AK16" i="18"/>
  <c r="AK11" i="17"/>
  <c r="AK6" i="15"/>
  <c r="AK15" i="15"/>
  <c r="AK12" i="15"/>
  <c r="AK11" i="14"/>
  <c r="AK15" i="14"/>
  <c r="AK17" i="14"/>
  <c r="AK16" i="14"/>
  <c r="AK13" i="14"/>
  <c r="AK13" i="13"/>
  <c r="AK11" i="13"/>
  <c r="AK8" i="13"/>
  <c r="AK6" i="35"/>
  <c r="AK13" i="35"/>
  <c r="AK8" i="34"/>
  <c r="AK7" i="34"/>
  <c r="AK6" i="34"/>
  <c r="AK7" i="33"/>
  <c r="AK9" i="32"/>
  <c r="AK13" i="32"/>
  <c r="AK13" i="31"/>
  <c r="AK13" i="30"/>
  <c r="AK14" i="30"/>
  <c r="AK11" i="30"/>
  <c r="AK10" i="30"/>
  <c r="AK14" i="29"/>
  <c r="AK11" i="29"/>
  <c r="AK12" i="29"/>
  <c r="AK6" i="29"/>
  <c r="AK16" i="28"/>
  <c r="AK13" i="28"/>
  <c r="AK10" i="28"/>
  <c r="AK13" i="27"/>
  <c r="AK13" i="26"/>
  <c r="AK10" i="26"/>
  <c r="AK16" i="25"/>
  <c r="AK7" i="25"/>
  <c r="AK13" i="25"/>
  <c r="AK15" i="24"/>
  <c r="AK7" i="24"/>
  <c r="AK6" i="24"/>
  <c r="AK13" i="24"/>
  <c r="AK14" i="24"/>
  <c r="AK11" i="23"/>
  <c r="AK12" i="23"/>
  <c r="AK6" i="23"/>
  <c r="AK10" i="23"/>
  <c r="AK15" i="23"/>
  <c r="AK12" i="22"/>
  <c r="AK11" i="22"/>
  <c r="AK16" i="22"/>
  <c r="AK11" i="20"/>
  <c r="AK10" i="20"/>
  <c r="AK6" i="20"/>
  <c r="AK8" i="20"/>
  <c r="AK12" i="19"/>
  <c r="AK10" i="19"/>
  <c r="AK6" i="18"/>
  <c r="AK14" i="18"/>
  <c r="AK8" i="18"/>
  <c r="AK13" i="17"/>
  <c r="AK9" i="17"/>
  <c r="AK16" i="17"/>
  <c r="AK6" i="17"/>
  <c r="AK13" i="16"/>
  <c r="AK8" i="16"/>
  <c r="AK17" i="16"/>
  <c r="AK6" i="16"/>
  <c r="AK16" i="16"/>
  <c r="AK14" i="14"/>
  <c r="AK8" i="14"/>
  <c r="AK16" i="13"/>
  <c r="AK10" i="35"/>
  <c r="AK14" i="35"/>
  <c r="AK12" i="35"/>
  <c r="AK10" i="34"/>
  <c r="AK14" i="34"/>
  <c r="AK12" i="34"/>
  <c r="AK10" i="32"/>
  <c r="AK14" i="32"/>
  <c r="AK12" i="32"/>
  <c r="AK8" i="30"/>
  <c r="AK12" i="30"/>
  <c r="AK10" i="29"/>
  <c r="AK8" i="29"/>
  <c r="AK16" i="29"/>
  <c r="AK14" i="28"/>
  <c r="AK12" i="28"/>
  <c r="AK8" i="28"/>
  <c r="AK10" i="27"/>
  <c r="AK14" i="27"/>
  <c r="AK12" i="27"/>
  <c r="AK8" i="26"/>
  <c r="AK14" i="26"/>
  <c r="AK12" i="26"/>
  <c r="AK14" i="25"/>
  <c r="AK12" i="25"/>
  <c r="AK12" i="24"/>
  <c r="AK10" i="24"/>
  <c r="AK8" i="23"/>
  <c r="AK16" i="23"/>
  <c r="AK14" i="23"/>
  <c r="AK14" i="20"/>
  <c r="AK12" i="20"/>
  <c r="AK16" i="19"/>
  <c r="AK14" i="19"/>
  <c r="AK10" i="18"/>
  <c r="AK12" i="18"/>
  <c r="AK10" i="17"/>
  <c r="AK14" i="17"/>
  <c r="AK12" i="17"/>
  <c r="AK10" i="16"/>
  <c r="AK14" i="16"/>
  <c r="AK12" i="16"/>
  <c r="AK8" i="15"/>
  <c r="AK10" i="15"/>
  <c r="AK16" i="15"/>
  <c r="AK14" i="15"/>
  <c r="AK10" i="14"/>
  <c r="AK12" i="14"/>
  <c r="AK10" i="13"/>
  <c r="AK14" i="13"/>
  <c r="AK12" i="13"/>
  <c r="C17" i="10" l="1"/>
  <c r="C16" i="10"/>
  <c r="C15" i="10"/>
  <c r="C14" i="10"/>
  <c r="C13" i="10"/>
  <c r="B13" i="10"/>
  <c r="C12" i="10"/>
  <c r="B17" i="10"/>
  <c r="B16" i="10"/>
  <c r="B15" i="10"/>
  <c r="B14" i="10"/>
  <c r="B12" i="10"/>
  <c r="B11" i="10"/>
  <c r="B10" i="10"/>
  <c r="B9" i="10"/>
  <c r="B8" i="10"/>
  <c r="C11" i="10"/>
  <c r="C10" i="10"/>
  <c r="C9" i="10"/>
  <c r="C8" i="10"/>
  <c r="C7" i="10"/>
  <c r="B7" i="10"/>
  <c r="C6" i="10"/>
  <c r="B6" i="10"/>
  <c r="CJ5" i="9"/>
  <c r="CF36" i="9"/>
  <c r="CE36" i="9"/>
  <c r="CD36" i="9"/>
  <c r="CC36" i="9"/>
  <c r="CB36" i="9"/>
  <c r="CA36" i="9"/>
  <c r="BZ36" i="9"/>
  <c r="BY36" i="9"/>
  <c r="BX36" i="9"/>
  <c r="BW36" i="9"/>
  <c r="BV36" i="9"/>
  <c r="BU36" i="9"/>
  <c r="BT36" i="9"/>
  <c r="BS36" i="9"/>
  <c r="BR36" i="9"/>
  <c r="BQ36" i="9"/>
  <c r="BP36" i="9"/>
  <c r="BO36" i="9"/>
  <c r="BN36" i="9"/>
  <c r="BM36" i="9"/>
  <c r="BL36" i="9"/>
  <c r="BK36" i="9"/>
  <c r="BJ36" i="9"/>
  <c r="BI36" i="9"/>
  <c r="BH36" i="9"/>
  <c r="BG36" i="9"/>
  <c r="BF36" i="9"/>
  <c r="BE36" i="9"/>
  <c r="CF3" i="9"/>
  <c r="CE3" i="9"/>
  <c r="CD3" i="9"/>
  <c r="CC3" i="9"/>
  <c r="CB3" i="9"/>
  <c r="CA3" i="9"/>
  <c r="BZ3" i="9"/>
  <c r="BY3" i="9"/>
  <c r="BX3" i="9"/>
  <c r="BW3" i="9"/>
  <c r="BV3" i="9"/>
  <c r="BU3" i="9"/>
  <c r="BT3" i="9"/>
  <c r="BS3" i="9"/>
  <c r="BR3" i="9"/>
  <c r="BQ3" i="9"/>
  <c r="BP3" i="9"/>
  <c r="BO3" i="9"/>
  <c r="BN3" i="9"/>
  <c r="BM3" i="9"/>
  <c r="BL3" i="9"/>
  <c r="BK3" i="9"/>
  <c r="BJ3" i="9"/>
  <c r="BI3" i="9"/>
  <c r="BH3" i="9"/>
  <c r="BG3" i="9"/>
  <c r="BF3" i="9"/>
  <c r="BE3" i="9"/>
  <c r="Q42" i="35"/>
  <c r="Q42" i="34"/>
  <c r="Q42" i="33"/>
  <c r="Q42" i="32"/>
  <c r="Q42" i="31"/>
  <c r="Q42" i="30"/>
  <c r="Q42" i="29"/>
  <c r="Q42" i="28"/>
  <c r="Q42" i="27"/>
  <c r="Q42" i="26"/>
  <c r="Q42" i="25"/>
  <c r="Q42" i="24"/>
  <c r="Q42" i="23"/>
  <c r="Q42" i="22"/>
  <c r="Q42" i="21"/>
  <c r="Q42" i="20"/>
  <c r="Q42" i="19"/>
  <c r="Q42" i="18"/>
  <c r="Q42" i="17"/>
  <c r="Q42" i="16"/>
  <c r="Q42" i="15"/>
  <c r="Q42" i="14"/>
  <c r="Q42" i="13"/>
  <c r="Q42" i="12"/>
  <c r="Q42" i="11"/>
  <c r="H7" i="10"/>
  <c r="Q42" i="10"/>
  <c r="E3" i="23"/>
  <c r="E29" i="23" s="1"/>
  <c r="E2" i="23"/>
  <c r="E28" i="23" s="1"/>
  <c r="M1" i="23"/>
  <c r="E3" i="22"/>
  <c r="E29" i="22" s="1"/>
  <c r="E2" i="22"/>
  <c r="E28" i="22" s="1"/>
  <c r="M1" i="22"/>
  <c r="E3" i="21"/>
  <c r="E29" i="21" s="1"/>
  <c r="E2" i="21"/>
  <c r="E28" i="21" s="1"/>
  <c r="M1" i="21"/>
  <c r="E3" i="20"/>
  <c r="E29" i="20" s="1"/>
  <c r="E2" i="20"/>
  <c r="E28" i="20" s="1"/>
  <c r="M1" i="20"/>
  <c r="E3" i="19"/>
  <c r="E29" i="19" s="1"/>
  <c r="E2" i="19"/>
  <c r="E28" i="19" s="1"/>
  <c r="M1" i="19"/>
  <c r="E3" i="18"/>
  <c r="E29" i="18" s="1"/>
  <c r="E2" i="18"/>
  <c r="E28" i="18" s="1"/>
  <c r="M1" i="18"/>
  <c r="E3" i="17"/>
  <c r="E29" i="17" s="1"/>
  <c r="E2" i="17"/>
  <c r="E28" i="17" s="1"/>
  <c r="M1" i="17"/>
  <c r="E3" i="16"/>
  <c r="E29" i="16" s="1"/>
  <c r="E2" i="16"/>
  <c r="E28" i="16" s="1"/>
  <c r="M1" i="16"/>
  <c r="E3" i="15"/>
  <c r="E29" i="15" s="1"/>
  <c r="E2" i="15"/>
  <c r="E28" i="15" s="1"/>
  <c r="M1" i="15"/>
  <c r="E3" i="14"/>
  <c r="E29" i="14" s="1"/>
  <c r="E2" i="14"/>
  <c r="E28" i="14" s="1"/>
  <c r="M1" i="14"/>
  <c r="E3" i="13"/>
  <c r="E29" i="13" s="1"/>
  <c r="E2" i="13"/>
  <c r="E28" i="13" s="1"/>
  <c r="M1" i="13"/>
  <c r="E3" i="12"/>
  <c r="E29" i="12" s="1"/>
  <c r="E2" i="12"/>
  <c r="E28" i="12" s="1"/>
  <c r="M1" i="12"/>
  <c r="M1" i="11"/>
  <c r="E3" i="10"/>
  <c r="E29" i="10" s="1"/>
  <c r="E2" i="10"/>
  <c r="E28" i="10" s="1"/>
  <c r="M1" i="10"/>
  <c r="A7" i="10" s="1"/>
  <c r="E1" i="23"/>
  <c r="AG39" i="23" s="1"/>
  <c r="B4" i="23" s="1"/>
  <c r="E1" i="22"/>
  <c r="AG39" i="22" s="1"/>
  <c r="E1" i="21"/>
  <c r="AG39" i="21" s="1"/>
  <c r="AF4" i="21" s="1"/>
  <c r="E1" i="20"/>
  <c r="AG39" i="20" s="1"/>
  <c r="E1" i="19"/>
  <c r="AG39" i="19" s="1"/>
  <c r="AF4" i="19" s="1"/>
  <c r="E1" i="18"/>
  <c r="AG39" i="18" s="1"/>
  <c r="G4" i="18" s="1"/>
  <c r="E1" i="17"/>
  <c r="AG39" i="17" s="1"/>
  <c r="B4" i="17" s="1"/>
  <c r="E1" i="16"/>
  <c r="AG39" i="16"/>
  <c r="AF4" i="16" s="1"/>
  <c r="E1" i="15"/>
  <c r="AG39" i="15" s="1"/>
  <c r="E1" i="14"/>
  <c r="AG39" i="14" s="1"/>
  <c r="AA4" i="14" s="1"/>
  <c r="E1" i="13"/>
  <c r="AG39" i="13"/>
  <c r="B4" i="13" s="1"/>
  <c r="E1" i="12"/>
  <c r="AG39" i="12" s="1"/>
  <c r="B4" i="12" s="1"/>
  <c r="E3" i="11"/>
  <c r="E29" i="11" s="1"/>
  <c r="E2" i="11"/>
  <c r="E28" i="11" s="1"/>
  <c r="E1" i="11"/>
  <c r="AG39" i="11" s="1"/>
  <c r="G4" i="11" s="1"/>
  <c r="AC17" i="10"/>
  <c r="H17" i="10"/>
  <c r="H16" i="10"/>
  <c r="H15" i="10"/>
  <c r="H14" i="10"/>
  <c r="AH17" i="10"/>
  <c r="AG17" i="10"/>
  <c r="AF17" i="10"/>
  <c r="AB17" i="10"/>
  <c r="AA17" i="10"/>
  <c r="X17" i="10"/>
  <c r="W17" i="10"/>
  <c r="V17" i="10"/>
  <c r="S17" i="10"/>
  <c r="R17" i="10"/>
  <c r="Q17" i="10"/>
  <c r="N17" i="10"/>
  <c r="M17" i="10"/>
  <c r="L17" i="10"/>
  <c r="I17" i="10"/>
  <c r="G17" i="10"/>
  <c r="D17" i="10"/>
  <c r="AH16" i="10"/>
  <c r="AG16" i="10"/>
  <c r="AF16" i="10"/>
  <c r="AC16" i="10"/>
  <c r="AB16" i="10"/>
  <c r="AA16" i="10"/>
  <c r="X16" i="10"/>
  <c r="W16" i="10"/>
  <c r="V16" i="10"/>
  <c r="S16" i="10"/>
  <c r="R16" i="10"/>
  <c r="Q16" i="10"/>
  <c r="N16" i="10"/>
  <c r="M16" i="10"/>
  <c r="L16" i="10"/>
  <c r="I16" i="10"/>
  <c r="G16" i="10"/>
  <c r="D16" i="10"/>
  <c r="AH15" i="10"/>
  <c r="AG15" i="10"/>
  <c r="AF15" i="10"/>
  <c r="AC15" i="10"/>
  <c r="AB15" i="10"/>
  <c r="AA15" i="10"/>
  <c r="X15" i="10"/>
  <c r="W15" i="10"/>
  <c r="V15" i="10"/>
  <c r="S15" i="10"/>
  <c r="R15" i="10"/>
  <c r="Q15" i="10"/>
  <c r="N15" i="10"/>
  <c r="M15" i="10"/>
  <c r="L15" i="10"/>
  <c r="I15" i="10"/>
  <c r="G15" i="10"/>
  <c r="D15" i="10"/>
  <c r="AH14" i="10"/>
  <c r="AG14" i="10"/>
  <c r="AF14" i="10"/>
  <c r="AC14" i="10"/>
  <c r="AB14" i="10"/>
  <c r="AA14" i="10"/>
  <c r="X14" i="10"/>
  <c r="W14" i="10"/>
  <c r="V14" i="10"/>
  <c r="S14" i="10"/>
  <c r="R14" i="10"/>
  <c r="Q14" i="10"/>
  <c r="N14" i="10"/>
  <c r="M14" i="10"/>
  <c r="L14" i="10"/>
  <c r="I14" i="10"/>
  <c r="G14" i="10"/>
  <c r="D14" i="10"/>
  <c r="AH13" i="10"/>
  <c r="AG13" i="10"/>
  <c r="AF13" i="10"/>
  <c r="AC13" i="10"/>
  <c r="AB13" i="10"/>
  <c r="AA13" i="10"/>
  <c r="X13" i="10"/>
  <c r="W13" i="10"/>
  <c r="V13" i="10"/>
  <c r="S13" i="10"/>
  <c r="R13" i="10"/>
  <c r="Q13" i="10"/>
  <c r="N13" i="10"/>
  <c r="M13" i="10"/>
  <c r="L13" i="10"/>
  <c r="I13" i="10"/>
  <c r="H13" i="10"/>
  <c r="G13" i="10"/>
  <c r="D13" i="10"/>
  <c r="AH12" i="10"/>
  <c r="AG12" i="10"/>
  <c r="AF12" i="10"/>
  <c r="AC12" i="10"/>
  <c r="AB12" i="10"/>
  <c r="AA12" i="10"/>
  <c r="X12" i="10"/>
  <c r="W12" i="10"/>
  <c r="V12" i="10"/>
  <c r="S12" i="10"/>
  <c r="R12" i="10"/>
  <c r="Q12" i="10"/>
  <c r="N12" i="10"/>
  <c r="M12" i="10"/>
  <c r="L12" i="10"/>
  <c r="I12" i="10"/>
  <c r="H12" i="10"/>
  <c r="G12" i="10"/>
  <c r="D12" i="10"/>
  <c r="AH11" i="10"/>
  <c r="AG11" i="10"/>
  <c r="AF11" i="10"/>
  <c r="AC11" i="10"/>
  <c r="AB11" i="10"/>
  <c r="AA11" i="10"/>
  <c r="X11" i="10"/>
  <c r="W11" i="10"/>
  <c r="V11" i="10"/>
  <c r="S11" i="10"/>
  <c r="R11" i="10"/>
  <c r="Q11" i="10"/>
  <c r="N11" i="10"/>
  <c r="M11" i="10"/>
  <c r="L11" i="10"/>
  <c r="I11" i="10"/>
  <c r="H11" i="10"/>
  <c r="G11" i="10"/>
  <c r="D11" i="10"/>
  <c r="AH10" i="10"/>
  <c r="AG10" i="10"/>
  <c r="AF10" i="10"/>
  <c r="AC10" i="10"/>
  <c r="AB10" i="10"/>
  <c r="AA10" i="10"/>
  <c r="X10" i="10"/>
  <c r="W10" i="10"/>
  <c r="V10" i="10"/>
  <c r="S10" i="10"/>
  <c r="R10" i="10"/>
  <c r="Q10" i="10"/>
  <c r="N10" i="10"/>
  <c r="M10" i="10"/>
  <c r="L10" i="10"/>
  <c r="I10" i="10"/>
  <c r="H10" i="10"/>
  <c r="G10" i="10"/>
  <c r="D10" i="10"/>
  <c r="AH9" i="10"/>
  <c r="AG9" i="10"/>
  <c r="AF9" i="10"/>
  <c r="AC9" i="10"/>
  <c r="AB9" i="10"/>
  <c r="AA9" i="10"/>
  <c r="X9" i="10"/>
  <c r="W9" i="10"/>
  <c r="V9" i="10"/>
  <c r="S9" i="10"/>
  <c r="R9" i="10"/>
  <c r="Q9" i="10"/>
  <c r="N9" i="10"/>
  <c r="M9" i="10"/>
  <c r="L9" i="10"/>
  <c r="I9" i="10"/>
  <c r="H9" i="10"/>
  <c r="G9" i="10"/>
  <c r="D9" i="10"/>
  <c r="AH8" i="10"/>
  <c r="AG8" i="10"/>
  <c r="AF8" i="10"/>
  <c r="AC8" i="10"/>
  <c r="AB8" i="10"/>
  <c r="AA8" i="10"/>
  <c r="X8" i="10"/>
  <c r="W8" i="10"/>
  <c r="V8" i="10"/>
  <c r="S8" i="10"/>
  <c r="R8" i="10"/>
  <c r="Q8" i="10"/>
  <c r="N8" i="10"/>
  <c r="M8" i="10"/>
  <c r="L8" i="10"/>
  <c r="I8" i="10"/>
  <c r="H8" i="10"/>
  <c r="G8" i="10"/>
  <c r="D8" i="10"/>
  <c r="AH7" i="10"/>
  <c r="AG7" i="10"/>
  <c r="AF7" i="10"/>
  <c r="AC7" i="10"/>
  <c r="AB7" i="10"/>
  <c r="AA7" i="10"/>
  <c r="X7" i="10"/>
  <c r="W7" i="10"/>
  <c r="V7" i="10"/>
  <c r="S7" i="10"/>
  <c r="R7" i="10"/>
  <c r="Q7" i="10"/>
  <c r="N7" i="10"/>
  <c r="M7" i="10"/>
  <c r="L7" i="10"/>
  <c r="I7" i="10"/>
  <c r="G7" i="10"/>
  <c r="D7" i="10"/>
  <c r="AH6" i="10"/>
  <c r="AG6" i="10"/>
  <c r="AF6" i="10"/>
  <c r="AC6" i="10"/>
  <c r="AB6" i="10"/>
  <c r="AA6" i="10"/>
  <c r="X6" i="10"/>
  <c r="W6" i="10"/>
  <c r="V6" i="10"/>
  <c r="S6" i="10"/>
  <c r="R6" i="10"/>
  <c r="Q6" i="10"/>
  <c r="N6" i="10"/>
  <c r="M6" i="10"/>
  <c r="L6" i="10"/>
  <c r="I6" i="10"/>
  <c r="H6" i="10"/>
  <c r="G6" i="10"/>
  <c r="D6" i="10"/>
  <c r="E1" i="10"/>
  <c r="AG39" i="10" s="1"/>
  <c r="Q4" i="23"/>
  <c r="G4" i="23"/>
  <c r="AA4" i="22"/>
  <c r="L4" i="22"/>
  <c r="AF4" i="17"/>
  <c r="L4" i="23"/>
  <c r="A12" i="10"/>
  <c r="CJ35" i="9"/>
  <c r="CL35" i="9" s="1"/>
  <c r="CJ34" i="9"/>
  <c r="CL34" i="9" s="1"/>
  <c r="CJ33" i="9"/>
  <c r="CL33" i="9" s="1"/>
  <c r="CJ32" i="9"/>
  <c r="CL32" i="9" s="1"/>
  <c r="CJ31" i="9"/>
  <c r="CL31" i="9" s="1"/>
  <c r="CJ30" i="9"/>
  <c r="CL30" i="9" s="1"/>
  <c r="CJ29" i="9"/>
  <c r="CL29" i="9" s="1"/>
  <c r="CJ28" i="9"/>
  <c r="CL28" i="9" s="1"/>
  <c r="CJ27" i="9"/>
  <c r="CL27" i="9" s="1"/>
  <c r="CJ26" i="9"/>
  <c r="CL26" i="9" s="1"/>
  <c r="CJ25" i="9"/>
  <c r="CL25" i="9" s="1"/>
  <c r="CJ24" i="9"/>
  <c r="CL24" i="9" s="1"/>
  <c r="CJ23" i="9"/>
  <c r="CL23" i="9" s="1"/>
  <c r="CJ22" i="9"/>
  <c r="CL22" i="9" s="1"/>
  <c r="CJ21" i="9"/>
  <c r="CL21" i="9" s="1"/>
  <c r="CJ20" i="9"/>
  <c r="CL20" i="9" s="1"/>
  <c r="CJ19" i="9"/>
  <c r="CL19" i="9" s="1"/>
  <c r="CJ18" i="9"/>
  <c r="CL18" i="9" s="1"/>
  <c r="CJ17" i="9"/>
  <c r="CL17" i="9" s="1"/>
  <c r="CJ16" i="9"/>
  <c r="CL16" i="9" s="1"/>
  <c r="CJ15" i="9"/>
  <c r="CL15" i="9" s="1"/>
  <c r="CJ14" i="9"/>
  <c r="CL14" i="9" s="1"/>
  <c r="CJ13" i="9"/>
  <c r="CL13" i="9" s="1"/>
  <c r="CJ12" i="9"/>
  <c r="CL12" i="9" s="1"/>
  <c r="CJ11" i="9"/>
  <c r="CL11" i="9" s="1"/>
  <c r="CJ10" i="9"/>
  <c r="CL10" i="9" s="1"/>
  <c r="CJ9" i="9"/>
  <c r="CL9" i="9" s="1"/>
  <c r="CJ8" i="9"/>
  <c r="CL8" i="9" s="1"/>
  <c r="CJ7" i="9"/>
  <c r="CL7" i="9" s="1"/>
  <c r="CJ6" i="9"/>
  <c r="CL6" i="9" s="1"/>
  <c r="CL5" i="9"/>
  <c r="CJ4" i="9"/>
  <c r="CL4" i="9" s="1"/>
  <c r="E3" i="35"/>
  <c r="E29" i="35" s="1"/>
  <c r="E3" i="34"/>
  <c r="E29" i="34" s="1"/>
  <c r="E3" i="33"/>
  <c r="E29" i="33" s="1"/>
  <c r="E3" i="32"/>
  <c r="E29" i="32" s="1"/>
  <c r="E3" i="31"/>
  <c r="E29" i="31" s="1"/>
  <c r="E3" i="30"/>
  <c r="E29" i="30" s="1"/>
  <c r="E3" i="29"/>
  <c r="E29" i="29" s="1"/>
  <c r="E3" i="28"/>
  <c r="E29" i="28" s="1"/>
  <c r="E3" i="27"/>
  <c r="E29" i="27" s="1"/>
  <c r="E3" i="26"/>
  <c r="E29" i="26" s="1"/>
  <c r="E3" i="25"/>
  <c r="E29" i="25" s="1"/>
  <c r="E3" i="24"/>
  <c r="E29" i="24"/>
  <c r="E2" i="35"/>
  <c r="E28" i="35" s="1"/>
  <c r="E2" i="34"/>
  <c r="E28" i="34" s="1"/>
  <c r="E2" i="33"/>
  <c r="E28" i="33" s="1"/>
  <c r="E2" i="32"/>
  <c r="E28" i="32" s="1"/>
  <c r="E2" i="31"/>
  <c r="E28" i="31" s="1"/>
  <c r="E2" i="30"/>
  <c r="E28" i="30" s="1"/>
  <c r="E2" i="29"/>
  <c r="E28" i="29" s="1"/>
  <c r="E2" i="28"/>
  <c r="E28" i="28" s="1"/>
  <c r="E2" i="27"/>
  <c r="E28" i="27" s="1"/>
  <c r="E2" i="26"/>
  <c r="E28" i="26" s="1"/>
  <c r="E2" i="25"/>
  <c r="E28" i="25" s="1"/>
  <c r="E2" i="24"/>
  <c r="E28" i="24" s="1"/>
  <c r="E1" i="35"/>
  <c r="AG39" i="35" s="1"/>
  <c r="E1" i="34"/>
  <c r="AG39" i="34" s="1"/>
  <c r="E1" i="33"/>
  <c r="AG39" i="33" s="1"/>
  <c r="E1" i="32"/>
  <c r="AG39" i="32" s="1"/>
  <c r="E1" i="31"/>
  <c r="AG39" i="31" s="1"/>
  <c r="E1" i="30"/>
  <c r="AG39" i="30" s="1"/>
  <c r="L4" i="30" s="1"/>
  <c r="E1" i="29"/>
  <c r="AG39" i="29" s="1"/>
  <c r="E1" i="28"/>
  <c r="AG39" i="28" s="1"/>
  <c r="AA4" i="28" s="1"/>
  <c r="E1" i="27"/>
  <c r="AG39" i="27" s="1"/>
  <c r="E1" i="26"/>
  <c r="AG39" i="26" s="1"/>
  <c r="E1" i="25"/>
  <c r="AG39" i="25" s="1"/>
  <c r="E1" i="24"/>
  <c r="AG39" i="24" s="1"/>
  <c r="BD36" i="9"/>
  <c r="BC36" i="9"/>
  <c r="BB36" i="9"/>
  <c r="BA36" i="9"/>
  <c r="AZ36" i="9"/>
  <c r="AY36" i="9"/>
  <c r="AX36" i="9"/>
  <c r="AW36" i="9"/>
  <c r="AV36" i="9"/>
  <c r="AU36" i="9"/>
  <c r="AT36" i="9"/>
  <c r="AS36" i="9"/>
  <c r="AR36" i="9"/>
  <c r="AQ36" i="9"/>
  <c r="AP36" i="9"/>
  <c r="AO36" i="9"/>
  <c r="AN36" i="9"/>
  <c r="AM36" i="9"/>
  <c r="AL36" i="9"/>
  <c r="AK36" i="9"/>
  <c r="AJ36" i="9"/>
  <c r="AI36" i="9"/>
  <c r="AH36" i="9"/>
  <c r="AG36" i="9"/>
  <c r="AF36" i="9"/>
  <c r="AE36" i="9"/>
  <c r="AD36" i="9"/>
  <c r="AC36" i="9"/>
  <c r="AB36" i="9"/>
  <c r="AA36" i="9"/>
  <c r="Z36" i="9"/>
  <c r="Y36" i="9"/>
  <c r="X36" i="9"/>
  <c r="W36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B36" i="9"/>
  <c r="A36" i="9"/>
  <c r="BD3" i="9"/>
  <c r="BC3" i="9"/>
  <c r="BB3" i="9"/>
  <c r="BA3" i="9"/>
  <c r="AZ3" i="9"/>
  <c r="AY3" i="9"/>
  <c r="AX3" i="9"/>
  <c r="AW3" i="9"/>
  <c r="AV3" i="9"/>
  <c r="AU3" i="9"/>
  <c r="AT3" i="9"/>
  <c r="AS3" i="9"/>
  <c r="AR3" i="9"/>
  <c r="AQ3" i="9"/>
  <c r="AP3" i="9"/>
  <c r="AO3" i="9"/>
  <c r="AN3" i="9"/>
  <c r="AM3" i="9"/>
  <c r="AL3" i="9"/>
  <c r="AK3" i="9"/>
  <c r="AJ3" i="9"/>
  <c r="AI3" i="9"/>
  <c r="AH3" i="9"/>
  <c r="AG3" i="9"/>
  <c r="AF3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A3" i="9"/>
  <c r="B3" i="9"/>
  <c r="C3" i="9"/>
  <c r="CQ25" i="9"/>
  <c r="CQ27" i="9"/>
  <c r="M1" i="35"/>
  <c r="M1" i="34"/>
  <c r="M1" i="33"/>
  <c r="M1" i="32"/>
  <c r="M1" i="31"/>
  <c r="M1" i="30"/>
  <c r="M1" i="29"/>
  <c r="M1" i="28"/>
  <c r="M1" i="27"/>
  <c r="M1" i="26"/>
  <c r="M1" i="25"/>
  <c r="M1" i="24"/>
  <c r="B6" i="14" l="1"/>
  <c r="D6" i="14"/>
  <c r="C6" i="14"/>
  <c r="F6" i="14" s="1"/>
  <c r="AJ10" i="26"/>
  <c r="AL10" i="26" s="1"/>
  <c r="AJ17" i="26"/>
  <c r="AJ15" i="26"/>
  <c r="AJ9" i="26"/>
  <c r="AL9" i="26" s="1"/>
  <c r="AJ14" i="26"/>
  <c r="AJ16" i="26"/>
  <c r="AJ12" i="26"/>
  <c r="AL12" i="26" s="1"/>
  <c r="AJ6" i="26"/>
  <c r="AL6" i="26" s="1"/>
  <c r="AJ13" i="26"/>
  <c r="AL13" i="26" s="1"/>
  <c r="AJ7" i="26"/>
  <c r="AL7" i="26" s="1"/>
  <c r="AJ11" i="26"/>
  <c r="AL11" i="26" s="1"/>
  <c r="AJ8" i="26"/>
  <c r="AL8" i="26" s="1"/>
  <c r="AJ8" i="30"/>
  <c r="AL8" i="30" s="1"/>
  <c r="AJ16" i="30"/>
  <c r="AJ12" i="30"/>
  <c r="AJ10" i="30"/>
  <c r="AL10" i="30" s="1"/>
  <c r="AJ13" i="30"/>
  <c r="AL13" i="30" s="1"/>
  <c r="AJ15" i="30"/>
  <c r="AJ14" i="30"/>
  <c r="AJ6" i="30"/>
  <c r="AL6" i="30" s="1"/>
  <c r="AJ17" i="30"/>
  <c r="AJ11" i="30"/>
  <c r="AL11" i="30" s="1"/>
  <c r="AJ9" i="30"/>
  <c r="AL9" i="30" s="1"/>
  <c r="AJ7" i="30"/>
  <c r="AJ6" i="24"/>
  <c r="AL6" i="24" s="1"/>
  <c r="AJ16" i="24"/>
  <c r="AJ15" i="24"/>
  <c r="AJ12" i="24"/>
  <c r="AL12" i="24" s="1"/>
  <c r="AJ8" i="24"/>
  <c r="AL8" i="24" s="1"/>
  <c r="AJ10" i="24"/>
  <c r="AL10" i="24" s="1"/>
  <c r="AJ9" i="24"/>
  <c r="AL9" i="24" s="1"/>
  <c r="AJ7" i="24"/>
  <c r="AL7" i="24" s="1"/>
  <c r="AJ14" i="24"/>
  <c r="AJ11" i="24"/>
  <c r="AL11" i="24" s="1"/>
  <c r="AJ13" i="24"/>
  <c r="AL13" i="24" s="1"/>
  <c r="AJ17" i="24"/>
  <c r="AJ9" i="28"/>
  <c r="AL9" i="28" s="1"/>
  <c r="AJ13" i="28"/>
  <c r="AL13" i="28" s="1"/>
  <c r="AJ12" i="28"/>
  <c r="AL12" i="28" s="1"/>
  <c r="AJ17" i="28"/>
  <c r="AJ8" i="28"/>
  <c r="AL8" i="28" s="1"/>
  <c r="AJ7" i="28"/>
  <c r="AL7" i="28" s="1"/>
  <c r="AJ16" i="28"/>
  <c r="AJ15" i="28"/>
  <c r="AJ6" i="28"/>
  <c r="AL6" i="28" s="1"/>
  <c r="AJ10" i="28"/>
  <c r="AL10" i="28" s="1"/>
  <c r="AJ11" i="28"/>
  <c r="AL11" i="28" s="1"/>
  <c r="AJ14" i="28"/>
  <c r="AJ10" i="32"/>
  <c r="AL10" i="32" s="1"/>
  <c r="AJ12" i="32"/>
  <c r="AL12" i="32" s="1"/>
  <c r="AJ11" i="32"/>
  <c r="AL11" i="32" s="1"/>
  <c r="AJ17" i="32"/>
  <c r="AJ9" i="32"/>
  <c r="AL9" i="32" s="1"/>
  <c r="AJ8" i="32"/>
  <c r="AL8" i="32" s="1"/>
  <c r="AJ14" i="32"/>
  <c r="AJ16" i="32"/>
  <c r="AJ7" i="32"/>
  <c r="AL7" i="32" s="1"/>
  <c r="AJ6" i="32"/>
  <c r="AL6" i="32" s="1"/>
  <c r="AJ13" i="32"/>
  <c r="AL13" i="32" s="1"/>
  <c r="AJ15" i="32"/>
  <c r="AJ16" i="25"/>
  <c r="AJ17" i="25"/>
  <c r="AJ11" i="25"/>
  <c r="AL11" i="25" s="1"/>
  <c r="AJ9" i="25"/>
  <c r="AL9" i="25" s="1"/>
  <c r="AJ10" i="25"/>
  <c r="AL10" i="25" s="1"/>
  <c r="AJ8" i="25"/>
  <c r="AL8" i="25" s="1"/>
  <c r="AJ15" i="25"/>
  <c r="AJ14" i="25"/>
  <c r="AJ13" i="25"/>
  <c r="AL13" i="25" s="1"/>
  <c r="AJ7" i="25"/>
  <c r="AL7" i="25" s="1"/>
  <c r="AJ12" i="25"/>
  <c r="AL12" i="25" s="1"/>
  <c r="AJ6" i="25"/>
  <c r="AL6" i="25" s="1"/>
  <c r="AJ10" i="29"/>
  <c r="AL10" i="29" s="1"/>
  <c r="AJ6" i="29"/>
  <c r="AL6" i="29" s="1"/>
  <c r="AJ14" i="29"/>
  <c r="AJ12" i="29"/>
  <c r="AL12" i="29" s="1"/>
  <c r="AJ7" i="29"/>
  <c r="AL7" i="29" s="1"/>
  <c r="AJ15" i="29"/>
  <c r="AJ11" i="29"/>
  <c r="AL11" i="29" s="1"/>
  <c r="AJ8" i="29"/>
  <c r="AL8" i="29" s="1"/>
  <c r="AJ16" i="29"/>
  <c r="AJ17" i="29"/>
  <c r="AJ9" i="29"/>
  <c r="AL9" i="29" s="1"/>
  <c r="AJ13" i="29"/>
  <c r="AL13" i="29" s="1"/>
  <c r="AJ13" i="33"/>
  <c r="AL13" i="33" s="1"/>
  <c r="AJ10" i="33"/>
  <c r="AL10" i="33" s="1"/>
  <c r="AJ7" i="33"/>
  <c r="AL7" i="33" s="1"/>
  <c r="AJ16" i="33"/>
  <c r="AJ17" i="33"/>
  <c r="AJ6" i="33"/>
  <c r="AL6" i="33" s="1"/>
  <c r="AJ8" i="33"/>
  <c r="AL8" i="33" s="1"/>
  <c r="AJ12" i="33"/>
  <c r="AL12" i="33" s="1"/>
  <c r="AJ15" i="33"/>
  <c r="AJ11" i="33"/>
  <c r="AL11" i="33" s="1"/>
  <c r="AJ9" i="33"/>
  <c r="AL9" i="33" s="1"/>
  <c r="AJ14" i="33"/>
  <c r="AJ11" i="15"/>
  <c r="AL11" i="15" s="1"/>
  <c r="AJ17" i="15"/>
  <c r="AJ12" i="15"/>
  <c r="AL12" i="15" s="1"/>
  <c r="AJ10" i="15"/>
  <c r="AL10" i="15" s="1"/>
  <c r="AJ7" i="15"/>
  <c r="AL7" i="15" s="1"/>
  <c r="AJ13" i="15"/>
  <c r="AL13" i="15" s="1"/>
  <c r="AJ15" i="15"/>
  <c r="AJ14" i="15"/>
  <c r="AJ8" i="15"/>
  <c r="AL8" i="15" s="1"/>
  <c r="AJ16" i="15"/>
  <c r="AJ9" i="15"/>
  <c r="AL9" i="15" s="1"/>
  <c r="AJ6" i="15"/>
  <c r="AJ7" i="19"/>
  <c r="AL7" i="19" s="1"/>
  <c r="AJ12" i="19"/>
  <c r="AL12" i="19" s="1"/>
  <c r="AJ9" i="19"/>
  <c r="AL9" i="19" s="1"/>
  <c r="AJ11" i="19"/>
  <c r="AL11" i="19" s="1"/>
  <c r="AJ10" i="19"/>
  <c r="AL10" i="19" s="1"/>
  <c r="AJ15" i="19"/>
  <c r="AJ8" i="19"/>
  <c r="AL8" i="19" s="1"/>
  <c r="AJ14" i="19"/>
  <c r="AJ13" i="19"/>
  <c r="AL13" i="19" s="1"/>
  <c r="AJ16" i="19"/>
  <c r="AJ6" i="19"/>
  <c r="AL6" i="19" s="1"/>
  <c r="AJ17" i="19"/>
  <c r="AJ12" i="14"/>
  <c r="AL12" i="14" s="1"/>
  <c r="AJ6" i="14"/>
  <c r="AL6" i="14" s="1"/>
  <c r="AJ14" i="14"/>
  <c r="AJ13" i="14"/>
  <c r="AL13" i="14" s="1"/>
  <c r="AJ16" i="14"/>
  <c r="AJ7" i="14"/>
  <c r="AL7" i="14" s="1"/>
  <c r="AJ15" i="14"/>
  <c r="AJ9" i="14"/>
  <c r="AL9" i="14" s="1"/>
  <c r="AJ8" i="14"/>
  <c r="AL8" i="14" s="1"/>
  <c r="AJ10" i="14"/>
  <c r="AL10" i="14" s="1"/>
  <c r="AJ17" i="14"/>
  <c r="AJ11" i="14"/>
  <c r="AL11" i="14" s="1"/>
  <c r="AJ14" i="18"/>
  <c r="AJ17" i="18"/>
  <c r="AJ16" i="18"/>
  <c r="AJ11" i="18"/>
  <c r="AL11" i="18" s="1"/>
  <c r="AJ12" i="18"/>
  <c r="AL12" i="18" s="1"/>
  <c r="AJ8" i="18"/>
  <c r="AL8" i="18" s="1"/>
  <c r="AJ15" i="18"/>
  <c r="AJ6" i="18"/>
  <c r="AL6" i="18" s="1"/>
  <c r="AJ13" i="18"/>
  <c r="AL13" i="18" s="1"/>
  <c r="AJ9" i="18"/>
  <c r="AL9" i="18" s="1"/>
  <c r="AJ7" i="18"/>
  <c r="AL7" i="18" s="1"/>
  <c r="AJ10" i="18"/>
  <c r="AL10" i="18" s="1"/>
  <c r="AJ15" i="23"/>
  <c r="AJ12" i="23"/>
  <c r="AL12" i="23" s="1"/>
  <c r="AJ8" i="23"/>
  <c r="AL8" i="23" s="1"/>
  <c r="AJ6" i="23"/>
  <c r="AL6" i="23" s="1"/>
  <c r="AJ16" i="23"/>
  <c r="AJ14" i="23"/>
  <c r="AJ13" i="23"/>
  <c r="AL13" i="23" s="1"/>
  <c r="AJ9" i="23"/>
  <c r="AL9" i="23" s="1"/>
  <c r="AJ11" i="23"/>
  <c r="AL11" i="23" s="1"/>
  <c r="AJ10" i="23"/>
  <c r="AL10" i="23" s="1"/>
  <c r="AJ17" i="23"/>
  <c r="AJ7" i="23"/>
  <c r="AL7" i="23" s="1"/>
  <c r="AJ17" i="34"/>
  <c r="AJ14" i="34"/>
  <c r="AJ10" i="34"/>
  <c r="AL10" i="34" s="1"/>
  <c r="AJ13" i="34"/>
  <c r="AL13" i="34" s="1"/>
  <c r="AJ7" i="34"/>
  <c r="AL7" i="34" s="1"/>
  <c r="AJ9" i="34"/>
  <c r="AL9" i="34" s="1"/>
  <c r="AJ15" i="34"/>
  <c r="AJ6" i="34"/>
  <c r="AL6" i="34" s="1"/>
  <c r="AJ8" i="34"/>
  <c r="AL8" i="34" s="1"/>
  <c r="AJ16" i="34"/>
  <c r="AJ11" i="34"/>
  <c r="AL11" i="34" s="1"/>
  <c r="AJ12" i="34"/>
  <c r="AL12" i="34" s="1"/>
  <c r="AJ12" i="27"/>
  <c r="AL12" i="27" s="1"/>
  <c r="AJ7" i="27"/>
  <c r="AL7" i="27" s="1"/>
  <c r="AJ14" i="27"/>
  <c r="AJ17" i="27"/>
  <c r="AJ15" i="27"/>
  <c r="AJ16" i="27"/>
  <c r="AJ10" i="27"/>
  <c r="AL10" i="27" s="1"/>
  <c r="AJ6" i="27"/>
  <c r="AL6" i="27" s="1"/>
  <c r="AJ11" i="27"/>
  <c r="AL11" i="27" s="1"/>
  <c r="AJ8" i="27"/>
  <c r="AL8" i="27" s="1"/>
  <c r="AJ9" i="27"/>
  <c r="AL9" i="27" s="1"/>
  <c r="AJ13" i="27"/>
  <c r="AL13" i="27" s="1"/>
  <c r="AJ16" i="31"/>
  <c r="AJ7" i="31"/>
  <c r="AL7" i="31" s="1"/>
  <c r="AJ8" i="31"/>
  <c r="AL8" i="31" s="1"/>
  <c r="AJ17" i="31"/>
  <c r="AJ12" i="31"/>
  <c r="AL12" i="31" s="1"/>
  <c r="AJ15" i="31"/>
  <c r="AJ14" i="31"/>
  <c r="AJ10" i="31"/>
  <c r="AL10" i="31" s="1"/>
  <c r="AJ9" i="31"/>
  <c r="AL9" i="31" s="1"/>
  <c r="AJ6" i="31"/>
  <c r="AL6" i="31" s="1"/>
  <c r="AJ13" i="31"/>
  <c r="AL13" i="31" s="1"/>
  <c r="AJ11" i="31"/>
  <c r="AL11" i="31" s="1"/>
  <c r="AJ15" i="35"/>
  <c r="AJ6" i="35"/>
  <c r="AL6" i="35" s="1"/>
  <c r="AJ13" i="35"/>
  <c r="AL13" i="35" s="1"/>
  <c r="AJ17" i="35"/>
  <c r="AJ12" i="35"/>
  <c r="AL12" i="35" s="1"/>
  <c r="AJ7" i="35"/>
  <c r="AL7" i="35" s="1"/>
  <c r="AJ16" i="35"/>
  <c r="AJ9" i="35"/>
  <c r="AL9" i="35" s="1"/>
  <c r="AJ10" i="35"/>
  <c r="AL10" i="35" s="1"/>
  <c r="AJ8" i="35"/>
  <c r="AL8" i="35" s="1"/>
  <c r="AJ11" i="35"/>
  <c r="AL11" i="35" s="1"/>
  <c r="AJ14" i="35"/>
  <c r="AJ6" i="11"/>
  <c r="AL6" i="11" s="1"/>
  <c r="AJ15" i="11"/>
  <c r="AJ9" i="11"/>
  <c r="AL9" i="11" s="1"/>
  <c r="AJ14" i="11"/>
  <c r="AJ12" i="11"/>
  <c r="AL12" i="11" s="1"/>
  <c r="AJ13" i="11"/>
  <c r="AL13" i="11" s="1"/>
  <c r="AJ16" i="11"/>
  <c r="AJ7" i="11"/>
  <c r="AL7" i="11" s="1"/>
  <c r="AJ11" i="11"/>
  <c r="AL11" i="11" s="1"/>
  <c r="AJ17" i="11"/>
  <c r="AJ10" i="11"/>
  <c r="AL10" i="11" s="1"/>
  <c r="AJ8" i="11"/>
  <c r="AL8" i="11" s="1"/>
  <c r="AJ12" i="13"/>
  <c r="AL12" i="13" s="1"/>
  <c r="AJ15" i="13"/>
  <c r="AJ11" i="13"/>
  <c r="AL11" i="13" s="1"/>
  <c r="AJ8" i="13"/>
  <c r="AL8" i="13" s="1"/>
  <c r="AJ7" i="13"/>
  <c r="AL7" i="13" s="1"/>
  <c r="AJ14" i="13"/>
  <c r="AJ9" i="13"/>
  <c r="AL9" i="13" s="1"/>
  <c r="AJ13" i="13"/>
  <c r="AL13" i="13" s="1"/>
  <c r="AJ16" i="13"/>
  <c r="AJ10" i="13"/>
  <c r="AL10" i="13" s="1"/>
  <c r="AJ6" i="13"/>
  <c r="AL6" i="13" s="1"/>
  <c r="AJ17" i="13"/>
  <c r="AJ8" i="17"/>
  <c r="AL8" i="17" s="1"/>
  <c r="AJ17" i="17"/>
  <c r="AJ12" i="17"/>
  <c r="AL12" i="17" s="1"/>
  <c r="AJ11" i="17"/>
  <c r="AL11" i="17" s="1"/>
  <c r="AJ16" i="17"/>
  <c r="AJ10" i="17"/>
  <c r="AL10" i="17" s="1"/>
  <c r="AJ13" i="17"/>
  <c r="AL13" i="17" s="1"/>
  <c r="AJ9" i="17"/>
  <c r="AL9" i="17" s="1"/>
  <c r="AJ6" i="17"/>
  <c r="AL6" i="17" s="1"/>
  <c r="AJ7" i="17"/>
  <c r="AL7" i="17" s="1"/>
  <c r="AJ15" i="17"/>
  <c r="AJ14" i="17"/>
  <c r="AJ17" i="21"/>
  <c r="AJ13" i="21"/>
  <c r="AL13" i="21" s="1"/>
  <c r="AJ15" i="21"/>
  <c r="AJ11" i="21"/>
  <c r="AL11" i="21" s="1"/>
  <c r="AJ8" i="21"/>
  <c r="AL8" i="21" s="1"/>
  <c r="AJ12" i="21"/>
  <c r="AL12" i="21" s="1"/>
  <c r="AJ16" i="21"/>
  <c r="AJ7" i="21"/>
  <c r="AL7" i="21" s="1"/>
  <c r="AJ6" i="21"/>
  <c r="AL6" i="21" s="1"/>
  <c r="AJ10" i="21"/>
  <c r="AL10" i="21" s="1"/>
  <c r="AJ14" i="21"/>
  <c r="AJ9" i="21"/>
  <c r="AL9" i="21" s="1"/>
  <c r="A12" i="22"/>
  <c r="AJ12" i="22"/>
  <c r="AL12" i="22" s="1"/>
  <c r="AJ13" i="22"/>
  <c r="AL13" i="22" s="1"/>
  <c r="AJ11" i="22"/>
  <c r="AL11" i="22" s="1"/>
  <c r="AJ14" i="22"/>
  <c r="AJ8" i="22"/>
  <c r="AL8" i="22" s="1"/>
  <c r="AJ16" i="22"/>
  <c r="AJ17" i="22"/>
  <c r="AJ7" i="22"/>
  <c r="AL7" i="22" s="1"/>
  <c r="AJ15" i="22"/>
  <c r="AJ6" i="22"/>
  <c r="AL6" i="22" s="1"/>
  <c r="AJ10" i="22"/>
  <c r="AL10" i="22" s="1"/>
  <c r="AJ9" i="22"/>
  <c r="AL9" i="22" s="1"/>
  <c r="G4" i="17"/>
  <c r="AJ13" i="12"/>
  <c r="AL13" i="12" s="1"/>
  <c r="AJ14" i="12"/>
  <c r="AJ12" i="12"/>
  <c r="AL12" i="12" s="1"/>
  <c r="AJ10" i="12"/>
  <c r="AJ17" i="12"/>
  <c r="AJ7" i="12"/>
  <c r="AL7" i="12" s="1"/>
  <c r="AJ8" i="12"/>
  <c r="AL8" i="12" s="1"/>
  <c r="AJ15" i="12"/>
  <c r="AJ6" i="12"/>
  <c r="AL6" i="12" s="1"/>
  <c r="AJ11" i="12"/>
  <c r="AL11" i="12" s="1"/>
  <c r="AJ9" i="12"/>
  <c r="AL9" i="12" s="1"/>
  <c r="AJ16" i="12"/>
  <c r="AJ15" i="16"/>
  <c r="AJ11" i="16"/>
  <c r="AL11" i="16" s="1"/>
  <c r="AJ10" i="16"/>
  <c r="AL10" i="16" s="1"/>
  <c r="AJ8" i="16"/>
  <c r="AL8" i="16" s="1"/>
  <c r="AJ7" i="16"/>
  <c r="AL7" i="16" s="1"/>
  <c r="AJ6" i="16"/>
  <c r="AL6" i="16" s="1"/>
  <c r="AJ12" i="16"/>
  <c r="AL12" i="16" s="1"/>
  <c r="AJ14" i="16"/>
  <c r="AJ13" i="16"/>
  <c r="AL13" i="16" s="1"/>
  <c r="AJ17" i="16"/>
  <c r="AJ9" i="16"/>
  <c r="AL9" i="16" s="1"/>
  <c r="AJ16" i="16"/>
  <c r="AJ11" i="20"/>
  <c r="AL11" i="20" s="1"/>
  <c r="AJ17" i="20"/>
  <c r="AJ15" i="20"/>
  <c r="AJ6" i="20"/>
  <c r="AL6" i="20" s="1"/>
  <c r="AJ14" i="20"/>
  <c r="AJ16" i="20"/>
  <c r="AJ12" i="20"/>
  <c r="AL12" i="20" s="1"/>
  <c r="AJ10" i="20"/>
  <c r="AL10" i="20" s="1"/>
  <c r="AJ7" i="20"/>
  <c r="AL7" i="20" s="1"/>
  <c r="AJ8" i="20"/>
  <c r="AL8" i="20" s="1"/>
  <c r="AJ9" i="20"/>
  <c r="AL9" i="20" s="1"/>
  <c r="AJ13" i="20"/>
  <c r="AL13" i="20" s="1"/>
  <c r="A13" i="10"/>
  <c r="G4" i="19"/>
  <c r="L4" i="19"/>
  <c r="G4" i="13"/>
  <c r="Q4" i="19"/>
  <c r="V4" i="19"/>
  <c r="AA4" i="12"/>
  <c r="Q4" i="28"/>
  <c r="L4" i="14"/>
  <c r="V4" i="26"/>
  <c r="AF4" i="26"/>
  <c r="G4" i="32"/>
  <c r="AA4" i="32"/>
  <c r="Q4" i="32"/>
  <c r="B4" i="24"/>
  <c r="G4" i="24"/>
  <c r="Q4" i="24"/>
  <c r="AF4" i="20"/>
  <c r="B4" i="20"/>
  <c r="G4" i="20"/>
  <c r="AA4" i="20"/>
  <c r="Q4" i="20"/>
  <c r="L4" i="34"/>
  <c r="B4" i="34"/>
  <c r="Q4" i="34"/>
  <c r="AF4" i="30"/>
  <c r="A8" i="10"/>
  <c r="A9" i="10"/>
  <c r="V4" i="17"/>
  <c r="Q4" i="17"/>
  <c r="V4" i="12"/>
  <c r="AF4" i="12"/>
  <c r="A11" i="10"/>
  <c r="A10" i="10"/>
  <c r="L4" i="17"/>
  <c r="G4" i="12"/>
  <c r="Q4" i="12"/>
  <c r="AJ16" i="10"/>
  <c r="A6" i="10"/>
  <c r="AA4" i="17"/>
  <c r="L4" i="12"/>
  <c r="AA4" i="31"/>
  <c r="AF4" i="31"/>
  <c r="G4" i="31"/>
  <c r="V4" i="31"/>
  <c r="L4" i="31"/>
  <c r="B4" i="31"/>
  <c r="Q4" i="31"/>
  <c r="L4" i="33"/>
  <c r="AA4" i="33"/>
  <c r="AF4" i="33"/>
  <c r="G4" i="33"/>
  <c r="B4" i="33"/>
  <c r="Q4" i="33"/>
  <c r="AA4" i="15"/>
  <c r="AF4" i="15"/>
  <c r="V4" i="15"/>
  <c r="L4" i="15"/>
  <c r="Q4" i="15"/>
  <c r="B4" i="15"/>
  <c r="G4" i="15"/>
  <c r="V4" i="10"/>
  <c r="L4" i="10"/>
  <c r="AA4" i="10"/>
  <c r="Q4" i="10"/>
  <c r="AF4" i="10"/>
  <c r="B4" i="10"/>
  <c r="G4" i="10"/>
  <c r="Q4" i="25"/>
  <c r="AF4" i="25"/>
  <c r="Q4" i="29"/>
  <c r="V4" i="29"/>
  <c r="AA4" i="29"/>
  <c r="L4" i="29"/>
  <c r="G4" i="29"/>
  <c r="B4" i="29"/>
  <c r="AF4" i="27"/>
  <c r="Q4" i="27"/>
  <c r="G4" i="27"/>
  <c r="L4" i="27"/>
  <c r="V4" i="27"/>
  <c r="AA4" i="27"/>
  <c r="V4" i="35"/>
  <c r="G4" i="35"/>
  <c r="Q4" i="35"/>
  <c r="L4" i="35"/>
  <c r="AA4" i="35"/>
  <c r="B4" i="35"/>
  <c r="V4" i="30"/>
  <c r="Q4" i="13"/>
  <c r="AF4" i="13"/>
  <c r="F14" i="10"/>
  <c r="AA4" i="34"/>
  <c r="G4" i="26"/>
  <c r="G4" i="28"/>
  <c r="V4" i="34"/>
  <c r="G4" i="30"/>
  <c r="B4" i="26"/>
  <c r="AA4" i="26"/>
  <c r="L4" i="24"/>
  <c r="V4" i="32"/>
  <c r="AF4" i="28"/>
  <c r="V4" i="13"/>
  <c r="E8" i="10"/>
  <c r="B4" i="30"/>
  <c r="AA4" i="24"/>
  <c r="B4" i="32"/>
  <c r="V4" i="28"/>
  <c r="L4" i="26"/>
  <c r="Q4" i="26"/>
  <c r="AA4" i="13"/>
  <c r="F8" i="10"/>
  <c r="L4" i="13"/>
  <c r="F7" i="10"/>
  <c r="AJ10" i="10"/>
  <c r="AL10" i="10" s="1"/>
  <c r="E11" i="10"/>
  <c r="E17" i="10"/>
  <c r="F17" i="10"/>
  <c r="F11" i="10"/>
  <c r="AJ11" i="10"/>
  <c r="AL11" i="10" s="1"/>
  <c r="F13" i="10"/>
  <c r="U35" i="20"/>
  <c r="E14" i="10"/>
  <c r="E12" i="10"/>
  <c r="AJ15" i="10"/>
  <c r="E6" i="10"/>
  <c r="E9" i="10"/>
  <c r="E15" i="10"/>
  <c r="F6" i="10"/>
  <c r="F9" i="10"/>
  <c r="AJ13" i="10"/>
  <c r="AL13" i="10" s="1"/>
  <c r="AJ8" i="10"/>
  <c r="AL8" i="10" s="1"/>
  <c r="F12" i="10"/>
  <c r="F15" i="10"/>
  <c r="U38" i="24"/>
  <c r="U40" i="28"/>
  <c r="U34" i="29"/>
  <c r="U38" i="30"/>
  <c r="Y40" i="31"/>
  <c r="U37" i="23"/>
  <c r="U40" i="23"/>
  <c r="AJ7" i="10"/>
  <c r="AL7" i="10" s="1"/>
  <c r="X40" i="14"/>
  <c r="AJ17" i="10"/>
  <c r="U33" i="22"/>
  <c r="U38" i="22"/>
  <c r="AD7" i="10"/>
  <c r="K12" i="10"/>
  <c r="X34" i="11"/>
  <c r="F10" i="10"/>
  <c r="F16" i="10"/>
  <c r="V35" i="25"/>
  <c r="Y42" i="25"/>
  <c r="J10" i="10"/>
  <c r="T14" i="10"/>
  <c r="Y17" i="10"/>
  <c r="AE17" i="10"/>
  <c r="Y39" i="26"/>
  <c r="Y36" i="28"/>
  <c r="Y38" i="30"/>
  <c r="V34" i="33"/>
  <c r="E7" i="10"/>
  <c r="E13" i="10"/>
  <c r="J9" i="10"/>
  <c r="E16" i="10"/>
  <c r="T11" i="10"/>
  <c r="AD13" i="10"/>
  <c r="P13" i="10"/>
  <c r="Z13" i="10"/>
  <c r="Z14" i="10"/>
  <c r="P16" i="10"/>
  <c r="Z17" i="10"/>
  <c r="E10" i="10"/>
  <c r="U7" i="10"/>
  <c r="O9" i="10"/>
  <c r="AD10" i="10"/>
  <c r="Y11" i="10"/>
  <c r="T12" i="10"/>
  <c r="O13" i="10"/>
  <c r="AI13" i="10"/>
  <c r="Y14" i="10"/>
  <c r="K15" i="10"/>
  <c r="AI15" i="10"/>
  <c r="Y16" i="10"/>
  <c r="AD16" i="10"/>
  <c r="O17" i="10"/>
  <c r="T17" i="10"/>
  <c r="U34" i="34"/>
  <c r="O15" i="10"/>
  <c r="K17" i="10"/>
  <c r="AJ6" i="10"/>
  <c r="AL6" i="10" s="1"/>
  <c r="K8" i="10"/>
  <c r="Y8" i="10"/>
  <c r="AE8" i="10"/>
  <c r="Z9" i="10"/>
  <c r="K10" i="10"/>
  <c r="AI10" i="10"/>
  <c r="P11" i="10"/>
  <c r="U12" i="10"/>
  <c r="AE12" i="10"/>
  <c r="Y13" i="10"/>
  <c r="Z15" i="10"/>
  <c r="Z16" i="10"/>
  <c r="P17" i="10"/>
  <c r="AJ9" i="10"/>
  <c r="AL9" i="10" s="1"/>
  <c r="AJ12" i="10"/>
  <c r="AL12" i="10" s="1"/>
  <c r="AD15" i="10"/>
  <c r="T6" i="10"/>
  <c r="T9" i="10"/>
  <c r="AD11" i="10"/>
  <c r="T13" i="10"/>
  <c r="AD14" i="10"/>
  <c r="T15" i="10"/>
  <c r="AI17" i="10"/>
  <c r="AE10" i="10"/>
  <c r="Y12" i="10"/>
  <c r="J11" i="10"/>
  <c r="J16" i="10"/>
  <c r="P15" i="10"/>
  <c r="K6" i="10"/>
  <c r="U33" i="10" s="1"/>
  <c r="U6" i="10"/>
  <c r="AE6" i="10"/>
  <c r="O7" i="10"/>
  <c r="AI7" i="10"/>
  <c r="P8" i="10"/>
  <c r="AD8" i="10"/>
  <c r="K9" i="10"/>
  <c r="U9" i="10"/>
  <c r="AE9" i="10"/>
  <c r="P10" i="10"/>
  <c r="Z10" i="10"/>
  <c r="K11" i="10"/>
  <c r="AI11" i="10"/>
  <c r="P12" i="10"/>
  <c r="Z12" i="10"/>
  <c r="K13" i="10"/>
  <c r="U13" i="10"/>
  <c r="O14" i="10"/>
  <c r="AI14" i="10"/>
  <c r="U15" i="10"/>
  <c r="K16" i="10"/>
  <c r="U16" i="10"/>
  <c r="O10" i="10"/>
  <c r="Y15" i="10"/>
  <c r="O6" i="10"/>
  <c r="Z6" i="10"/>
  <c r="P7" i="10"/>
  <c r="Z7" i="10"/>
  <c r="T8" i="10"/>
  <c r="P9" i="10"/>
  <c r="U10" i="10"/>
  <c r="Z11" i="10"/>
  <c r="P14" i="10"/>
  <c r="AE16" i="10"/>
  <c r="U17" i="10"/>
  <c r="AD17" i="10"/>
  <c r="J14" i="10"/>
  <c r="Y10" i="10"/>
  <c r="J8" i="10"/>
  <c r="T10" i="10"/>
  <c r="O11" i="10"/>
  <c r="O12" i="10"/>
  <c r="O8" i="10"/>
  <c r="AI8" i="10"/>
  <c r="AD9" i="10"/>
  <c r="AD12" i="10"/>
  <c r="AI16" i="10"/>
  <c r="AI12" i="10"/>
  <c r="AD6" i="10"/>
  <c r="T7" i="10"/>
  <c r="U11" i="10"/>
  <c r="U14" i="10"/>
  <c r="P6" i="10"/>
  <c r="Y6" i="10"/>
  <c r="T16" i="10"/>
  <c r="O16" i="10"/>
  <c r="J17" i="10"/>
  <c r="J6" i="10"/>
  <c r="K14" i="10"/>
  <c r="U8" i="10"/>
  <c r="AE15" i="10"/>
  <c r="J7" i="10"/>
  <c r="J13" i="10"/>
  <c r="J12" i="10"/>
  <c r="J15" i="10"/>
  <c r="Y9" i="10"/>
  <c r="AI6" i="10"/>
  <c r="AE14" i="10"/>
  <c r="Z8" i="10"/>
  <c r="AE13" i="10"/>
  <c r="AE11" i="10"/>
  <c r="AE7" i="10"/>
  <c r="AI9" i="10"/>
  <c r="Y7" i="10"/>
  <c r="U33" i="11"/>
  <c r="U35" i="11"/>
  <c r="U36" i="11"/>
  <c r="X33" i="14"/>
  <c r="Y33" i="14"/>
  <c r="W33" i="16"/>
  <c r="U34" i="16"/>
  <c r="U36" i="18"/>
  <c r="K7" i="10"/>
  <c r="CL36" i="9"/>
  <c r="AJ14" i="10"/>
  <c r="A11" i="24"/>
  <c r="A7" i="24"/>
  <c r="A10" i="24"/>
  <c r="A6" i="24"/>
  <c r="A13" i="24"/>
  <c r="A9" i="24"/>
  <c r="A8" i="24"/>
  <c r="A12" i="24"/>
  <c r="A11" i="32"/>
  <c r="A7" i="32"/>
  <c r="A10" i="32"/>
  <c r="A6" i="32"/>
  <c r="A13" i="32"/>
  <c r="A9" i="32"/>
  <c r="A8" i="32"/>
  <c r="A12" i="32"/>
  <c r="Q4" i="21"/>
  <c r="B4" i="21"/>
  <c r="V4" i="21"/>
  <c r="AA4" i="21"/>
  <c r="L4" i="21"/>
  <c r="G4" i="21"/>
  <c r="G4" i="25"/>
  <c r="B4" i="25"/>
  <c r="A11" i="26"/>
  <c r="A7" i="26"/>
  <c r="A10" i="26"/>
  <c r="A6" i="26"/>
  <c r="A13" i="26"/>
  <c r="A9" i="26"/>
  <c r="A12" i="26"/>
  <c r="A8" i="26"/>
  <c r="A11" i="30"/>
  <c r="A7" i="30"/>
  <c r="A10" i="30"/>
  <c r="A6" i="30"/>
  <c r="A13" i="30"/>
  <c r="A9" i="30"/>
  <c r="A8" i="30"/>
  <c r="AL12" i="30"/>
  <c r="AL7" i="30"/>
  <c r="A12" i="30"/>
  <c r="A11" i="34"/>
  <c r="A7" i="34"/>
  <c r="A10" i="34"/>
  <c r="A6" i="34"/>
  <c r="A13" i="34"/>
  <c r="A9" i="34"/>
  <c r="A8" i="34"/>
  <c r="A12" i="34"/>
  <c r="AF4" i="24"/>
  <c r="V4" i="24"/>
  <c r="B4" i="28"/>
  <c r="L4" i="28"/>
  <c r="Q4" i="30"/>
  <c r="AA4" i="30"/>
  <c r="L4" i="32"/>
  <c r="AF4" i="32"/>
  <c r="AF4" i="34"/>
  <c r="G4" i="34"/>
  <c r="A11" i="28"/>
  <c r="A7" i="28"/>
  <c r="A10" i="28"/>
  <c r="A6" i="28"/>
  <c r="A13" i="28"/>
  <c r="A9" i="28"/>
  <c r="A12" i="28"/>
  <c r="A8" i="28"/>
  <c r="L4" i="25"/>
  <c r="V4" i="25"/>
  <c r="A11" i="27"/>
  <c r="A7" i="27"/>
  <c r="A10" i="27"/>
  <c r="A6" i="27"/>
  <c r="A13" i="27"/>
  <c r="A9" i="27"/>
  <c r="A12" i="27"/>
  <c r="A8" i="27"/>
  <c r="A11" i="31"/>
  <c r="A7" i="31"/>
  <c r="A10" i="31"/>
  <c r="A6" i="31"/>
  <c r="A13" i="31"/>
  <c r="A9" i="31"/>
  <c r="A12" i="31"/>
  <c r="A8" i="31"/>
  <c r="A11" i="35"/>
  <c r="A7" i="35"/>
  <c r="A10" i="35"/>
  <c r="A6" i="35"/>
  <c r="A13" i="35"/>
  <c r="A9" i="35"/>
  <c r="A12" i="35"/>
  <c r="A8" i="35"/>
  <c r="Q4" i="18"/>
  <c r="B4" i="18"/>
  <c r="L4" i="18"/>
  <c r="AA4" i="18"/>
  <c r="V4" i="18"/>
  <c r="AF4" i="18"/>
  <c r="AA4" i="25"/>
  <c r="Q4" i="16"/>
  <c r="G4" i="16"/>
  <c r="L4" i="16"/>
  <c r="V4" i="16"/>
  <c r="AA4" i="16"/>
  <c r="B4" i="16"/>
  <c r="V4" i="22"/>
  <c r="G4" i="22"/>
  <c r="B4" i="22"/>
  <c r="AF4" i="22"/>
  <c r="Q4" i="22"/>
  <c r="A11" i="15"/>
  <c r="A7" i="15"/>
  <c r="A10" i="15"/>
  <c r="A6" i="15"/>
  <c r="A13" i="15"/>
  <c r="A9" i="15"/>
  <c r="A12" i="15"/>
  <c r="A8" i="15"/>
  <c r="V4" i="14"/>
  <c r="AF4" i="14"/>
  <c r="B4" i="14"/>
  <c r="Q4" i="14"/>
  <c r="G4" i="14"/>
  <c r="AF4" i="35"/>
  <c r="B4" i="27"/>
  <c r="V4" i="33"/>
  <c r="AF4" i="29"/>
  <c r="A11" i="25"/>
  <c r="A7" i="25"/>
  <c r="A10" i="25"/>
  <c r="A6" i="25"/>
  <c r="A13" i="25"/>
  <c r="A9" i="25"/>
  <c r="A12" i="25"/>
  <c r="A8" i="25"/>
  <c r="A11" i="29"/>
  <c r="A7" i="29"/>
  <c r="A10" i="29"/>
  <c r="A6" i="29"/>
  <c r="A13" i="29"/>
  <c r="A9" i="29"/>
  <c r="A12" i="29"/>
  <c r="A8" i="29"/>
  <c r="A11" i="33"/>
  <c r="A7" i="33"/>
  <c r="A10" i="33"/>
  <c r="A6" i="33"/>
  <c r="A13" i="33"/>
  <c r="A9" i="33"/>
  <c r="A12" i="33"/>
  <c r="A8" i="33"/>
  <c r="L4" i="11"/>
  <c r="B4" i="11"/>
  <c r="AA4" i="11"/>
  <c r="Q4" i="11"/>
  <c r="AF4" i="11"/>
  <c r="V4" i="11"/>
  <c r="A11" i="23"/>
  <c r="A7" i="23"/>
  <c r="A10" i="23"/>
  <c r="A6" i="23"/>
  <c r="A13" i="23"/>
  <c r="A9" i="23"/>
  <c r="A12" i="23"/>
  <c r="A8" i="23"/>
  <c r="AA4" i="23"/>
  <c r="V4" i="23"/>
  <c r="AF4" i="23"/>
  <c r="A11" i="13"/>
  <c r="A7" i="13"/>
  <c r="A10" i="13"/>
  <c r="A6" i="13"/>
  <c r="A13" i="13"/>
  <c r="A9" i="13"/>
  <c r="A12" i="13"/>
  <c r="A8" i="13"/>
  <c r="A11" i="14"/>
  <c r="A7" i="14"/>
  <c r="A10" i="14"/>
  <c r="A6" i="14"/>
  <c r="A13" i="14"/>
  <c r="A9" i="14"/>
  <c r="A8" i="14"/>
  <c r="A12" i="14"/>
  <c r="A11" i="21"/>
  <c r="A7" i="21"/>
  <c r="A10" i="21"/>
  <c r="A6" i="21"/>
  <c r="A13" i="21"/>
  <c r="A9" i="21"/>
  <c r="A12" i="21"/>
  <c r="A8" i="21"/>
  <c r="A11" i="22"/>
  <c r="A7" i="22"/>
  <c r="A10" i="22"/>
  <c r="A6" i="22"/>
  <c r="A13" i="22"/>
  <c r="A9" i="22"/>
  <c r="A8" i="22"/>
  <c r="AA4" i="19"/>
  <c r="B4" i="19"/>
  <c r="A11" i="11"/>
  <c r="A7" i="11"/>
  <c r="A10" i="11"/>
  <c r="A6" i="11"/>
  <c r="A13" i="11"/>
  <c r="A9" i="11"/>
  <c r="A12" i="11"/>
  <c r="A8" i="11"/>
  <c r="A11" i="17"/>
  <c r="A7" i="17"/>
  <c r="A10" i="17"/>
  <c r="A6" i="17"/>
  <c r="A13" i="17"/>
  <c r="A9" i="17"/>
  <c r="A12" i="17"/>
  <c r="A8" i="17"/>
  <c r="A11" i="18"/>
  <c r="A7" i="18"/>
  <c r="A10" i="18"/>
  <c r="A6" i="18"/>
  <c r="A13" i="18"/>
  <c r="A9" i="18"/>
  <c r="A12" i="18"/>
  <c r="A8" i="18"/>
  <c r="L4" i="20"/>
  <c r="V4" i="20"/>
  <c r="A11" i="19"/>
  <c r="A7" i="19"/>
  <c r="A10" i="19"/>
  <c r="A6" i="19"/>
  <c r="A13" i="19"/>
  <c r="A9" i="19"/>
  <c r="A12" i="19"/>
  <c r="A8" i="19"/>
  <c r="A11" i="12"/>
  <c r="A7" i="12"/>
  <c r="A10" i="12"/>
  <c r="A6" i="12"/>
  <c r="A13" i="12"/>
  <c r="A9" i="12"/>
  <c r="A12" i="12"/>
  <c r="A11" i="16"/>
  <c r="A7" i="16"/>
  <c r="A10" i="16"/>
  <c r="A6" i="16"/>
  <c r="A13" i="16"/>
  <c r="A9" i="16"/>
  <c r="A8" i="16"/>
  <c r="A12" i="16"/>
  <c r="A11" i="20"/>
  <c r="A7" i="20"/>
  <c r="A10" i="20"/>
  <c r="A6" i="20"/>
  <c r="A13" i="20"/>
  <c r="A9" i="20"/>
  <c r="A12" i="20"/>
  <c r="A8" i="12"/>
  <c r="A8" i="20"/>
  <c r="E6" i="14" l="1"/>
  <c r="AK6" i="14" s="1"/>
  <c r="F44" i="9" s="1"/>
  <c r="U40" i="10"/>
  <c r="U36" i="10"/>
  <c r="U35" i="10"/>
  <c r="U34" i="32"/>
  <c r="U38" i="17"/>
  <c r="U38" i="12"/>
  <c r="Y38" i="14"/>
  <c r="V39" i="32"/>
  <c r="U33" i="13"/>
  <c r="H46" i="9"/>
  <c r="U37" i="16"/>
  <c r="R61" i="9"/>
  <c r="R53" i="9"/>
  <c r="J48" i="9"/>
  <c r="U34" i="10"/>
  <c r="P58" i="9"/>
  <c r="R47" i="9"/>
  <c r="T56" i="9"/>
  <c r="N59" i="9"/>
  <c r="R57" i="9"/>
  <c r="H54" i="9"/>
  <c r="T41" i="9"/>
  <c r="L46" i="9"/>
  <c r="H42" i="9"/>
  <c r="R65" i="9"/>
  <c r="Z65" i="9"/>
  <c r="T64" i="9"/>
  <c r="N55" i="9"/>
  <c r="L60" i="9"/>
  <c r="J51" i="9"/>
  <c r="L49" i="9"/>
  <c r="N51" i="9"/>
  <c r="P50" i="9"/>
  <c r="P41" i="9"/>
  <c r="H44" i="9"/>
  <c r="F46" i="9"/>
  <c r="H62" i="9"/>
  <c r="L63" i="9"/>
  <c r="N62" i="9"/>
  <c r="T59" i="9"/>
  <c r="F65" i="9"/>
  <c r="N61" i="9"/>
  <c r="T44" i="9"/>
  <c r="T65" i="9"/>
  <c r="R58" i="9"/>
  <c r="N48" i="9"/>
  <c r="N63" i="9"/>
  <c r="H48" i="9"/>
  <c r="L52" i="9"/>
  <c r="J46" i="9"/>
  <c r="V59" i="9"/>
  <c r="H56" i="9"/>
  <c r="T61" i="9"/>
  <c r="T60" i="9"/>
  <c r="L51" i="9"/>
  <c r="H43" i="9"/>
  <c r="L45" i="9"/>
  <c r="J49" i="9"/>
  <c r="P44" i="9"/>
  <c r="H64" i="9"/>
  <c r="F58" i="9"/>
  <c r="P52" i="9"/>
  <c r="P65" i="9"/>
  <c r="K32" i="32"/>
  <c r="R56" i="9"/>
  <c r="F57" i="9"/>
  <c r="J55" i="9"/>
  <c r="H60" i="9"/>
  <c r="J45" i="9"/>
  <c r="J53" i="9"/>
  <c r="N47" i="9"/>
  <c r="H55" i="9"/>
  <c r="F48" i="9"/>
  <c r="F60" i="9"/>
  <c r="R44" i="9"/>
  <c r="P62" i="9"/>
  <c r="L42" i="9"/>
  <c r="J41" i="9"/>
  <c r="H50" i="9"/>
  <c r="P45" i="9"/>
  <c r="P48" i="9"/>
  <c r="P64" i="9"/>
  <c r="F62" i="9"/>
  <c r="P56" i="9"/>
  <c r="F51" i="9"/>
  <c r="L59" i="9"/>
  <c r="P60" i="9"/>
  <c r="F53" i="9"/>
  <c r="L54" i="9"/>
  <c r="P42" i="9"/>
  <c r="J58" i="9"/>
  <c r="L44" i="9"/>
  <c r="L61" i="9"/>
  <c r="R54" i="9"/>
  <c r="L41" i="9"/>
  <c r="T51" i="9"/>
  <c r="N42" i="9"/>
  <c r="H58" i="9"/>
  <c r="Z37" i="12"/>
  <c r="AL10" i="12"/>
  <c r="Z33" i="15"/>
  <c r="AL6" i="15"/>
  <c r="L50" i="9"/>
  <c r="H51" i="9"/>
  <c r="L47" i="9"/>
  <c r="R46" i="9"/>
  <c r="R43" i="9"/>
  <c r="P53" i="9"/>
  <c r="R64" i="9"/>
  <c r="P61" i="9"/>
  <c r="T55" i="9"/>
  <c r="F59" i="9"/>
  <c r="F54" i="9"/>
  <c r="T50" i="9"/>
  <c r="R59" i="9"/>
  <c r="H52" i="9"/>
  <c r="F45" i="9"/>
  <c r="N44" i="9"/>
  <c r="R49" i="9"/>
  <c r="J61" i="9"/>
  <c r="N65" i="9"/>
  <c r="J54" i="9"/>
  <c r="J65" i="9"/>
  <c r="N64" i="9"/>
  <c r="T57" i="9"/>
  <c r="T47" i="9"/>
  <c r="L56" i="9"/>
  <c r="J47" i="9"/>
  <c r="J43" i="9"/>
  <c r="J63" i="9"/>
  <c r="AB54" i="9"/>
  <c r="F43" i="9"/>
  <c r="N58" i="9"/>
  <c r="H53" i="9"/>
  <c r="J64" i="9"/>
  <c r="H61" i="9"/>
  <c r="L55" i="9"/>
  <c r="F55" i="9"/>
  <c r="F50" i="9"/>
  <c r="R63" i="9"/>
  <c r="N43" i="9"/>
  <c r="H47" i="9"/>
  <c r="X63" i="9"/>
  <c r="N60" i="9"/>
  <c r="L57" i="9"/>
  <c r="T53" i="9"/>
  <c r="P51" i="9"/>
  <c r="T45" i="9"/>
  <c r="N50" i="9"/>
  <c r="H41" i="9"/>
  <c r="P54" i="9"/>
  <c r="J56" i="9"/>
  <c r="P46" i="9"/>
  <c r="R51" i="9"/>
  <c r="T46" i="9"/>
  <c r="T43" i="9"/>
  <c r="R50" i="9"/>
  <c r="U33" i="18"/>
  <c r="J59" i="9"/>
  <c r="X65" i="9"/>
  <c r="P57" i="9"/>
  <c r="F42" i="9"/>
  <c r="V57" i="9"/>
  <c r="J50" i="9"/>
  <c r="T48" i="9"/>
  <c r="F64" i="9"/>
  <c r="J62" i="9"/>
  <c r="P47" i="9"/>
  <c r="P63" i="9"/>
  <c r="X59" i="9"/>
  <c r="N56" i="9"/>
  <c r="L53" i="9"/>
  <c r="T52" i="9"/>
  <c r="H65" i="9"/>
  <c r="T54" i="9"/>
  <c r="R42" i="9"/>
  <c r="J57" i="9"/>
  <c r="N41" i="9"/>
  <c r="N46" i="9"/>
  <c r="N45" i="9"/>
  <c r="T42" i="9"/>
  <c r="T58" i="9"/>
  <c r="N53" i="9"/>
  <c r="F61" i="9"/>
  <c r="F47" i="9"/>
  <c r="R52" i="9"/>
  <c r="T63" i="9"/>
  <c r="R60" i="9"/>
  <c r="H57" i="9"/>
  <c r="N54" i="9"/>
  <c r="N57" i="9"/>
  <c r="F49" i="9"/>
  <c r="J44" i="9"/>
  <c r="L48" i="9"/>
  <c r="F56" i="9"/>
  <c r="P59" i="9"/>
  <c r="V52" i="9"/>
  <c r="P49" i="9"/>
  <c r="H45" i="9"/>
  <c r="R48" i="9"/>
  <c r="N49" i="9"/>
  <c r="U36" i="19"/>
  <c r="L58" i="9"/>
  <c r="F41" i="9"/>
  <c r="J52" i="9"/>
  <c r="F63" i="9"/>
  <c r="J60" i="9"/>
  <c r="L62" i="9"/>
  <c r="R55" i="9"/>
  <c r="J42" i="9"/>
  <c r="L43" i="9"/>
  <c r="R45" i="9"/>
  <c r="R41" i="9"/>
  <c r="F52" i="9"/>
  <c r="L65" i="9"/>
  <c r="R62" i="9"/>
  <c r="H59" i="9"/>
  <c r="P55" i="9"/>
  <c r="N52" i="9"/>
  <c r="T49" i="9"/>
  <c r="P43" i="9"/>
  <c r="H63" i="9"/>
  <c r="H49" i="9"/>
  <c r="AB60" i="9"/>
  <c r="L64" i="9"/>
  <c r="Y35" i="12"/>
  <c r="U39" i="23"/>
  <c r="Z42" i="27"/>
  <c r="Z40" i="28"/>
  <c r="Z35" i="34"/>
  <c r="Z34" i="30"/>
  <c r="U34" i="20"/>
  <c r="U35" i="12"/>
  <c r="U37" i="12"/>
  <c r="Y41" i="26"/>
  <c r="U33" i="15"/>
  <c r="U33" i="19"/>
  <c r="U37" i="30"/>
  <c r="U36" i="15"/>
  <c r="U34" i="13"/>
  <c r="U34" i="33"/>
  <c r="U38" i="13"/>
  <c r="U35" i="16"/>
  <c r="U40" i="15"/>
  <c r="U40" i="11"/>
  <c r="U40" i="19"/>
  <c r="U39" i="20"/>
  <c r="U33" i="31"/>
  <c r="U38" i="21"/>
  <c r="U39" i="16"/>
  <c r="U33" i="35"/>
  <c r="U33" i="23"/>
  <c r="U37" i="13"/>
  <c r="U37" i="21"/>
  <c r="U40" i="18"/>
  <c r="Z38" i="10"/>
  <c r="Z37" i="10"/>
  <c r="U39" i="15"/>
  <c r="U39" i="19"/>
  <c r="U33" i="34"/>
  <c r="U40" i="14"/>
  <c r="U38" i="20"/>
  <c r="U39" i="11"/>
  <c r="U38" i="10"/>
  <c r="U34" i="12"/>
  <c r="W41" i="34"/>
  <c r="Z44" i="33"/>
  <c r="Z40" i="25"/>
  <c r="Z33" i="25"/>
  <c r="Z41" i="31"/>
  <c r="Z39" i="31"/>
  <c r="Z43" i="27"/>
  <c r="Z39" i="26"/>
  <c r="Z43" i="32"/>
  <c r="Z43" i="24"/>
  <c r="U35" i="26"/>
  <c r="Y35" i="24"/>
  <c r="U39" i="27"/>
  <c r="V40" i="35"/>
  <c r="Y37" i="33"/>
  <c r="U37" i="33"/>
  <c r="U35" i="19"/>
  <c r="U37" i="29"/>
  <c r="U36" i="22"/>
  <c r="U34" i="28"/>
  <c r="U36" i="26"/>
  <c r="U38" i="32"/>
  <c r="Z38" i="35"/>
  <c r="U36" i="30"/>
  <c r="U35" i="21"/>
  <c r="Y35" i="14"/>
  <c r="X34" i="13"/>
  <c r="Z36" i="18"/>
  <c r="U40" i="24"/>
  <c r="Y40" i="11"/>
  <c r="Y36" i="16"/>
  <c r="Y37" i="14"/>
  <c r="X40" i="13"/>
  <c r="X44" i="12"/>
  <c r="Z43" i="16"/>
  <c r="Z40" i="18"/>
  <c r="Z35" i="23"/>
  <c r="Z41" i="23"/>
  <c r="Z38" i="33"/>
  <c r="Z38" i="29"/>
  <c r="Z43" i="29"/>
  <c r="Z34" i="27"/>
  <c r="Z37" i="26"/>
  <c r="U35" i="32"/>
  <c r="U34" i="30"/>
  <c r="W42" i="29"/>
  <c r="Z38" i="25"/>
  <c r="Z36" i="28"/>
  <c r="Z41" i="26"/>
  <c r="Z39" i="24"/>
  <c r="Z41" i="24"/>
  <c r="U38" i="29"/>
  <c r="X43" i="31"/>
  <c r="U39" i="28"/>
  <c r="Y44" i="25"/>
  <c r="U37" i="25"/>
  <c r="X39" i="11"/>
  <c r="Y44" i="13"/>
  <c r="Z42" i="25"/>
  <c r="W43" i="31"/>
  <c r="Z44" i="25"/>
  <c r="Z35" i="31"/>
  <c r="Z33" i="31"/>
  <c r="Z40" i="30"/>
  <c r="Z34" i="32"/>
  <c r="Z35" i="24"/>
  <c r="X34" i="23"/>
  <c r="W43" i="21"/>
  <c r="W34" i="21"/>
  <c r="V34" i="27"/>
  <c r="Z42" i="12"/>
  <c r="Z33" i="18"/>
  <c r="Z39" i="23"/>
  <c r="Z42" i="33"/>
  <c r="Z44" i="15"/>
  <c r="Z41" i="27"/>
  <c r="Z37" i="28"/>
  <c r="Z44" i="28"/>
  <c r="Z41" i="28"/>
  <c r="Z39" i="32"/>
  <c r="Y39" i="28"/>
  <c r="U40" i="26"/>
  <c r="Y37" i="26"/>
  <c r="U39" i="25"/>
  <c r="W37" i="25"/>
  <c r="U36" i="24"/>
  <c r="Y33" i="24"/>
  <c r="W34" i="27"/>
  <c r="Y36" i="13"/>
  <c r="Y34" i="28"/>
  <c r="Y43" i="14"/>
  <c r="Y35" i="25"/>
  <c r="U34" i="31"/>
  <c r="Y41" i="30"/>
  <c r="Y34" i="27"/>
  <c r="X35" i="35"/>
  <c r="Y40" i="35"/>
  <c r="Y35" i="35"/>
  <c r="V36" i="33"/>
  <c r="Y37" i="28"/>
  <c r="Y41" i="27"/>
  <c r="Y35" i="26"/>
  <c r="Z43" i="23"/>
  <c r="Z34" i="29"/>
  <c r="Z39" i="15"/>
  <c r="Z37" i="31"/>
  <c r="Z41" i="30"/>
  <c r="Z44" i="26"/>
  <c r="Y43" i="29"/>
  <c r="Y44" i="26"/>
  <c r="Y33" i="26"/>
  <c r="Y43" i="23"/>
  <c r="Y40" i="13"/>
  <c r="X40" i="11"/>
  <c r="Z40" i="10"/>
  <c r="U35" i="33"/>
  <c r="U40" i="31"/>
  <c r="U36" i="31"/>
  <c r="V39" i="30"/>
  <c r="U39" i="30"/>
  <c r="Y34" i="29"/>
  <c r="Y41" i="28"/>
  <c r="Y40" i="33"/>
  <c r="Z35" i="12"/>
  <c r="Z40" i="29"/>
  <c r="Z37" i="23"/>
  <c r="Z35" i="25"/>
  <c r="Z43" i="31"/>
  <c r="Z36" i="27"/>
  <c r="Z38" i="27"/>
  <c r="Z39" i="28"/>
  <c r="Z34" i="28"/>
  <c r="Z43" i="30"/>
  <c r="Z35" i="26"/>
  <c r="V40" i="24"/>
  <c r="Y36" i="27"/>
  <c r="U34" i="25"/>
  <c r="X37" i="14"/>
  <c r="X36" i="13"/>
  <c r="X35" i="12"/>
  <c r="V40" i="26"/>
  <c r="W42" i="32"/>
  <c r="V36" i="31"/>
  <c r="Y40" i="29"/>
  <c r="U36" i="33"/>
  <c r="V35" i="32"/>
  <c r="V37" i="30"/>
  <c r="Y44" i="28"/>
  <c r="Y38" i="27"/>
  <c r="Y37" i="23"/>
  <c r="X42" i="10"/>
  <c r="X41" i="33"/>
  <c r="U34" i="18"/>
  <c r="V38" i="25"/>
  <c r="W39" i="32"/>
  <c r="V40" i="30"/>
  <c r="V33" i="28"/>
  <c r="Y35" i="27"/>
  <c r="Y44" i="23"/>
  <c r="Y41" i="33"/>
  <c r="U39" i="31"/>
  <c r="Z40" i="23"/>
  <c r="Z41" i="29"/>
  <c r="Y44" i="31"/>
  <c r="X37" i="29"/>
  <c r="Y36" i="24"/>
  <c r="Y36" i="23"/>
  <c r="Z40" i="33"/>
  <c r="Z42" i="15"/>
  <c r="Z35" i="15"/>
  <c r="Z34" i="31"/>
  <c r="Z36" i="30"/>
  <c r="Z38" i="30"/>
  <c r="Z39" i="30"/>
  <c r="Z42" i="26"/>
  <c r="Z35" i="32"/>
  <c r="Z36" i="32"/>
  <c r="Z42" i="24"/>
  <c r="Y44" i="32"/>
  <c r="U38" i="28"/>
  <c r="U39" i="29"/>
  <c r="W43" i="30"/>
  <c r="U33" i="30"/>
  <c r="W35" i="28"/>
  <c r="U36" i="27"/>
  <c r="U34" i="27"/>
  <c r="U33" i="27"/>
  <c r="U37" i="26"/>
  <c r="Y43" i="25"/>
  <c r="Y39" i="25"/>
  <c r="Y36" i="25"/>
  <c r="U35" i="25"/>
  <c r="U39" i="24"/>
  <c r="U35" i="24"/>
  <c r="Y40" i="23"/>
  <c r="W43" i="29"/>
  <c r="V40" i="29"/>
  <c r="U36" i="29"/>
  <c r="Z37" i="29"/>
  <c r="U35" i="34"/>
  <c r="W43" i="35"/>
  <c r="W34" i="30"/>
  <c r="Y44" i="27"/>
  <c r="V35" i="27"/>
  <c r="Y38" i="33"/>
  <c r="X37" i="33"/>
  <c r="X39" i="27"/>
  <c r="U38" i="33"/>
  <c r="V39" i="28"/>
  <c r="V34" i="28"/>
  <c r="U40" i="29"/>
  <c r="U38" i="27"/>
  <c r="U37" i="24"/>
  <c r="W40" i="35"/>
  <c r="W44" i="35"/>
  <c r="W40" i="34"/>
  <c r="X33" i="33"/>
  <c r="V38" i="29"/>
  <c r="Y40" i="25"/>
  <c r="Y33" i="23"/>
  <c r="X43" i="19"/>
  <c r="U33" i="32"/>
  <c r="U37" i="34"/>
  <c r="Y44" i="33"/>
  <c r="V33" i="32"/>
  <c r="U35" i="30"/>
  <c r="Y43" i="27"/>
  <c r="W34" i="33"/>
  <c r="V40" i="33"/>
  <c r="X39" i="32"/>
  <c r="Y36" i="30"/>
  <c r="Y38" i="25"/>
  <c r="Y33" i="25"/>
  <c r="X42" i="27"/>
  <c r="Z34" i="10"/>
  <c r="Y42" i="34"/>
  <c r="W40" i="33"/>
  <c r="Y40" i="30"/>
  <c r="Y43" i="24"/>
  <c r="Y39" i="24"/>
  <c r="X44" i="20"/>
  <c r="Y44" i="15"/>
  <c r="Z34" i="18"/>
  <c r="Z40" i="17"/>
  <c r="Z44" i="11"/>
  <c r="Z38" i="11"/>
  <c r="X37" i="32"/>
  <c r="Y38" i="31"/>
  <c r="Y33" i="30"/>
  <c r="Y36" i="35"/>
  <c r="Y37" i="32"/>
  <c r="U37" i="20"/>
  <c r="V38" i="32"/>
  <c r="V34" i="31"/>
  <c r="X37" i="25"/>
  <c r="Y35" i="23"/>
  <c r="V38" i="27"/>
  <c r="W41" i="33"/>
  <c r="U39" i="33"/>
  <c r="U37" i="27"/>
  <c r="Y42" i="35"/>
  <c r="X38" i="14"/>
  <c r="Y41" i="13"/>
  <c r="X37" i="11"/>
  <c r="X42" i="35"/>
  <c r="X38" i="33"/>
  <c r="Y43" i="35"/>
  <c r="Z39" i="25"/>
  <c r="U39" i="17"/>
  <c r="Y37" i="34"/>
  <c r="V38" i="26"/>
  <c r="X40" i="31"/>
  <c r="Y39" i="15"/>
  <c r="Z38" i="14"/>
  <c r="Z35" i="33"/>
  <c r="Z41" i="25"/>
  <c r="Z42" i="31"/>
  <c r="Z44" i="30"/>
  <c r="Z44" i="32"/>
  <c r="Z44" i="24"/>
  <c r="V35" i="34"/>
  <c r="U35" i="27"/>
  <c r="U38" i="26"/>
  <c r="U34" i="24"/>
  <c r="U38" i="23"/>
  <c r="Y37" i="11"/>
  <c r="X34" i="14"/>
  <c r="Y37" i="13"/>
  <c r="Y33" i="13"/>
  <c r="X36" i="12"/>
  <c r="Z35" i="10"/>
  <c r="V39" i="33"/>
  <c r="V39" i="29"/>
  <c r="Y34" i="24"/>
  <c r="Y37" i="17"/>
  <c r="Z41" i="33"/>
  <c r="Z42" i="29"/>
  <c r="Z36" i="29"/>
  <c r="Z40" i="31"/>
  <c r="Z36" i="31"/>
  <c r="Z44" i="27"/>
  <c r="Z37" i="34"/>
  <c r="Z35" i="30"/>
  <c r="Z42" i="32"/>
  <c r="Z40" i="24"/>
  <c r="Z34" i="24"/>
  <c r="U39" i="18"/>
  <c r="U33" i="29"/>
  <c r="Z37" i="17"/>
  <c r="U38" i="31"/>
  <c r="W36" i="24"/>
  <c r="U36" i="23"/>
  <c r="X42" i="11"/>
  <c r="X37" i="13"/>
  <c r="X33" i="13"/>
  <c r="Y42" i="11"/>
  <c r="U40" i="32"/>
  <c r="X34" i="30"/>
  <c r="Y37" i="30"/>
  <c r="U35" i="29"/>
  <c r="V37" i="27"/>
  <c r="V33" i="27"/>
  <c r="V34" i="26"/>
  <c r="V40" i="32"/>
  <c r="V38" i="31"/>
  <c r="W34" i="25"/>
  <c r="Y42" i="24"/>
  <c r="V34" i="24"/>
  <c r="Z43" i="25"/>
  <c r="Z37" i="25"/>
  <c r="Z37" i="30"/>
  <c r="Z40" i="26"/>
  <c r="Z38" i="32"/>
  <c r="Z38" i="24"/>
  <c r="Y38" i="24"/>
  <c r="Y40" i="26"/>
  <c r="U34" i="26"/>
  <c r="Y34" i="14"/>
  <c r="X41" i="13"/>
  <c r="U40" i="12"/>
  <c r="U36" i="25"/>
  <c r="Y35" i="30"/>
  <c r="Y34" i="31"/>
  <c r="Y42" i="29"/>
  <c r="Y42" i="26"/>
  <c r="Y40" i="24"/>
  <c r="Y33" i="29"/>
  <c r="Z39" i="12"/>
  <c r="Y39" i="12"/>
  <c r="Z42" i="20"/>
  <c r="Z34" i="19"/>
  <c r="Z38" i="19"/>
  <c r="Z35" i="14"/>
  <c r="Z38" i="23"/>
  <c r="Z44" i="23"/>
  <c r="Z39" i="29"/>
  <c r="Z35" i="29"/>
  <c r="Z35" i="27"/>
  <c r="Z37" i="27"/>
  <c r="Z35" i="28"/>
  <c r="Z36" i="26"/>
  <c r="W39" i="18"/>
  <c r="V37" i="16"/>
  <c r="Y33" i="28"/>
  <c r="Y42" i="13"/>
  <c r="X38" i="13"/>
  <c r="X38" i="12"/>
  <c r="Y38" i="11"/>
  <c r="U39" i="32"/>
  <c r="U36" i="32"/>
  <c r="Y42" i="30"/>
  <c r="Y38" i="28"/>
  <c r="Y35" i="28"/>
  <c r="Y38" i="26"/>
  <c r="Y42" i="12"/>
  <c r="Z34" i="25"/>
  <c r="Z36" i="23"/>
  <c r="Z42" i="23"/>
  <c r="Z44" i="29"/>
  <c r="Z33" i="29"/>
  <c r="Z39" i="27"/>
  <c r="Z42" i="28"/>
  <c r="Z38" i="28"/>
  <c r="Z41" i="34"/>
  <c r="Z34" i="26"/>
  <c r="U33" i="28"/>
  <c r="U35" i="31"/>
  <c r="Y37" i="27"/>
  <c r="U40" i="25"/>
  <c r="U33" i="25"/>
  <c r="W40" i="13"/>
  <c r="X35" i="14"/>
  <c r="Y38" i="13"/>
  <c r="Y34" i="13"/>
  <c r="X43" i="11"/>
  <c r="U38" i="34"/>
  <c r="V38" i="34"/>
  <c r="U33" i="33"/>
  <c r="V36" i="32"/>
  <c r="V39" i="31"/>
  <c r="Y39" i="29"/>
  <c r="Y35" i="29"/>
  <c r="V35" i="24"/>
  <c r="U39" i="10"/>
  <c r="Z37" i="14"/>
  <c r="Z37" i="13"/>
  <c r="Z39" i="33"/>
  <c r="Z36" i="25"/>
  <c r="Z44" i="31"/>
  <c r="Z42" i="30"/>
  <c r="Z38" i="26"/>
  <c r="Z36" i="24"/>
  <c r="Y34" i="26"/>
  <c r="Y43" i="18"/>
  <c r="Y33" i="27"/>
  <c r="U38" i="25"/>
  <c r="Y34" i="25"/>
  <c r="W34" i="14"/>
  <c r="W36" i="28"/>
  <c r="X38" i="11"/>
  <c r="Y40" i="14"/>
  <c r="X42" i="13"/>
  <c r="Y38" i="12"/>
  <c r="Y43" i="11"/>
  <c r="Y43" i="10"/>
  <c r="Y36" i="26"/>
  <c r="V35" i="23"/>
  <c r="Y33" i="22"/>
  <c r="X36" i="21"/>
  <c r="V33" i="33"/>
  <c r="U40" i="30"/>
  <c r="M32" i="35"/>
  <c r="Y42" i="27"/>
  <c r="Y39" i="27"/>
  <c r="V39" i="24"/>
  <c r="V37" i="15"/>
  <c r="Y43" i="16"/>
  <c r="Z37" i="15"/>
  <c r="U33" i="24"/>
  <c r="X44" i="13"/>
  <c r="Y39" i="13"/>
  <c r="Y44" i="11"/>
  <c r="Z43" i="33"/>
  <c r="W39" i="14"/>
  <c r="V33" i="15"/>
  <c r="X44" i="15"/>
  <c r="X42" i="14"/>
  <c r="Y36" i="14"/>
  <c r="X35" i="13"/>
  <c r="X44" i="11"/>
  <c r="U37" i="35"/>
  <c r="Y43" i="33"/>
  <c r="Y35" i="13"/>
  <c r="Y39" i="11"/>
  <c r="X36" i="14"/>
  <c r="X42" i="12"/>
  <c r="Y33" i="11"/>
  <c r="V37" i="35"/>
  <c r="V33" i="24"/>
  <c r="V37" i="34"/>
  <c r="W42" i="17"/>
  <c r="V38" i="17"/>
  <c r="X33" i="11"/>
  <c r="Y44" i="12"/>
  <c r="X44" i="30"/>
  <c r="W44" i="30"/>
  <c r="Z37" i="19"/>
  <c r="Z34" i="17"/>
  <c r="Z40" i="22"/>
  <c r="Z34" i="23"/>
  <c r="Z41" i="35"/>
  <c r="V33" i="10"/>
  <c r="W44" i="28"/>
  <c r="Y39" i="20"/>
  <c r="Y42" i="10"/>
  <c r="W43" i="32"/>
  <c r="Y40" i="18"/>
  <c r="W40" i="22"/>
  <c r="Y33" i="16"/>
  <c r="W36" i="10"/>
  <c r="Z41" i="20"/>
  <c r="W35" i="24"/>
  <c r="X42" i="17"/>
  <c r="X38" i="17"/>
  <c r="Z35" i="20"/>
  <c r="Z44" i="12"/>
  <c r="Z37" i="21"/>
  <c r="Z40" i="13"/>
  <c r="Z44" i="13"/>
  <c r="Z34" i="15"/>
  <c r="Z43" i="10"/>
  <c r="W40" i="14"/>
  <c r="X43" i="28"/>
  <c r="W34" i="10"/>
  <c r="X36" i="31"/>
  <c r="Z41" i="11"/>
  <c r="Z44" i="14"/>
  <c r="Z38" i="13"/>
  <c r="X34" i="19"/>
  <c r="X41" i="27"/>
  <c r="V35" i="18"/>
  <c r="Y35" i="17"/>
  <c r="V37" i="22"/>
  <c r="W33" i="30"/>
  <c r="X43" i="18"/>
  <c r="X36" i="10"/>
  <c r="W36" i="35"/>
  <c r="X33" i="35"/>
  <c r="W36" i="33"/>
  <c r="Y33" i="34"/>
  <c r="Z35" i="22"/>
  <c r="Z33" i="22"/>
  <c r="Z41" i="14"/>
  <c r="Z43" i="35"/>
  <c r="Z35" i="35"/>
  <c r="Z43" i="34"/>
  <c r="Z39" i="34"/>
  <c r="W38" i="11"/>
  <c r="Y41" i="21"/>
  <c r="U35" i="23"/>
  <c r="Y43" i="28"/>
  <c r="X35" i="26"/>
  <c r="W33" i="10"/>
  <c r="U38" i="35"/>
  <c r="X34" i="10"/>
  <c r="Y34" i="19"/>
  <c r="X34" i="31"/>
  <c r="X42" i="29"/>
  <c r="W41" i="21"/>
  <c r="W42" i="25"/>
  <c r="X37" i="23"/>
  <c r="X37" i="24"/>
  <c r="X33" i="23"/>
  <c r="W43" i="19"/>
  <c r="W36" i="19"/>
  <c r="Z34" i="16"/>
  <c r="Z35" i="11"/>
  <c r="Z43" i="22"/>
  <c r="Z33" i="21"/>
  <c r="Z34" i="21"/>
  <c r="Z44" i="21"/>
  <c r="Z33" i="23"/>
  <c r="Z40" i="15"/>
  <c r="Z41" i="10"/>
  <c r="Y44" i="16"/>
  <c r="V40" i="16"/>
  <c r="Y35" i="16"/>
  <c r="X40" i="10"/>
  <c r="X37" i="35"/>
  <c r="Y44" i="34"/>
  <c r="X33" i="30"/>
  <c r="Z37" i="16"/>
  <c r="Z39" i="16"/>
  <c r="Z33" i="19"/>
  <c r="Z43" i="21"/>
  <c r="U34" i="11"/>
  <c r="W41" i="22"/>
  <c r="U34" i="22"/>
  <c r="Y42" i="21"/>
  <c r="Y43" i="19"/>
  <c r="X35" i="19"/>
  <c r="W33" i="27"/>
  <c r="W41" i="25"/>
  <c r="Y38" i="20"/>
  <c r="U36" i="34"/>
  <c r="W40" i="21"/>
  <c r="Z35" i="16"/>
  <c r="Z39" i="22"/>
  <c r="Z38" i="31"/>
  <c r="Z40" i="34"/>
  <c r="V34" i="25"/>
  <c r="X43" i="20"/>
  <c r="X38" i="19"/>
  <c r="X44" i="16"/>
  <c r="W44" i="10"/>
  <c r="W43" i="34"/>
  <c r="Y41" i="18"/>
  <c r="Z40" i="16"/>
  <c r="Z38" i="34"/>
  <c r="Y33" i="21"/>
  <c r="X35" i="20"/>
  <c r="Y37" i="22"/>
  <c r="Y38" i="19"/>
  <c r="X40" i="25"/>
  <c r="W37" i="18"/>
  <c r="X44" i="17"/>
  <c r="Y40" i="17"/>
  <c r="Y36" i="17"/>
  <c r="X33" i="17"/>
  <c r="V35" i="15"/>
  <c r="Y42" i="14"/>
  <c r="U40" i="35"/>
  <c r="W35" i="10"/>
  <c r="U34" i="35"/>
  <c r="Y35" i="20"/>
  <c r="Z44" i="16"/>
  <c r="W44" i="15"/>
  <c r="W41" i="15"/>
  <c r="Z41" i="22"/>
  <c r="Z37" i="22"/>
  <c r="W33" i="33"/>
  <c r="Y43" i="22"/>
  <c r="V34" i="22"/>
  <c r="X38" i="21"/>
  <c r="Y35" i="19"/>
  <c r="X44" i="18"/>
  <c r="X41" i="18"/>
  <c r="Y35" i="11"/>
  <c r="W39" i="22"/>
  <c r="X42" i="24"/>
  <c r="V37" i="18"/>
  <c r="Y44" i="17"/>
  <c r="X36" i="17"/>
  <c r="Y33" i="17"/>
  <c r="X35" i="16"/>
  <c r="W35" i="15"/>
  <c r="Y43" i="20"/>
  <c r="Y44" i="18"/>
  <c r="Y37" i="24"/>
  <c r="Y41" i="22"/>
  <c r="U36" i="21"/>
  <c r="X36" i="34"/>
  <c r="U37" i="10"/>
  <c r="Y40" i="22"/>
  <c r="X40" i="19"/>
  <c r="Y39" i="18"/>
  <c r="V33" i="35"/>
  <c r="Y33" i="20"/>
  <c r="Z42" i="22"/>
  <c r="Z38" i="12"/>
  <c r="Z36" i="19"/>
  <c r="Z35" i="21"/>
  <c r="Z39" i="13"/>
  <c r="Z36" i="33"/>
  <c r="W41" i="12"/>
  <c r="Y44" i="19"/>
  <c r="W41" i="11"/>
  <c r="X39" i="26"/>
  <c r="Y34" i="35"/>
  <c r="X44" i="34"/>
  <c r="W39" i="33"/>
  <c r="X40" i="32"/>
  <c r="X34" i="35"/>
  <c r="Y37" i="25"/>
  <c r="Z37" i="18"/>
  <c r="V40" i="10"/>
  <c r="F32" i="32"/>
  <c r="Z40" i="12"/>
  <c r="Z44" i="20"/>
  <c r="Z43" i="11"/>
  <c r="Z38" i="21"/>
  <c r="Z43" i="14"/>
  <c r="Z39" i="35"/>
  <c r="V36" i="19"/>
  <c r="X36" i="11"/>
  <c r="Z39" i="19"/>
  <c r="V37" i="13"/>
  <c r="X41" i="28"/>
  <c r="W38" i="16"/>
  <c r="V35" i="10"/>
  <c r="U34" i="23"/>
  <c r="Y36" i="34"/>
  <c r="Y40" i="32"/>
  <c r="X38" i="30"/>
  <c r="X34" i="29"/>
  <c r="Y37" i="35"/>
  <c r="Y38" i="35"/>
  <c r="X33" i="34"/>
  <c r="Z44" i="10"/>
  <c r="X39" i="20"/>
  <c r="Y42" i="18"/>
  <c r="X39" i="18"/>
  <c r="W43" i="23"/>
  <c r="W33" i="17"/>
  <c r="W41" i="20"/>
  <c r="X41" i="22"/>
  <c r="X40" i="21"/>
  <c r="Y34" i="17"/>
  <c r="U40" i="33"/>
  <c r="U33" i="21"/>
  <c r="Z43" i="12"/>
  <c r="Y43" i="12"/>
  <c r="Z41" i="19"/>
  <c r="Z44" i="17"/>
  <c r="Z42" i="34"/>
  <c r="W43" i="15"/>
  <c r="Y34" i="21"/>
  <c r="W33" i="11"/>
  <c r="Y35" i="18"/>
  <c r="X34" i="17"/>
  <c r="X42" i="16"/>
  <c r="X38" i="16"/>
  <c r="X33" i="16"/>
  <c r="X39" i="15"/>
  <c r="X44" i="14"/>
  <c r="X42" i="34"/>
  <c r="Z38" i="22"/>
  <c r="W43" i="10"/>
  <c r="V39" i="10"/>
  <c r="Z34" i="12"/>
  <c r="W40" i="12"/>
  <c r="Z42" i="19"/>
  <c r="Z36" i="17"/>
  <c r="Z36" i="22"/>
  <c r="Z44" i="22"/>
  <c r="W36" i="25"/>
  <c r="Y44" i="22"/>
  <c r="V37" i="19"/>
  <c r="Y33" i="19"/>
  <c r="X42" i="18"/>
  <c r="V36" i="18"/>
  <c r="W34" i="16"/>
  <c r="X35" i="18"/>
  <c r="Y42" i="17"/>
  <c r="Y38" i="17"/>
  <c r="Y44" i="14"/>
  <c r="Y38" i="22"/>
  <c r="X33" i="20"/>
  <c r="X33" i="28"/>
  <c r="V33" i="21"/>
  <c r="Y44" i="10"/>
  <c r="Y34" i="23"/>
  <c r="Y39" i="22"/>
  <c r="Y38" i="21"/>
  <c r="X34" i="21"/>
  <c r="Y40" i="19"/>
  <c r="X36" i="19"/>
  <c r="V39" i="35"/>
  <c r="V39" i="22"/>
  <c r="X41" i="21"/>
  <c r="X40" i="20"/>
  <c r="Y41" i="19"/>
  <c r="X34" i="15"/>
  <c r="U36" i="12"/>
  <c r="W41" i="32"/>
  <c r="W40" i="10"/>
  <c r="V36" i="35"/>
  <c r="Y40" i="34"/>
  <c r="Y41" i="34"/>
  <c r="Z37" i="20"/>
  <c r="W41" i="18"/>
  <c r="W43" i="11"/>
  <c r="Y35" i="22"/>
  <c r="Y37" i="19"/>
  <c r="X33" i="25"/>
  <c r="X40" i="24"/>
  <c r="W38" i="22"/>
  <c r="Y43" i="17"/>
  <c r="Y39" i="17"/>
  <c r="X40" i="15"/>
  <c r="U33" i="12"/>
  <c r="U38" i="19"/>
  <c r="W39" i="31"/>
  <c r="X44" i="10"/>
  <c r="X44" i="24"/>
  <c r="U39" i="22"/>
  <c r="U37" i="22"/>
  <c r="Y34" i="20"/>
  <c r="X36" i="23"/>
  <c r="V35" i="19"/>
  <c r="Z38" i="20"/>
  <c r="Y36" i="18"/>
  <c r="X43" i="17"/>
  <c r="X39" i="17"/>
  <c r="Y39" i="16"/>
  <c r="Y34" i="16"/>
  <c r="Y34" i="15"/>
  <c r="X41" i="14"/>
  <c r="Y34" i="30"/>
  <c r="L32" i="33"/>
  <c r="Z35" i="19"/>
  <c r="Z44" i="19"/>
  <c r="Z44" i="34"/>
  <c r="Y43" i="21"/>
  <c r="W43" i="26"/>
  <c r="X38" i="23"/>
  <c r="Y36" i="21"/>
  <c r="V34" i="21"/>
  <c r="X34" i="20"/>
  <c r="X40" i="18"/>
  <c r="W37" i="35"/>
  <c r="X36" i="18"/>
  <c r="X35" i="17"/>
  <c r="X43" i="16"/>
  <c r="X39" i="16"/>
  <c r="X34" i="16"/>
  <c r="Y40" i="15"/>
  <c r="Y41" i="14"/>
  <c r="Y37" i="29"/>
  <c r="U36" i="35"/>
  <c r="W39" i="34"/>
  <c r="W42" i="33"/>
  <c r="W42" i="28"/>
  <c r="Y40" i="20"/>
  <c r="X37" i="19"/>
  <c r="W39" i="17"/>
  <c r="Y36" i="10"/>
  <c r="X39" i="10"/>
  <c r="U35" i="14"/>
  <c r="W44" i="29"/>
  <c r="U33" i="20"/>
  <c r="V40" i="21"/>
  <c r="X38" i="20"/>
  <c r="X38" i="18"/>
  <c r="X37" i="17"/>
  <c r="X43" i="14"/>
  <c r="Z36" i="16"/>
  <c r="U39" i="34"/>
  <c r="X44" i="19"/>
  <c r="W34" i="23"/>
  <c r="X44" i="28"/>
  <c r="V39" i="18"/>
  <c r="U40" i="22"/>
  <c r="X36" i="22"/>
  <c r="Y34" i="22"/>
  <c r="Y44" i="21"/>
  <c r="Y39" i="19"/>
  <c r="Y36" i="19"/>
  <c r="Y43" i="26"/>
  <c r="X35" i="28"/>
  <c r="Y34" i="18"/>
  <c r="X40" i="16"/>
  <c r="U36" i="16"/>
  <c r="W37" i="15"/>
  <c r="Y44" i="20"/>
  <c r="Y36" i="33"/>
  <c r="W35" i="32"/>
  <c r="W38" i="31"/>
  <c r="W37" i="30"/>
  <c r="X34" i="34"/>
  <c r="Z40" i="19"/>
  <c r="Z34" i="22"/>
  <c r="X40" i="35"/>
  <c r="Z44" i="35"/>
  <c r="Z43" i="28"/>
  <c r="X35" i="30"/>
  <c r="X34" i="24"/>
  <c r="W42" i="23"/>
  <c r="X38" i="28"/>
  <c r="X34" i="28"/>
  <c r="X43" i="26"/>
  <c r="X42" i="25"/>
  <c r="W35" i="25"/>
  <c r="V37" i="20"/>
  <c r="Y40" i="16"/>
  <c r="Y41" i="17"/>
  <c r="V34" i="35"/>
  <c r="W34" i="35"/>
  <c r="Y33" i="33"/>
  <c r="Y39" i="35"/>
  <c r="Y41" i="35"/>
  <c r="V38" i="22"/>
  <c r="Y40" i="21"/>
  <c r="V33" i="19"/>
  <c r="Z40" i="20"/>
  <c r="Z42" i="11"/>
  <c r="Z36" i="13"/>
  <c r="Z43" i="13"/>
  <c r="X39" i="23"/>
  <c r="X39" i="19"/>
  <c r="Y38" i="18"/>
  <c r="V40" i="20"/>
  <c r="W37" i="19"/>
  <c r="W44" i="20"/>
  <c r="X34" i="18"/>
  <c r="X36" i="16"/>
  <c r="AK6" i="10"/>
  <c r="X44" i="21"/>
  <c r="Y34" i="34"/>
  <c r="W38" i="29"/>
  <c r="U35" i="18"/>
  <c r="Y41" i="10"/>
  <c r="V35" i="35"/>
  <c r="V39" i="34"/>
  <c r="AK14" i="10"/>
  <c r="W35" i="35"/>
  <c r="X34" i="33"/>
  <c r="U37" i="11"/>
  <c r="Z39" i="10"/>
  <c r="V38" i="10"/>
  <c r="Z35" i="18"/>
  <c r="Z43" i="17"/>
  <c r="X39" i="34"/>
  <c r="X42" i="28"/>
  <c r="W39" i="10"/>
  <c r="U40" i="21"/>
  <c r="W34" i="11"/>
  <c r="X36" i="24"/>
  <c r="X44" i="23"/>
  <c r="W36" i="16"/>
  <c r="U40" i="16"/>
  <c r="V34" i="30"/>
  <c r="U39" i="35"/>
  <c r="Y34" i="33"/>
  <c r="Y41" i="32"/>
  <c r="X41" i="35"/>
  <c r="X40" i="30"/>
  <c r="V38" i="35"/>
  <c r="Z44" i="18"/>
  <c r="Z33" i="35"/>
  <c r="W42" i="20"/>
  <c r="U35" i="35"/>
  <c r="Z41" i="18"/>
  <c r="W33" i="14"/>
  <c r="W44" i="22"/>
  <c r="W42" i="11"/>
  <c r="Y40" i="27"/>
  <c r="W37" i="27"/>
  <c r="W44" i="24"/>
  <c r="X35" i="29"/>
  <c r="X39" i="29"/>
  <c r="X41" i="32"/>
  <c r="Z43" i="20"/>
  <c r="Z40" i="21"/>
  <c r="Z37" i="35"/>
  <c r="W40" i="29"/>
  <c r="W44" i="21"/>
  <c r="V40" i="19"/>
  <c r="X44" i="27"/>
  <c r="X40" i="27"/>
  <c r="W42" i="26"/>
  <c r="Y35" i="10"/>
  <c r="Y44" i="35"/>
  <c r="W38" i="35"/>
  <c r="W38" i="32"/>
  <c r="W34" i="31"/>
  <c r="X33" i="21"/>
  <c r="W44" i="25"/>
  <c r="W40" i="25"/>
  <c r="W43" i="14"/>
  <c r="W44" i="13"/>
  <c r="W40" i="16"/>
  <c r="X33" i="10"/>
  <c r="W41" i="30"/>
  <c r="Y33" i="35"/>
  <c r="X44" i="31"/>
  <c r="Z43" i="26"/>
  <c r="W39" i="27"/>
  <c r="W42" i="21"/>
  <c r="W43" i="17"/>
  <c r="W41" i="14"/>
  <c r="W42" i="12"/>
  <c r="W40" i="32"/>
  <c r="Y39" i="32"/>
  <c r="W44" i="32"/>
  <c r="Z43" i="18"/>
  <c r="W44" i="17"/>
  <c r="W35" i="16"/>
  <c r="W34" i="13"/>
  <c r="W41" i="10"/>
  <c r="X36" i="30"/>
  <c r="U38" i="14"/>
  <c r="Y36" i="31"/>
  <c r="X40" i="33"/>
  <c r="W37" i="13"/>
  <c r="U40" i="20"/>
  <c r="V37" i="10"/>
  <c r="H32" i="35"/>
  <c r="W38" i="15"/>
  <c r="W41" i="23"/>
  <c r="Z36" i="20"/>
  <c r="U37" i="18"/>
  <c r="X35" i="10"/>
  <c r="X39" i="30"/>
  <c r="U36" i="20"/>
  <c r="Y39" i="10"/>
  <c r="Y38" i="23"/>
  <c r="W38" i="18"/>
  <c r="W37" i="17"/>
  <c r="W35" i="17"/>
  <c r="W37" i="10"/>
  <c r="Z40" i="27"/>
  <c r="W35" i="14"/>
  <c r="W43" i="16"/>
  <c r="X36" i="35"/>
  <c r="U38" i="11"/>
  <c r="AK11" i="10"/>
  <c r="L32" i="35"/>
  <c r="W39" i="30"/>
  <c r="AK16" i="10"/>
  <c r="AK17" i="10"/>
  <c r="Y38" i="10"/>
  <c r="Z36" i="10"/>
  <c r="Z33" i="10"/>
  <c r="AK15" i="10"/>
  <c r="U36" i="17"/>
  <c r="U39" i="14"/>
  <c r="W44" i="16"/>
  <c r="W35" i="34"/>
  <c r="X33" i="22"/>
  <c r="W41" i="28"/>
  <c r="U38" i="18"/>
  <c r="AK7" i="10"/>
  <c r="W42" i="10"/>
  <c r="Z39" i="18"/>
  <c r="Z39" i="14"/>
  <c r="Z41" i="13"/>
  <c r="Z38" i="15"/>
  <c r="Z42" i="35"/>
  <c r="Y34" i="10"/>
  <c r="W41" i="24"/>
  <c r="W36" i="23"/>
  <c r="W42" i="22"/>
  <c r="U34" i="19"/>
  <c r="W44" i="11"/>
  <c r="W42" i="19"/>
  <c r="W42" i="16"/>
  <c r="F32" i="16"/>
  <c r="W38" i="14"/>
  <c r="W36" i="31"/>
  <c r="AK9" i="10"/>
  <c r="X38" i="10"/>
  <c r="W41" i="35"/>
  <c r="Y44" i="30"/>
  <c r="W44" i="33"/>
  <c r="X42" i="31"/>
  <c r="X41" i="30"/>
  <c r="X38" i="29"/>
  <c r="W33" i="35"/>
  <c r="Y33" i="10"/>
  <c r="AK10" i="10"/>
  <c r="Z34" i="20"/>
  <c r="Z38" i="18"/>
  <c r="Z35" i="17"/>
  <c r="Z42" i="14"/>
  <c r="Z42" i="13"/>
  <c r="Z41" i="15"/>
  <c r="Z36" i="35"/>
  <c r="W43" i="20"/>
  <c r="W44" i="14"/>
  <c r="B45" i="10"/>
  <c r="X41" i="24"/>
  <c r="V36" i="20"/>
  <c r="X40" i="22"/>
  <c r="W42" i="15"/>
  <c r="W39" i="28"/>
  <c r="AK12" i="10"/>
  <c r="W44" i="34"/>
  <c r="V36" i="10"/>
  <c r="W38" i="34"/>
  <c r="W35" i="33"/>
  <c r="W42" i="31"/>
  <c r="AK13" i="10"/>
  <c r="X43" i="33"/>
  <c r="AK8" i="10"/>
  <c r="Z42" i="18"/>
  <c r="Z43" i="15"/>
  <c r="Z34" i="35"/>
  <c r="X41" i="10"/>
  <c r="Z37" i="32"/>
  <c r="W40" i="24"/>
  <c r="U34" i="15"/>
  <c r="X44" i="32"/>
  <c r="X40" i="29"/>
  <c r="W41" i="31"/>
  <c r="W39" i="21"/>
  <c r="W36" i="14"/>
  <c r="W40" i="11"/>
  <c r="W40" i="30"/>
  <c r="W33" i="15"/>
  <c r="V40" i="13"/>
  <c r="W39" i="13"/>
  <c r="X39" i="12"/>
  <c r="W42" i="35"/>
  <c r="W36" i="30"/>
  <c r="W36" i="32"/>
  <c r="X37" i="34"/>
  <c r="X38" i="35"/>
  <c r="X36" i="33"/>
  <c r="Z39" i="21"/>
  <c r="Z33" i="33"/>
  <c r="V34" i="10"/>
  <c r="X43" i="10"/>
  <c r="Y39" i="34"/>
  <c r="L32" i="29"/>
  <c r="K32" i="29"/>
  <c r="W44" i="27"/>
  <c r="W43" i="25"/>
  <c r="X41" i="25"/>
  <c r="Y40" i="10"/>
  <c r="W35" i="13"/>
  <c r="W42" i="14"/>
  <c r="W37" i="14"/>
  <c r="X39" i="13"/>
  <c r="W37" i="34"/>
  <c r="W33" i="32"/>
  <c r="W33" i="28"/>
  <c r="X44" i="35"/>
  <c r="W43" i="33"/>
  <c r="W41" i="29"/>
  <c r="U37" i="32"/>
  <c r="W39" i="29"/>
  <c r="X40" i="34"/>
  <c r="X41" i="34"/>
  <c r="V40" i="34"/>
  <c r="U40" i="34"/>
  <c r="Z39" i="20"/>
  <c r="Z40" i="14"/>
  <c r="Z42" i="17"/>
  <c r="Z39" i="11"/>
  <c r="Z42" i="21"/>
  <c r="Z41" i="21"/>
  <c r="Z36" i="14"/>
  <c r="Z37" i="33"/>
  <c r="Y41" i="24"/>
  <c r="W33" i="21"/>
  <c r="B67" i="10"/>
  <c r="Z40" i="32"/>
  <c r="W35" i="18"/>
  <c r="V38" i="11"/>
  <c r="X37" i="10"/>
  <c r="W41" i="27"/>
  <c r="W37" i="24"/>
  <c r="X42" i="22"/>
  <c r="W40" i="27"/>
  <c r="W34" i="17"/>
  <c r="W43" i="13"/>
  <c r="U40" i="13"/>
  <c r="W38" i="26"/>
  <c r="W41" i="16"/>
  <c r="W42" i="13"/>
  <c r="W36" i="13"/>
  <c r="X37" i="30"/>
  <c r="X43" i="35"/>
  <c r="Y38" i="29"/>
  <c r="V34" i="23"/>
  <c r="Z41" i="12"/>
  <c r="Z41" i="17"/>
  <c r="Z39" i="17"/>
  <c r="Z36" i="11"/>
  <c r="Z34" i="33"/>
  <c r="Z36" i="15"/>
  <c r="Z40" i="35"/>
  <c r="Z36" i="34"/>
  <c r="Z34" i="34"/>
  <c r="Z41" i="32"/>
  <c r="Z37" i="24"/>
  <c r="U38" i="15"/>
  <c r="U35" i="15"/>
  <c r="W35" i="29"/>
  <c r="W34" i="28"/>
  <c r="W41" i="26"/>
  <c r="W37" i="16"/>
  <c r="X43" i="27"/>
  <c r="W40" i="26"/>
  <c r="X36" i="26"/>
  <c r="V38" i="20"/>
  <c r="W43" i="18"/>
  <c r="W40" i="15"/>
  <c r="V33" i="30"/>
  <c r="Y42" i="31"/>
  <c r="W42" i="34"/>
  <c r="W44" i="31"/>
  <c r="X39" i="35"/>
  <c r="W39" i="35"/>
  <c r="X38" i="31"/>
  <c r="Y39" i="30"/>
  <c r="X44" i="33"/>
  <c r="Y37" i="10"/>
  <c r="W40" i="31"/>
  <c r="V40" i="31"/>
  <c r="X39" i="33"/>
  <c r="Y39" i="33"/>
  <c r="X35" i="33"/>
  <c r="Y35" i="33"/>
  <c r="X38" i="32"/>
  <c r="Y38" i="32"/>
  <c r="Y33" i="31"/>
  <c r="X33" i="31"/>
  <c r="W37" i="29"/>
  <c r="V37" i="29"/>
  <c r="Y38" i="34"/>
  <c r="X38" i="34"/>
  <c r="V34" i="34"/>
  <c r="W34" i="34"/>
  <c r="V37" i="31"/>
  <c r="W37" i="31"/>
  <c r="Y36" i="29"/>
  <c r="X36" i="29"/>
  <c r="W36" i="34"/>
  <c r="V36" i="34"/>
  <c r="Y35" i="34"/>
  <c r="X35" i="34"/>
  <c r="V37" i="33"/>
  <c r="W37" i="33"/>
  <c r="Y42" i="32"/>
  <c r="X42" i="32"/>
  <c r="Y36" i="32"/>
  <c r="X36" i="32"/>
  <c r="W34" i="32"/>
  <c r="V34" i="32"/>
  <c r="V38" i="30"/>
  <c r="W38" i="30"/>
  <c r="V35" i="33"/>
  <c r="V33" i="34"/>
  <c r="W33" i="34"/>
  <c r="Y42" i="33"/>
  <c r="X42" i="33"/>
  <c r="W38" i="33"/>
  <c r="V38" i="33"/>
  <c r="Y33" i="32"/>
  <c r="X33" i="32"/>
  <c r="W35" i="30"/>
  <c r="V35" i="30"/>
  <c r="V36" i="30"/>
  <c r="W43" i="22"/>
  <c r="X39" i="22"/>
  <c r="W36" i="18"/>
  <c r="Z42" i="10"/>
  <c r="W38" i="10"/>
  <c r="X34" i="27"/>
  <c r="W40" i="19"/>
  <c r="W42" i="27"/>
  <c r="K32" i="22"/>
  <c r="X35" i="25"/>
  <c r="W39" i="19"/>
  <c r="X43" i="22"/>
  <c r="X38" i="26"/>
  <c r="X39" i="28"/>
  <c r="X42" i="26"/>
  <c r="X44" i="25"/>
  <c r="X43" i="25"/>
  <c r="X34" i="25"/>
  <c r="V35" i="16"/>
  <c r="B67" i="14"/>
  <c r="V37" i="24"/>
  <c r="X34" i="22"/>
  <c r="W34" i="20"/>
  <c r="X33" i="26"/>
  <c r="V39" i="27"/>
  <c r="X37" i="26"/>
  <c r="V37" i="25"/>
  <c r="X42" i="21"/>
  <c r="U37" i="19"/>
  <c r="V39" i="19"/>
  <c r="A32" i="25"/>
  <c r="V36" i="24"/>
  <c r="H32" i="22"/>
  <c r="Y44" i="24"/>
  <c r="X37" i="22"/>
  <c r="X41" i="26"/>
  <c r="W38" i="17"/>
  <c r="X38" i="24"/>
  <c r="W37" i="20"/>
  <c r="Y39" i="23"/>
  <c r="X44" i="22"/>
  <c r="B67" i="16"/>
  <c r="X35" i="11"/>
  <c r="W36" i="29"/>
  <c r="V36" i="29"/>
  <c r="W37" i="28"/>
  <c r="X37" i="28"/>
  <c r="Z34" i="11"/>
  <c r="Y34" i="11"/>
  <c r="V37" i="14"/>
  <c r="U37" i="14"/>
  <c r="B67" i="13"/>
  <c r="Z36" i="12"/>
  <c r="Y36" i="12"/>
  <c r="B67" i="18"/>
  <c r="AM12" i="31"/>
  <c r="W43" i="12"/>
  <c r="X43" i="30"/>
  <c r="Y43" i="30"/>
  <c r="X38" i="27"/>
  <c r="W38" i="27"/>
  <c r="V33" i="20"/>
  <c r="W33" i="20"/>
  <c r="X44" i="26"/>
  <c r="W44" i="26"/>
  <c r="W37" i="22"/>
  <c r="V39" i="13"/>
  <c r="U39" i="13"/>
  <c r="V36" i="13"/>
  <c r="U36" i="13"/>
  <c r="Y43" i="34"/>
  <c r="X43" i="34"/>
  <c r="Z37" i="11"/>
  <c r="W42" i="30"/>
  <c r="X42" i="30"/>
  <c r="X34" i="32"/>
  <c r="Y34" i="32"/>
  <c r="Y41" i="31"/>
  <c r="X41" i="31"/>
  <c r="V35" i="31"/>
  <c r="W35" i="31"/>
  <c r="Y41" i="29"/>
  <c r="X41" i="29"/>
  <c r="V39" i="21"/>
  <c r="U39" i="21"/>
  <c r="X41" i="19"/>
  <c r="W41" i="19"/>
  <c r="X33" i="19"/>
  <c r="W33" i="19"/>
  <c r="W35" i="19"/>
  <c r="W41" i="17"/>
  <c r="X41" i="17"/>
  <c r="X40" i="17"/>
  <c r="W40" i="17"/>
  <c r="V40" i="17"/>
  <c r="U40" i="17"/>
  <c r="V33" i="17"/>
  <c r="U33" i="17"/>
  <c r="V38" i="16"/>
  <c r="U38" i="16"/>
  <c r="V34" i="14"/>
  <c r="U34" i="14"/>
  <c r="V33" i="14"/>
  <c r="U33" i="14"/>
  <c r="B67" i="35"/>
  <c r="B67" i="34"/>
  <c r="Y40" i="28"/>
  <c r="X40" i="28"/>
  <c r="W33" i="24"/>
  <c r="X33" i="24"/>
  <c r="X44" i="29"/>
  <c r="Y44" i="29"/>
  <c r="W36" i="27"/>
  <c r="V36" i="27"/>
  <c r="W37" i="26"/>
  <c r="V37" i="26"/>
  <c r="W36" i="26"/>
  <c r="V36" i="26"/>
  <c r="W39" i="25"/>
  <c r="V39" i="25"/>
  <c r="W40" i="23"/>
  <c r="V40" i="23"/>
  <c r="W35" i="23"/>
  <c r="X35" i="23"/>
  <c r="U34" i="21"/>
  <c r="V36" i="28"/>
  <c r="U36" i="28"/>
  <c r="V35" i="28"/>
  <c r="U35" i="28"/>
  <c r="Z38" i="16"/>
  <c r="Y38" i="16"/>
  <c r="Z33" i="12"/>
  <c r="W44" i="12"/>
  <c r="Z33" i="11"/>
  <c r="Z43" i="19"/>
  <c r="Z38" i="17"/>
  <c r="Z34" i="14"/>
  <c r="Z35" i="13"/>
  <c r="B67" i="11"/>
  <c r="Y43" i="31"/>
  <c r="W34" i="29"/>
  <c r="V34" i="29"/>
  <c r="V37" i="32"/>
  <c r="W37" i="32"/>
  <c r="V40" i="22"/>
  <c r="B67" i="26"/>
  <c r="W33" i="26"/>
  <c r="W33" i="25"/>
  <c r="W38" i="24"/>
  <c r="V38" i="24"/>
  <c r="W44" i="23"/>
  <c r="V39" i="23"/>
  <c r="W39" i="23"/>
  <c r="W35" i="22"/>
  <c r="W33" i="22"/>
  <c r="V33" i="22"/>
  <c r="V33" i="26"/>
  <c r="U33" i="26"/>
  <c r="Y41" i="25"/>
  <c r="W40" i="20"/>
  <c r="W39" i="15"/>
  <c r="W43" i="24"/>
  <c r="X43" i="24"/>
  <c r="Y42" i="22"/>
  <c r="W38" i="25"/>
  <c r="X38" i="25"/>
  <c r="W36" i="20"/>
  <c r="W40" i="18"/>
  <c r="X36" i="28"/>
  <c r="V40" i="27"/>
  <c r="U40" i="27"/>
  <c r="X37" i="27"/>
  <c r="W35" i="27"/>
  <c r="X35" i="27"/>
  <c r="X33" i="27"/>
  <c r="X40" i="26"/>
  <c r="U39" i="26"/>
  <c r="V39" i="26"/>
  <c r="X35" i="24"/>
  <c r="X38" i="22"/>
  <c r="Y36" i="22"/>
  <c r="W38" i="20"/>
  <c r="X43" i="23"/>
  <c r="V40" i="11"/>
  <c r="W43" i="27"/>
  <c r="V39" i="17"/>
  <c r="V37" i="17"/>
  <c r="U37" i="17"/>
  <c r="V35" i="17"/>
  <c r="U35" i="17"/>
  <c r="Z41" i="16"/>
  <c r="V34" i="16"/>
  <c r="V38" i="15"/>
  <c r="V36" i="14"/>
  <c r="U36" i="14"/>
  <c r="V38" i="13"/>
  <c r="V34" i="13"/>
  <c r="W43" i="28"/>
  <c r="X35" i="32"/>
  <c r="Y35" i="32"/>
  <c r="W33" i="29"/>
  <c r="V33" i="29"/>
  <c r="W42" i="24"/>
  <c r="W39" i="26"/>
  <c r="B67" i="25"/>
  <c r="X35" i="22"/>
  <c r="W38" i="21"/>
  <c r="W34" i="26"/>
  <c r="X34" i="26"/>
  <c r="X39" i="25"/>
  <c r="V33" i="25"/>
  <c r="V36" i="21"/>
  <c r="W36" i="21"/>
  <c r="W44" i="19"/>
  <c r="W41" i="13"/>
  <c r="V40" i="25"/>
  <c r="X43" i="29"/>
  <c r="W34" i="24"/>
  <c r="V35" i="22"/>
  <c r="Z42" i="16"/>
  <c r="V36" i="16"/>
  <c r="V33" i="16"/>
  <c r="U33" i="16"/>
  <c r="V40" i="14"/>
  <c r="V39" i="14"/>
  <c r="V38" i="14"/>
  <c r="V35" i="13"/>
  <c r="U35" i="13"/>
  <c r="Y43" i="32"/>
  <c r="X43" i="32"/>
  <c r="W38" i="28"/>
  <c r="V38" i="28"/>
  <c r="V40" i="28"/>
  <c r="W40" i="28"/>
  <c r="B67" i="28"/>
  <c r="V34" i="20"/>
  <c r="Z40" i="11"/>
  <c r="K32" i="27"/>
  <c r="W35" i="26"/>
  <c r="N32" i="24"/>
  <c r="W36" i="22"/>
  <c r="V36" i="22"/>
  <c r="W34" i="22"/>
  <c r="B67" i="29"/>
  <c r="W42" i="18"/>
  <c r="W38" i="13"/>
  <c r="V35" i="29"/>
  <c r="Y42" i="28"/>
  <c r="U37" i="28"/>
  <c r="V37" i="28"/>
  <c r="X36" i="27"/>
  <c r="V35" i="26"/>
  <c r="X36" i="25"/>
  <c r="W39" i="24"/>
  <c r="X39" i="24"/>
  <c r="X40" i="23"/>
  <c r="V36" i="23"/>
  <c r="Z36" i="21"/>
  <c r="W44" i="18"/>
  <c r="V36" i="25"/>
  <c r="V34" i="11"/>
  <c r="V38" i="21"/>
  <c r="V40" i="18"/>
  <c r="V38" i="18"/>
  <c r="V34" i="17"/>
  <c r="U34" i="17"/>
  <c r="Y42" i="16"/>
  <c r="V40" i="15"/>
  <c r="V39" i="15"/>
  <c r="V35" i="14"/>
  <c r="Z34" i="13"/>
  <c r="V33" i="11"/>
  <c r="V38" i="19"/>
  <c r="W38" i="19"/>
  <c r="W37" i="11"/>
  <c r="V37" i="11"/>
  <c r="X37" i="21"/>
  <c r="Y37" i="21"/>
  <c r="V39" i="20"/>
  <c r="W39" i="20"/>
  <c r="Y42" i="19"/>
  <c r="X42" i="19"/>
  <c r="Y41" i="16"/>
  <c r="X41" i="16"/>
  <c r="X41" i="12"/>
  <c r="Y41" i="12"/>
  <c r="V38" i="12"/>
  <c r="W38" i="12"/>
  <c r="W34" i="12"/>
  <c r="V34" i="12"/>
  <c r="V39" i="11"/>
  <c r="W39" i="11"/>
  <c r="Y36" i="11"/>
  <c r="B67" i="27"/>
  <c r="B67" i="24"/>
  <c r="X42" i="20"/>
  <c r="Y42" i="20"/>
  <c r="W34" i="18"/>
  <c r="V34" i="18"/>
  <c r="X41" i="15"/>
  <c r="Y41" i="15"/>
  <c r="V37" i="12"/>
  <c r="W37" i="12"/>
  <c r="B45" i="35"/>
  <c r="W35" i="21"/>
  <c r="V35" i="21"/>
  <c r="Y36" i="20"/>
  <c r="X36" i="20"/>
  <c r="W33" i="18"/>
  <c r="V33" i="18"/>
  <c r="X37" i="16"/>
  <c r="Y37" i="16"/>
  <c r="X38" i="15"/>
  <c r="Y38" i="15"/>
  <c r="X43" i="13"/>
  <c r="Y43" i="13"/>
  <c r="X40" i="12"/>
  <c r="Y40" i="12"/>
  <c r="W35" i="12"/>
  <c r="V35" i="12"/>
  <c r="X43" i="21"/>
  <c r="B67" i="33"/>
  <c r="B67" i="30"/>
  <c r="Y35" i="21"/>
  <c r="X35" i="21"/>
  <c r="X37" i="20"/>
  <c r="Y37" i="20"/>
  <c r="V39" i="16"/>
  <c r="W39" i="16"/>
  <c r="X39" i="14"/>
  <c r="Y39" i="14"/>
  <c r="Y33" i="12"/>
  <c r="X33" i="12"/>
  <c r="B45" i="29"/>
  <c r="X39" i="21"/>
  <c r="Y39" i="21"/>
  <c r="Y41" i="20"/>
  <c r="X41" i="20"/>
  <c r="V35" i="20"/>
  <c r="W35" i="20"/>
  <c r="X37" i="18"/>
  <c r="Y37" i="18"/>
  <c r="V36" i="17"/>
  <c r="W36" i="17"/>
  <c r="X43" i="15"/>
  <c r="Y43" i="15"/>
  <c r="Y36" i="15"/>
  <c r="X36" i="15"/>
  <c r="V33" i="13"/>
  <c r="W33" i="13"/>
  <c r="V39" i="12"/>
  <c r="W39" i="12"/>
  <c r="Y34" i="12"/>
  <c r="X34" i="12"/>
  <c r="Y41" i="11"/>
  <c r="X41" i="11"/>
  <c r="W35" i="11"/>
  <c r="V35" i="11"/>
  <c r="B67" i="17"/>
  <c r="B67" i="32"/>
  <c r="X33" i="29"/>
  <c r="B67" i="20"/>
  <c r="V40" i="12"/>
  <c r="B67" i="31"/>
  <c r="W38" i="23"/>
  <c r="V38" i="23"/>
  <c r="U37" i="31"/>
  <c r="B45" i="31"/>
  <c r="W33" i="12"/>
  <c r="V33" i="12"/>
  <c r="X33" i="18"/>
  <c r="Y33" i="18"/>
  <c r="Y37" i="31"/>
  <c r="X37" i="31"/>
  <c r="Y42" i="23"/>
  <c r="X42" i="23"/>
  <c r="W37" i="23"/>
  <c r="V37" i="23"/>
  <c r="B67" i="12"/>
  <c r="B67" i="15"/>
  <c r="X35" i="15"/>
  <c r="Y35" i="15"/>
  <c r="Y37" i="12"/>
  <c r="X37" i="12"/>
  <c r="Z33" i="17"/>
  <c r="B45" i="17"/>
  <c r="Z33" i="14"/>
  <c r="B45" i="14"/>
  <c r="Z33" i="13"/>
  <c r="B45" i="13"/>
  <c r="B45" i="30"/>
  <c r="Z33" i="30"/>
  <c r="B45" i="26"/>
  <c r="Z33" i="26"/>
  <c r="Z33" i="32"/>
  <c r="B45" i="32"/>
  <c r="V37" i="21"/>
  <c r="W37" i="21"/>
  <c r="B45" i="21"/>
  <c r="X41" i="23"/>
  <c r="Y41" i="23"/>
  <c r="B67" i="19"/>
  <c r="B67" i="21"/>
  <c r="B67" i="22"/>
  <c r="B45" i="11"/>
  <c r="W36" i="11"/>
  <c r="V36" i="11"/>
  <c r="X39" i="31"/>
  <c r="Y39" i="31"/>
  <c r="X35" i="31"/>
  <c r="Y35" i="31"/>
  <c r="W33" i="23"/>
  <c r="V33" i="23"/>
  <c r="B45" i="23"/>
  <c r="Z33" i="20"/>
  <c r="B45" i="20"/>
  <c r="Z33" i="16"/>
  <c r="B45" i="16"/>
  <c r="U37" i="15"/>
  <c r="B45" i="15"/>
  <c r="X33" i="15"/>
  <c r="Y33" i="15"/>
  <c r="B45" i="12"/>
  <c r="U39" i="12"/>
  <c r="V36" i="12"/>
  <c r="W36" i="12"/>
  <c r="B45" i="25"/>
  <c r="Z33" i="27"/>
  <c r="B45" i="27"/>
  <c r="W34" i="19"/>
  <c r="B45" i="19"/>
  <c r="U35" i="22"/>
  <c r="B45" i="22"/>
  <c r="W33" i="31"/>
  <c r="V33" i="31"/>
  <c r="B67" i="23"/>
  <c r="Y37" i="15"/>
  <c r="X37" i="15"/>
  <c r="B45" i="18"/>
  <c r="B45" i="33"/>
  <c r="X43" i="12"/>
  <c r="Z33" i="34"/>
  <c r="B45" i="34"/>
  <c r="X42" i="15"/>
  <c r="Y42" i="15"/>
  <c r="V36" i="15"/>
  <c r="W36" i="15"/>
  <c r="V34" i="15"/>
  <c r="W34" i="15"/>
  <c r="V34" i="19"/>
  <c r="Z33" i="28"/>
  <c r="B45" i="28"/>
  <c r="Z33" i="24"/>
  <c r="B45" i="24"/>
  <c r="N32" i="30" l="1"/>
  <c r="AM7" i="29"/>
  <c r="AM8" i="12"/>
  <c r="M32" i="14"/>
  <c r="Z44" i="9"/>
  <c r="L32" i="22"/>
  <c r="X52" i="9"/>
  <c r="M32" i="16"/>
  <c r="Z46" i="9"/>
  <c r="N32" i="32"/>
  <c r="AB62" i="9"/>
  <c r="K32" i="23"/>
  <c r="V53" i="9"/>
  <c r="K32" i="16"/>
  <c r="V46" i="9"/>
  <c r="M32" i="29"/>
  <c r="Z59" i="9"/>
  <c r="K32" i="20"/>
  <c r="V50" i="9"/>
  <c r="K32" i="13"/>
  <c r="V43" i="9"/>
  <c r="N32" i="34"/>
  <c r="AB64" i="9"/>
  <c r="K32" i="12"/>
  <c r="V42" i="9"/>
  <c r="N32" i="29"/>
  <c r="AB59" i="9"/>
  <c r="K32" i="25"/>
  <c r="V55" i="9"/>
  <c r="K32" i="33"/>
  <c r="V63" i="9"/>
  <c r="L32" i="15"/>
  <c r="X45" i="9"/>
  <c r="M32" i="24"/>
  <c r="Z54" i="9"/>
  <c r="L32" i="27"/>
  <c r="X57" i="9"/>
  <c r="N32" i="15"/>
  <c r="AB45" i="9"/>
  <c r="M32" i="34"/>
  <c r="Z64" i="9"/>
  <c r="K32" i="34"/>
  <c r="V64" i="9"/>
  <c r="L32" i="34"/>
  <c r="X64" i="9"/>
  <c r="M32" i="13"/>
  <c r="Z43" i="9"/>
  <c r="L32" i="28"/>
  <c r="X58" i="9"/>
  <c r="M32" i="28"/>
  <c r="Z58" i="9"/>
  <c r="M32" i="33"/>
  <c r="Z63" i="9"/>
  <c r="L32" i="25"/>
  <c r="X55" i="9"/>
  <c r="L32" i="23"/>
  <c r="X53" i="9"/>
  <c r="L32" i="32"/>
  <c r="X62" i="9"/>
  <c r="M32" i="32"/>
  <c r="Z62" i="9"/>
  <c r="K32" i="26"/>
  <c r="V56" i="9"/>
  <c r="L32" i="19"/>
  <c r="X49" i="9"/>
  <c r="K32" i="24"/>
  <c r="V54" i="9"/>
  <c r="N32" i="12"/>
  <c r="AB42" i="9"/>
  <c r="N32" i="18"/>
  <c r="AB48" i="9"/>
  <c r="L32" i="21"/>
  <c r="X51" i="9"/>
  <c r="M32" i="25"/>
  <c r="Z55" i="9"/>
  <c r="N32" i="17"/>
  <c r="AB47" i="9"/>
  <c r="N32" i="25"/>
  <c r="AB55" i="9"/>
  <c r="N32" i="31"/>
  <c r="AB61" i="9"/>
  <c r="M32" i="23"/>
  <c r="Z53" i="9"/>
  <c r="K32" i="11"/>
  <c r="V41" i="9"/>
  <c r="K32" i="14"/>
  <c r="V44" i="9"/>
  <c r="K32" i="15"/>
  <c r="V45" i="9"/>
  <c r="N32" i="28"/>
  <c r="AB58" i="9"/>
  <c r="N32" i="23"/>
  <c r="AB53" i="9"/>
  <c r="L32" i="30"/>
  <c r="X60" i="9"/>
  <c r="N32" i="35"/>
  <c r="AB65" i="9"/>
  <c r="L32" i="20"/>
  <c r="X50" i="9"/>
  <c r="M32" i="31"/>
  <c r="Z61" i="9"/>
  <c r="L32" i="14"/>
  <c r="X44" i="9"/>
  <c r="M32" i="11"/>
  <c r="Z41" i="9"/>
  <c r="M32" i="20"/>
  <c r="Z50" i="9"/>
  <c r="L32" i="12"/>
  <c r="X42" i="9"/>
  <c r="M32" i="30"/>
  <c r="Z60" i="9"/>
  <c r="L32" i="26"/>
  <c r="X56" i="9"/>
  <c r="N32" i="13"/>
  <c r="AB43" i="9"/>
  <c r="M32" i="19"/>
  <c r="Z49" i="9"/>
  <c r="L32" i="31"/>
  <c r="X61" i="9"/>
  <c r="N32" i="14"/>
  <c r="AB44" i="9"/>
  <c r="K32" i="31"/>
  <c r="V61" i="9"/>
  <c r="N32" i="26"/>
  <c r="AB56" i="9"/>
  <c r="K32" i="17"/>
  <c r="V47" i="9"/>
  <c r="N32" i="20"/>
  <c r="AB50" i="9"/>
  <c r="L32" i="13"/>
  <c r="X43" i="9"/>
  <c r="M32" i="15"/>
  <c r="Z45" i="9"/>
  <c r="N32" i="33"/>
  <c r="AB63" i="9"/>
  <c r="N32" i="16"/>
  <c r="AB46" i="9"/>
  <c r="L32" i="24"/>
  <c r="X54" i="9"/>
  <c r="K32" i="30"/>
  <c r="V60" i="9"/>
  <c r="K32" i="28"/>
  <c r="V58" i="9"/>
  <c r="M32" i="17"/>
  <c r="Z47" i="9"/>
  <c r="L32" i="17"/>
  <c r="X47" i="9"/>
  <c r="M32" i="12"/>
  <c r="Z42" i="9"/>
  <c r="K32" i="35"/>
  <c r="V65" i="9"/>
  <c r="N32" i="21"/>
  <c r="AB51" i="9"/>
  <c r="M32" i="26"/>
  <c r="Z56" i="9"/>
  <c r="L32" i="16"/>
  <c r="X46" i="9"/>
  <c r="N32" i="19"/>
  <c r="AB49" i="9"/>
  <c r="M32" i="21"/>
  <c r="Z51" i="9"/>
  <c r="M32" i="22"/>
  <c r="Z52" i="9"/>
  <c r="N32" i="22"/>
  <c r="AB52" i="9"/>
  <c r="L32" i="11"/>
  <c r="X41" i="9"/>
  <c r="K32" i="18"/>
  <c r="V48" i="9"/>
  <c r="K32" i="21"/>
  <c r="V51" i="9"/>
  <c r="N32" i="11"/>
  <c r="AB41" i="9"/>
  <c r="M32" i="27"/>
  <c r="Z57" i="9"/>
  <c r="M32" i="18"/>
  <c r="Z48" i="9"/>
  <c r="N32" i="27"/>
  <c r="AB57" i="9"/>
  <c r="L32" i="18"/>
  <c r="X48" i="9"/>
  <c r="K32" i="19"/>
  <c r="V49" i="9"/>
  <c r="B32" i="16"/>
  <c r="AM8" i="16"/>
  <c r="AM11" i="23"/>
  <c r="AM11" i="33"/>
  <c r="AM11" i="30"/>
  <c r="AM12" i="32"/>
  <c r="J32" i="22"/>
  <c r="AM6" i="19"/>
  <c r="H32" i="25"/>
  <c r="H32" i="18"/>
  <c r="G32" i="32"/>
  <c r="F32" i="30"/>
  <c r="A32" i="13"/>
  <c r="G32" i="14"/>
  <c r="AM12" i="23"/>
  <c r="J32" i="29"/>
  <c r="H32" i="23"/>
  <c r="A32" i="27"/>
  <c r="AM11" i="31"/>
  <c r="AM9" i="13"/>
  <c r="AM9" i="18"/>
  <c r="AM9" i="12"/>
  <c r="G32" i="25"/>
  <c r="AM13" i="33"/>
  <c r="AM6" i="15"/>
  <c r="AM13" i="34"/>
  <c r="F32" i="14"/>
  <c r="AM8" i="31"/>
  <c r="AM7" i="15"/>
  <c r="D32" i="14"/>
  <c r="D32" i="30"/>
  <c r="AM8" i="32"/>
  <c r="J32" i="11"/>
  <c r="AM8" i="13"/>
  <c r="H32" i="14"/>
  <c r="A32" i="22"/>
  <c r="AM7" i="30"/>
  <c r="A32" i="24"/>
  <c r="AM11" i="18"/>
  <c r="AM11" i="16"/>
  <c r="AM10" i="23"/>
  <c r="B32" i="32"/>
  <c r="G32" i="22"/>
  <c r="G32" i="21"/>
  <c r="AM13" i="21"/>
  <c r="AM12" i="11"/>
  <c r="AM11" i="13"/>
  <c r="AM9" i="29"/>
  <c r="AM10" i="24"/>
  <c r="G32" i="27"/>
  <c r="AM6" i="34"/>
  <c r="AM8" i="17"/>
  <c r="C32" i="21"/>
  <c r="AM13" i="35"/>
  <c r="C32" i="33"/>
  <c r="D32" i="16"/>
  <c r="F32" i="13"/>
  <c r="AM8" i="15"/>
  <c r="AM9" i="15"/>
  <c r="AM13" i="20"/>
  <c r="J32" i="35"/>
  <c r="AM7" i="34"/>
  <c r="AM12" i="20"/>
  <c r="AM9" i="23"/>
  <c r="J32" i="31"/>
  <c r="AM10" i="29"/>
  <c r="AM6" i="33"/>
  <c r="H32" i="12"/>
  <c r="AM13" i="18"/>
  <c r="A32" i="35"/>
  <c r="A32" i="21"/>
  <c r="AM13" i="27"/>
  <c r="J32" i="23"/>
  <c r="H32" i="13"/>
  <c r="A32" i="28"/>
  <c r="B32" i="20"/>
  <c r="AM7" i="27"/>
  <c r="AM13" i="12"/>
  <c r="AM12" i="19"/>
  <c r="AM12" i="15"/>
  <c r="J32" i="19"/>
  <c r="B32" i="14"/>
  <c r="C32" i="27"/>
  <c r="AM11" i="19"/>
  <c r="H32" i="33"/>
  <c r="A32" i="30"/>
  <c r="H32" i="34"/>
  <c r="AM6" i="32"/>
  <c r="AM6" i="23"/>
  <c r="V62" i="9"/>
  <c r="T62" i="9"/>
  <c r="J32" i="10"/>
  <c r="T40" i="9"/>
  <c r="G32" i="17"/>
  <c r="K32" i="10"/>
  <c r="V40" i="9"/>
  <c r="AM6" i="10"/>
  <c r="F40" i="9"/>
  <c r="B32" i="17"/>
  <c r="G32" i="10"/>
  <c r="P40" i="9"/>
  <c r="AM11" i="29"/>
  <c r="AM8" i="10"/>
  <c r="J40" i="9"/>
  <c r="J32" i="17"/>
  <c r="C32" i="23"/>
  <c r="N32" i="10"/>
  <c r="AB40" i="9"/>
  <c r="AM6" i="12"/>
  <c r="AM9" i="25"/>
  <c r="D32" i="35"/>
  <c r="H32" i="10"/>
  <c r="R40" i="9"/>
  <c r="AM10" i="10"/>
  <c r="N40" i="9"/>
  <c r="AM9" i="10"/>
  <c r="L40" i="9"/>
  <c r="B32" i="10"/>
  <c r="H40" i="9"/>
  <c r="L32" i="10"/>
  <c r="X40" i="9"/>
  <c r="M32" i="10"/>
  <c r="Z40" i="9"/>
  <c r="F32" i="11"/>
  <c r="AM6" i="31"/>
  <c r="B32" i="34"/>
  <c r="C32" i="31"/>
  <c r="AM10" i="32"/>
  <c r="AM11" i="17"/>
  <c r="H32" i="20"/>
  <c r="C32" i="12"/>
  <c r="B32" i="30"/>
  <c r="AM7" i="10"/>
  <c r="AM7" i="32"/>
  <c r="AM7" i="20"/>
  <c r="AM9" i="14"/>
  <c r="AM9" i="35"/>
  <c r="A32" i="15"/>
  <c r="AM6" i="21"/>
  <c r="D32" i="18"/>
  <c r="AM6" i="28"/>
  <c r="AM13" i="10"/>
  <c r="A32" i="32"/>
  <c r="AM13" i="29"/>
  <c r="F32" i="23"/>
  <c r="AM6" i="13"/>
  <c r="C32" i="17"/>
  <c r="J32" i="12"/>
  <c r="A32" i="10"/>
  <c r="G32" i="29"/>
  <c r="AM7" i="17"/>
  <c r="H32" i="32"/>
  <c r="J32" i="18"/>
  <c r="AM11" i="21"/>
  <c r="C32" i="15"/>
  <c r="F32" i="10"/>
  <c r="AM6" i="30"/>
  <c r="AM12" i="35"/>
  <c r="AM12" i="13"/>
  <c r="AM11" i="22"/>
  <c r="AM8" i="33"/>
  <c r="J32" i="21"/>
  <c r="AM12" i="10"/>
  <c r="B32" i="27"/>
  <c r="H32" i="19"/>
  <c r="A32" i="23"/>
  <c r="F32" i="24"/>
  <c r="A32" i="31"/>
  <c r="D32" i="15"/>
  <c r="D32" i="10"/>
  <c r="G32" i="30"/>
  <c r="G32" i="33"/>
  <c r="AM13" i="17"/>
  <c r="AM12" i="14"/>
  <c r="J32" i="34"/>
  <c r="AM6" i="24"/>
  <c r="C32" i="32"/>
  <c r="AM12" i="33"/>
  <c r="J32" i="33"/>
  <c r="C32" i="16"/>
  <c r="C32" i="10"/>
  <c r="H32" i="11"/>
  <c r="AM11" i="14"/>
  <c r="AM12" i="34"/>
  <c r="AM13" i="31"/>
  <c r="A32" i="12"/>
  <c r="J32" i="27"/>
  <c r="D32" i="25"/>
  <c r="AM6" i="22"/>
  <c r="AM12" i="12"/>
  <c r="AM10" i="14"/>
  <c r="D32" i="29"/>
  <c r="AM6" i="25"/>
  <c r="B32" i="29"/>
  <c r="AM11" i="27"/>
  <c r="C34" i="35"/>
  <c r="A37" i="35" s="1"/>
  <c r="C34" i="10"/>
  <c r="A37" i="10" s="1"/>
  <c r="B70" i="10"/>
  <c r="AX40" i="9" s="1"/>
  <c r="A32" i="19"/>
  <c r="G32" i="18"/>
  <c r="AM11" i="10"/>
  <c r="F32" i="29"/>
  <c r="B32" i="31"/>
  <c r="AM7" i="31"/>
  <c r="AM10" i="16"/>
  <c r="AM13" i="19"/>
  <c r="AM10" i="11"/>
  <c r="A32" i="34"/>
  <c r="G32" i="23"/>
  <c r="G32" i="13"/>
  <c r="AM12" i="25"/>
  <c r="D32" i="34"/>
  <c r="AM9" i="34"/>
  <c r="AM9" i="30"/>
  <c r="AM8" i="23"/>
  <c r="AM6" i="27"/>
  <c r="G32" i="31"/>
  <c r="AM13" i="22"/>
  <c r="AM7" i="14"/>
  <c r="AM10" i="13"/>
  <c r="AM11" i="32"/>
  <c r="C34" i="33"/>
  <c r="A37" i="33" s="1"/>
  <c r="AM7" i="16"/>
  <c r="AM12" i="22"/>
  <c r="AM12" i="18"/>
  <c r="A32" i="33"/>
  <c r="B32" i="33"/>
  <c r="AM7" i="33"/>
  <c r="F32" i="33"/>
  <c r="AM10" i="33"/>
  <c r="D32" i="11"/>
  <c r="AM9" i="11"/>
  <c r="C34" i="14"/>
  <c r="A37" i="14" s="1"/>
  <c r="B70" i="15"/>
  <c r="AX45" i="9" s="1"/>
  <c r="D32" i="13"/>
  <c r="AM13" i="11"/>
  <c r="AM7" i="35"/>
  <c r="B32" i="35"/>
  <c r="B70" i="30"/>
  <c r="AX60" i="9" s="1"/>
  <c r="AM10" i="30"/>
  <c r="AM6" i="35"/>
  <c r="B32" i="28"/>
  <c r="AM7" i="28"/>
  <c r="G32" i="16"/>
  <c r="C34" i="30"/>
  <c r="A37" i="30" s="1"/>
  <c r="G32" i="34"/>
  <c r="AM11" i="34"/>
  <c r="AM13" i="30"/>
  <c r="J32" i="30"/>
  <c r="AM9" i="31"/>
  <c r="D32" i="31"/>
  <c r="F32" i="34"/>
  <c r="AM10" i="34"/>
  <c r="AM11" i="25"/>
  <c r="G32" i="19"/>
  <c r="AM10" i="35"/>
  <c r="F32" i="35"/>
  <c r="AM9" i="32"/>
  <c r="D32" i="32"/>
  <c r="B70" i="33"/>
  <c r="AX63" i="9" s="1"/>
  <c r="C32" i="30"/>
  <c r="AM8" i="30"/>
  <c r="D32" i="23"/>
  <c r="H32" i="30"/>
  <c r="AM12" i="30"/>
  <c r="AM11" i="35"/>
  <c r="G32" i="35"/>
  <c r="AM9" i="16"/>
  <c r="H32" i="15"/>
  <c r="C34" i="17"/>
  <c r="A37" i="17" s="1"/>
  <c r="J32" i="20"/>
  <c r="AM8" i="21"/>
  <c r="G32" i="26"/>
  <c r="AM11" i="26"/>
  <c r="B70" i="31"/>
  <c r="AX61" i="9" s="1"/>
  <c r="AM13" i="23"/>
  <c r="H32" i="31"/>
  <c r="AM8" i="27"/>
  <c r="C32" i="13"/>
  <c r="B70" i="13"/>
  <c r="AX43" i="9" s="1"/>
  <c r="B70" i="28"/>
  <c r="AX58" i="9" s="1"/>
  <c r="C34" i="12"/>
  <c r="A37" i="12" s="1"/>
  <c r="AM10" i="27"/>
  <c r="F32" i="27"/>
  <c r="D32" i="20"/>
  <c r="AM9" i="20"/>
  <c r="AM11" i="11"/>
  <c r="G32" i="11"/>
  <c r="J32" i="25"/>
  <c r="AM13" i="25"/>
  <c r="D32" i="17"/>
  <c r="AM9" i="17"/>
  <c r="AM9" i="28"/>
  <c r="D32" i="28"/>
  <c r="B32" i="18"/>
  <c r="AM7" i="18"/>
  <c r="AM13" i="16"/>
  <c r="J32" i="16"/>
  <c r="AM9" i="24"/>
  <c r="D32" i="24"/>
  <c r="C32" i="18"/>
  <c r="AM8" i="18"/>
  <c r="C34" i="28"/>
  <c r="A37" i="28" s="1"/>
  <c r="C34" i="16"/>
  <c r="A37" i="16" s="1"/>
  <c r="B70" i="12"/>
  <c r="AX42" i="9" s="1"/>
  <c r="B32" i="15"/>
  <c r="B70" i="16"/>
  <c r="AX46" i="9" s="1"/>
  <c r="C34" i="13"/>
  <c r="A37" i="13" s="1"/>
  <c r="C34" i="25"/>
  <c r="A37" i="25" s="1"/>
  <c r="A32" i="16"/>
  <c r="AM6" i="16"/>
  <c r="AM9" i="19"/>
  <c r="D32" i="19"/>
  <c r="F32" i="19"/>
  <c r="AM10" i="19"/>
  <c r="AM10" i="28"/>
  <c r="F32" i="28"/>
  <c r="B32" i="21"/>
  <c r="AM7" i="21"/>
  <c r="AM10" i="26"/>
  <c r="F32" i="26"/>
  <c r="C32" i="19"/>
  <c r="AM8" i="19"/>
  <c r="C32" i="25"/>
  <c r="AM8" i="25"/>
  <c r="C32" i="26"/>
  <c r="AM8" i="26"/>
  <c r="C32" i="34"/>
  <c r="AM8" i="34"/>
  <c r="B70" i="34"/>
  <c r="AX64" i="9" s="1"/>
  <c r="C34" i="34"/>
  <c r="A37" i="34" s="1"/>
  <c r="AM7" i="24"/>
  <c r="B32" i="24"/>
  <c r="AM6" i="29"/>
  <c r="A32" i="29"/>
  <c r="B70" i="29"/>
  <c r="AX59" i="9" s="1"/>
  <c r="C34" i="29"/>
  <c r="A37" i="29" s="1"/>
  <c r="C34" i="31"/>
  <c r="A37" i="31" s="1"/>
  <c r="D32" i="12"/>
  <c r="AM12" i="16"/>
  <c r="H32" i="16"/>
  <c r="AM9" i="26"/>
  <c r="D32" i="26"/>
  <c r="AM6" i="26"/>
  <c r="A32" i="26"/>
  <c r="B70" i="26"/>
  <c r="AX56" i="9" s="1"/>
  <c r="C34" i="26"/>
  <c r="A37" i="26" s="1"/>
  <c r="C32" i="14"/>
  <c r="AM8" i="14"/>
  <c r="AM13" i="15"/>
  <c r="J32" i="15"/>
  <c r="G32" i="15"/>
  <c r="AM11" i="15"/>
  <c r="D32" i="22"/>
  <c r="AM9" i="22"/>
  <c r="C32" i="20"/>
  <c r="AM8" i="20"/>
  <c r="AM7" i="25"/>
  <c r="B32" i="25"/>
  <c r="C32" i="29"/>
  <c r="AM8" i="29"/>
  <c r="A32" i="14"/>
  <c r="AM6" i="14"/>
  <c r="B70" i="14"/>
  <c r="AX44" i="9" s="1"/>
  <c r="AM8" i="24"/>
  <c r="C32" i="24"/>
  <c r="B32" i="13"/>
  <c r="AM7" i="13"/>
  <c r="H32" i="21"/>
  <c r="AM12" i="21"/>
  <c r="J32" i="26"/>
  <c r="AM13" i="26"/>
  <c r="G32" i="28"/>
  <c r="AM11" i="28"/>
  <c r="AM12" i="29"/>
  <c r="H32" i="29"/>
  <c r="AM11" i="20"/>
  <c r="G32" i="20"/>
  <c r="AM9" i="21"/>
  <c r="D32" i="21"/>
  <c r="H32" i="17"/>
  <c r="AM12" i="17"/>
  <c r="B70" i="17"/>
  <c r="AX47" i="9" s="1"/>
  <c r="B70" i="27"/>
  <c r="AX57" i="9" s="1"/>
  <c r="AM12" i="26"/>
  <c r="H32" i="26"/>
  <c r="B32" i="12"/>
  <c r="AM7" i="12"/>
  <c r="F32" i="22"/>
  <c r="AM10" i="22"/>
  <c r="AM10" i="20"/>
  <c r="F32" i="20"/>
  <c r="A32" i="11"/>
  <c r="AM6" i="11"/>
  <c r="A32" i="17"/>
  <c r="AM6" i="17"/>
  <c r="AM13" i="13"/>
  <c r="J32" i="13"/>
  <c r="C32" i="11"/>
  <c r="AM8" i="11"/>
  <c r="B32" i="22"/>
  <c r="AM7" i="22"/>
  <c r="AM10" i="25"/>
  <c r="F32" i="25"/>
  <c r="AM9" i="27"/>
  <c r="D32" i="27"/>
  <c r="H32" i="28"/>
  <c r="AM12" i="28"/>
  <c r="AM11" i="12"/>
  <c r="G32" i="12"/>
  <c r="AM8" i="28"/>
  <c r="C32" i="28"/>
  <c r="AM13" i="24"/>
  <c r="J32" i="24"/>
  <c r="B32" i="26"/>
  <c r="AM7" i="26"/>
  <c r="AM13" i="28"/>
  <c r="J32" i="28"/>
  <c r="AM12" i="24"/>
  <c r="H32" i="24"/>
  <c r="B70" i="25"/>
  <c r="AX55" i="9" s="1"/>
  <c r="C32" i="35"/>
  <c r="AM8" i="35"/>
  <c r="B70" i="35"/>
  <c r="AX65" i="9" s="1"/>
  <c r="J32" i="14"/>
  <c r="AM13" i="14"/>
  <c r="F32" i="18"/>
  <c r="AM10" i="18"/>
  <c r="B32" i="11"/>
  <c r="AM7" i="11"/>
  <c r="B70" i="11"/>
  <c r="AX41" i="9" s="1"/>
  <c r="C34" i="11"/>
  <c r="A37" i="11" s="1"/>
  <c r="AM11" i="24"/>
  <c r="C34" i="24"/>
  <c r="A37" i="24" s="1"/>
  <c r="B70" i="24"/>
  <c r="AX54" i="9" s="1"/>
  <c r="G32" i="24"/>
  <c r="C34" i="27"/>
  <c r="A37" i="27" s="1"/>
  <c r="AM9" i="33"/>
  <c r="D32" i="33"/>
  <c r="H32" i="27"/>
  <c r="AM12" i="27"/>
  <c r="AM13" i="32"/>
  <c r="J32" i="32"/>
  <c r="B70" i="32"/>
  <c r="AX62" i="9" s="1"/>
  <c r="C34" i="32"/>
  <c r="A37" i="32" s="1"/>
  <c r="F32" i="17"/>
  <c r="AM10" i="17"/>
  <c r="AM6" i="20"/>
  <c r="A32" i="20"/>
  <c r="B70" i="20"/>
  <c r="AX50" i="9" s="1"/>
  <c r="C34" i="20"/>
  <c r="A37" i="20" s="1"/>
  <c r="C34" i="15"/>
  <c r="A37" i="15" s="1"/>
  <c r="C32" i="22"/>
  <c r="B70" i="22"/>
  <c r="AX52" i="9" s="1"/>
  <c r="C34" i="22"/>
  <c r="A37" i="22" s="1"/>
  <c r="AM8" i="22"/>
  <c r="B32" i="23"/>
  <c r="AM7" i="23"/>
  <c r="F32" i="12"/>
  <c r="AM10" i="12"/>
  <c r="AM10" i="21"/>
  <c r="C34" i="21"/>
  <c r="A37" i="21" s="1"/>
  <c r="B70" i="21"/>
  <c r="AX51" i="9" s="1"/>
  <c r="F32" i="21"/>
  <c r="F32" i="31"/>
  <c r="AM10" i="31"/>
  <c r="B70" i="18"/>
  <c r="AX48" i="9" s="1"/>
  <c r="A32" i="18"/>
  <c r="AM6" i="18"/>
  <c r="C34" i="18"/>
  <c r="A37" i="18" s="1"/>
  <c r="AM7" i="19"/>
  <c r="B32" i="19"/>
  <c r="C34" i="19"/>
  <c r="A37" i="19" s="1"/>
  <c r="B70" i="19"/>
  <c r="AX49" i="9" s="1"/>
  <c r="F32" i="15"/>
  <c r="AM10" i="15"/>
  <c r="C34" i="23"/>
  <c r="A37" i="23" s="1"/>
  <c r="B70" i="23"/>
  <c r="AX53" i="9" s="1"/>
  <c r="AD44" i="9" l="1"/>
  <c r="AD65" i="9"/>
  <c r="AD49" i="9"/>
  <c r="AD57" i="9"/>
  <c r="AD53" i="9"/>
  <c r="AD59" i="9"/>
  <c r="AG56" i="9"/>
  <c r="AD55" i="9"/>
  <c r="AD64" i="9"/>
  <c r="AD54" i="9"/>
  <c r="AD50" i="9"/>
  <c r="AG51" i="9"/>
  <c r="AG65" i="9"/>
  <c r="AD61" i="9"/>
  <c r="AG53" i="9"/>
  <c r="AD52" i="9"/>
  <c r="AD56" i="9"/>
  <c r="AG62" i="9"/>
  <c r="AG50" i="9"/>
  <c r="AG58" i="9"/>
  <c r="AG63" i="9"/>
  <c r="AG47" i="9"/>
  <c r="AG44" i="9"/>
  <c r="AD60" i="9"/>
  <c r="AG64" i="9"/>
  <c r="AG46" i="9"/>
  <c r="AG43" i="9"/>
  <c r="AG57" i="9"/>
  <c r="AG42" i="9"/>
  <c r="AG59" i="9"/>
  <c r="AD46" i="9"/>
  <c r="AG55" i="9"/>
  <c r="AD43" i="9"/>
  <c r="AD45" i="9"/>
  <c r="AG52" i="9"/>
  <c r="AD51" i="9"/>
  <c r="AG60" i="9"/>
  <c r="AG49" i="9"/>
  <c r="AD41" i="9"/>
  <c r="AD63" i="9"/>
  <c r="AD48" i="9"/>
  <c r="AG54" i="9"/>
  <c r="AG61" i="9"/>
  <c r="AD58" i="9"/>
  <c r="AD47" i="9"/>
  <c r="AD42" i="9"/>
  <c r="AG45" i="9"/>
  <c r="AG48" i="9"/>
  <c r="AG41" i="9"/>
  <c r="AD62" i="9"/>
  <c r="AD40" i="9"/>
  <c r="AG40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 Erik</author>
  </authors>
  <commentList>
    <comment ref="A39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Tom Erik
Disse bokstavene er hyperlinker til fanene til Ansatt A, B, C, etc.
</t>
        </r>
      </text>
    </comment>
    <comment ref="B39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Tom Erik:</t>
        </r>
        <r>
          <rPr>
            <sz val="9"/>
            <color indexed="81"/>
            <rFont val="Tahoma"/>
            <family val="2"/>
          </rPr>
          <t xml:space="preserve">
Under her så skriver du inn ansattes navn</t>
        </r>
      </text>
    </comment>
    <comment ref="F39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Tom Erik:</t>
        </r>
        <r>
          <rPr>
            <sz val="9"/>
            <color indexed="81"/>
            <rFont val="Tahoma"/>
            <family val="2"/>
          </rPr>
          <t xml:space="preserve">
Totale timer uke 1</t>
        </r>
      </text>
    </comment>
    <comment ref="H39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Tom Erik:</t>
        </r>
        <r>
          <rPr>
            <sz val="9"/>
            <color indexed="81"/>
            <rFont val="Tahoma"/>
            <family val="2"/>
          </rPr>
          <t xml:space="preserve">
Totale timer uke 2</t>
        </r>
      </text>
    </comment>
    <comment ref="J39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Tom Erik:</t>
        </r>
        <r>
          <rPr>
            <sz val="9"/>
            <color indexed="81"/>
            <rFont val="Tahoma"/>
            <family val="2"/>
          </rPr>
          <t xml:space="preserve">
Totale timer uke 3</t>
        </r>
      </text>
    </comment>
    <comment ref="L39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Tom Erik:</t>
        </r>
        <r>
          <rPr>
            <sz val="9"/>
            <color indexed="81"/>
            <rFont val="Tahoma"/>
            <family val="2"/>
          </rPr>
          <t xml:space="preserve">
Totale timer uke 4</t>
        </r>
      </text>
    </comment>
    <comment ref="N39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Tom Erik:</t>
        </r>
        <r>
          <rPr>
            <sz val="9"/>
            <color indexed="81"/>
            <rFont val="Tahoma"/>
            <family val="2"/>
          </rPr>
          <t xml:space="preserve">
Totale timer uke 5</t>
        </r>
      </text>
    </comment>
    <comment ref="P39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Tom Erik:</t>
        </r>
        <r>
          <rPr>
            <sz val="9"/>
            <color indexed="81"/>
            <rFont val="Tahoma"/>
            <family val="2"/>
          </rPr>
          <t xml:space="preserve">
Totale timer uke 6</t>
        </r>
      </text>
    </comment>
    <comment ref="R39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Tom Erik:</t>
        </r>
        <r>
          <rPr>
            <sz val="9"/>
            <color indexed="81"/>
            <rFont val="Tahoma"/>
            <family val="2"/>
          </rPr>
          <t xml:space="preserve">
Totale timer uke 7</t>
        </r>
      </text>
    </comment>
    <comment ref="T39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Tom Erik:</t>
        </r>
        <r>
          <rPr>
            <sz val="9"/>
            <color indexed="81"/>
            <rFont val="Tahoma"/>
            <family val="2"/>
          </rPr>
          <t xml:space="preserve">
Totale timer uke 8</t>
        </r>
      </text>
    </comment>
    <comment ref="V39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Tom Erik:</t>
        </r>
        <r>
          <rPr>
            <sz val="9"/>
            <color indexed="81"/>
            <rFont val="Tahoma"/>
            <family val="2"/>
          </rPr>
          <t xml:space="preserve">
Totale timer uke 8</t>
        </r>
      </text>
    </comment>
    <comment ref="X39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Tom Erik:</t>
        </r>
        <r>
          <rPr>
            <sz val="9"/>
            <color indexed="81"/>
            <rFont val="Tahoma"/>
            <family val="2"/>
          </rPr>
          <t xml:space="preserve">
Totale timer uke 8</t>
        </r>
      </text>
    </comment>
    <comment ref="Z39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Tom Erik:</t>
        </r>
        <r>
          <rPr>
            <sz val="9"/>
            <color indexed="81"/>
            <rFont val="Tahoma"/>
            <family val="2"/>
          </rPr>
          <t xml:space="preserve">
Totale timer uke 8</t>
        </r>
      </text>
    </comment>
    <comment ref="AB39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Tom Erik:</t>
        </r>
        <r>
          <rPr>
            <sz val="9"/>
            <color indexed="81"/>
            <rFont val="Tahoma"/>
            <family val="2"/>
          </rPr>
          <t xml:space="preserve">
Totale timer uke 8</t>
        </r>
      </text>
    </comment>
    <comment ref="AD39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Tom Erik:</t>
        </r>
        <r>
          <rPr>
            <sz val="9"/>
            <color indexed="81"/>
            <rFont val="Tahoma"/>
            <family val="2"/>
          </rPr>
          <t xml:space="preserve">
Summen av alle timer over alle uker</t>
        </r>
      </text>
    </comment>
    <comment ref="AG39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Tom Erik:</t>
        </r>
        <r>
          <rPr>
            <sz val="9"/>
            <color indexed="81"/>
            <rFont val="Tahoma"/>
            <family val="2"/>
          </rPr>
          <t xml:space="preserve">
Gjennomsnittet av ukene</t>
        </r>
      </text>
    </comment>
    <comment ref="AJ39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Tom Erik:</t>
        </r>
        <r>
          <rPr>
            <sz val="9"/>
            <color indexed="81"/>
            <rFont val="Tahoma"/>
            <family val="2"/>
          </rPr>
          <t xml:space="preserve">
Her definerer du hvor mange uker kalkulatoren skal regne over</t>
        </r>
      </text>
    </comment>
    <comment ref="AM39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Tom Erik:</t>
        </r>
        <r>
          <rPr>
            <sz val="9"/>
            <color indexed="81"/>
            <rFont val="Tahoma"/>
            <family val="2"/>
          </rPr>
          <t xml:space="preserve">
Velg stillingsprosenten til den ansatte her</t>
        </r>
      </text>
    </comment>
    <comment ref="AQ39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Tom Erik:</t>
        </r>
        <r>
          <rPr>
            <sz val="9"/>
            <color indexed="81"/>
            <rFont val="Tahoma"/>
            <family val="2"/>
          </rPr>
          <t xml:space="preserve">
Her definerer du Uke sats I henhold til Arbeidsgruppe. 
Type: 37.5 , 35.5 , 33.6</t>
        </r>
      </text>
    </comment>
    <comment ref="AU39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>Tom Erik:</t>
        </r>
        <r>
          <rPr>
            <sz val="9"/>
            <color indexed="81"/>
            <rFont val="Tahoma"/>
            <family val="2"/>
          </rPr>
          <t xml:space="preserve">
Skriv "JA" hvis du ønsker å vise hvor den ansatte er I vaktlisten</t>
        </r>
      </text>
    </comment>
    <comment ref="AX39" authorId="0" shapeId="0" xr:uid="{00000000-0006-0000-0000-000015000000}">
      <text>
        <r>
          <rPr>
            <b/>
            <sz val="9"/>
            <color indexed="81"/>
            <rFont val="Tahoma"/>
            <family val="2"/>
          </rPr>
          <t>Tom Erik:</t>
        </r>
        <r>
          <rPr>
            <sz val="9"/>
            <color indexed="81"/>
            <rFont val="Tahoma"/>
            <family val="2"/>
          </rPr>
          <t xml:space="preserve">
Skriv "JA" hvis du ønsker å vise hvor den ansatte er I vaktlisten</t>
        </r>
      </text>
    </comment>
  </commentList>
</comments>
</file>

<file path=xl/sharedStrings.xml><?xml version="1.0" encoding="utf-8"?>
<sst xmlns="http://schemas.openxmlformats.org/spreadsheetml/2006/main" count="3098" uniqueCount="142">
  <si>
    <t>Turnus Planlegger</t>
  </si>
  <si>
    <t>This Workbook was created by Tom Erik Revheim. T.e.revheim@hotmail.com</t>
  </si>
  <si>
    <t>Uke:</t>
  </si>
  <si>
    <t>Vakt lokasjon</t>
  </si>
  <si>
    <t>Fra kl</t>
  </si>
  <si>
    <t>Til kl</t>
  </si>
  <si>
    <t>Timer</t>
  </si>
  <si>
    <t>Pause</t>
  </si>
  <si>
    <t>SUM</t>
  </si>
  <si>
    <t>Ukedag dropdown</t>
  </si>
  <si>
    <t>Mandag</t>
  </si>
  <si>
    <t>Tirsdag</t>
  </si>
  <si>
    <t>Onsdag</t>
  </si>
  <si>
    <t>Torsdag</t>
  </si>
  <si>
    <t>Fredag</t>
  </si>
  <si>
    <t>Lørdag</t>
  </si>
  <si>
    <t>Søndag</t>
  </si>
  <si>
    <t>Ansatt fremstiller:</t>
  </si>
  <si>
    <t>Turnus Startdag</t>
  </si>
  <si>
    <t>Nr</t>
  </si>
  <si>
    <t>Navn</t>
  </si>
  <si>
    <t>uke 1</t>
  </si>
  <si>
    <t>uke 2</t>
  </si>
  <si>
    <t>uke 3</t>
  </si>
  <si>
    <t>uke 4</t>
  </si>
  <si>
    <t>uke 5</t>
  </si>
  <si>
    <t>uke 6</t>
  </si>
  <si>
    <t>Uke 7</t>
  </si>
  <si>
    <t>Uke 8</t>
  </si>
  <si>
    <t>Uke 9</t>
  </si>
  <si>
    <t>Uke 10</t>
  </si>
  <si>
    <t>Uke 11</t>
  </si>
  <si>
    <t>Uke 12</t>
  </si>
  <si>
    <t>S UM</t>
  </si>
  <si>
    <t>Uke snitt</t>
  </si>
  <si>
    <t>Uker i bruk</t>
  </si>
  <si>
    <t>Stillingsprosent</t>
  </si>
  <si>
    <t>Uke Sats</t>
  </si>
  <si>
    <t>Visning?</t>
  </si>
  <si>
    <t>Regelbrudd?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</si>
  <si>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</si>
  <si>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</si>
  <si>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</si>
  <si>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</si>
  <si>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</si>
  <si>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</si>
  <si>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</si>
  <si>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</si>
  <si>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</si>
  <si>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</si>
  <si>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</si>
  <si>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</si>
  <si>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</si>
  <si>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</si>
  <si>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</si>
  <si>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</si>
  <si>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</si>
  <si>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</si>
  <si>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</si>
  <si>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</si>
  <si>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</si>
  <si>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</si>
  <si>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</si>
  <si>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</si>
  <si>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</si>
  <si>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</si>
  <si>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Turnus start dag</t>
  </si>
  <si>
    <t>Antall uker i turnus 1-8</t>
  </si>
  <si>
    <t>Uke sats timer</t>
  </si>
  <si>
    <t>t/uke</t>
  </si>
  <si>
    <t>Uke</t>
  </si>
  <si>
    <t>Total ant. Timer</t>
  </si>
  <si>
    <t>Start</t>
  </si>
  <si>
    <t>slutt</t>
  </si>
  <si>
    <t>Ant. Timer</t>
  </si>
  <si>
    <t>Hviletid</t>
  </si>
  <si>
    <t>Kommentar område</t>
  </si>
  <si>
    <t>Test 1</t>
  </si>
  <si>
    <t>Er turnusen i henhold til stillingsprosent og ukes satser?</t>
  </si>
  <si>
    <t>Antall uker i turnus 1-8 dropdown &amp; Hviletid utregning</t>
  </si>
  <si>
    <t>Ukes sats timer</t>
  </si>
  <si>
    <t>Celler brukt for koding</t>
  </si>
  <si>
    <t>Ukentling beregning</t>
  </si>
  <si>
    <t>Uke 1</t>
  </si>
  <si>
    <t>Uke 2</t>
  </si>
  <si>
    <t>Uke 3</t>
  </si>
  <si>
    <t>Uke 4</t>
  </si>
  <si>
    <t>Uke 5</t>
  </si>
  <si>
    <t>Uke 6</t>
  </si>
  <si>
    <t>Mandag/tirsdag</t>
  </si>
  <si>
    <t>Tirsdag/onsdag</t>
  </si>
  <si>
    <t>Onsdag/torsdag</t>
  </si>
  <si>
    <t>Torsdag/fredag</t>
  </si>
  <si>
    <t>Fredag/lørdag</t>
  </si>
  <si>
    <t>Lørdag/søndag</t>
  </si>
  <si>
    <t>Gjennomsnittsberegning</t>
  </si>
  <si>
    <t>Utregning</t>
  </si>
  <si>
    <t>Faktisk arbeidsprosent over 8 uker</t>
  </si>
  <si>
    <t>§ 10-8. Daglig og ukentlig arbeidsfri</t>
  </si>
  <si>
    <t xml:space="preserve">Standard: sammenhengende 11t ila 24t og sammenhengende 35t ila 7 dager. </t>
  </si>
  <si>
    <t>Avtale: Minst sammenhenge 8t ila 24t og sammenhenge 28t ila 7 dager.</t>
  </si>
  <si>
    <t>Uke sats timer dropdown</t>
  </si>
  <si>
    <t>Ja/nei</t>
  </si>
  <si>
    <t>Ja</t>
  </si>
  <si>
    <t>Daglig arbeidsfri</t>
  </si>
  <si>
    <t>Nei</t>
  </si>
  <si>
    <t>§ 10-4. Alminnelig Arbeidstid</t>
  </si>
  <si>
    <t>Notes</t>
  </si>
  <si>
    <t>Er turnus i henhold til Lov om arbeidstid §10-4?</t>
  </si>
  <si>
    <t>Man kan ikke lage avtaler som er dårligere eller bryter tariff. Eller avtale vekk bestemmelser i tariff.</t>
  </si>
  <si>
    <t>Kommentarer fra designer</t>
  </si>
  <si>
    <t xml:space="preserve">Arbeidsgiver bestemmer hvilken time han ønsker å telle de 24 timene. Typisk er 00:00 </t>
  </si>
  <si>
    <t>Lag hviletid test, eksempel 11t hviletid, utregning er 24t minus arbeidstimer den dagen</t>
  </si>
  <si>
    <t>Arbeidsgiver bestemmer hvilken dag han ønsker å telle de 7 dagene fra. Typisk er Mandag</t>
  </si>
  <si>
    <t>Testingen av §10-4 vil ikke fungere optimalt med Ledd (6) grunnet at timetellingen ikke er hele timer. Men maks timer er fortsatt 9t/24t og 38t/7dager</t>
  </si>
  <si>
    <t>§ 10-5. Gjennomsnittsberegning av den alminnelige arbeidstid</t>
  </si>
  <si>
    <t>Er turnus i henhold til Lov om arbeidstid § 10-5?</t>
  </si>
  <si>
    <t>Vlookup table Start</t>
  </si>
  <si>
    <t>Utregninger</t>
  </si>
  <si>
    <t xml:space="preserve">For å regne korrekt, fyll inn i de grønne feltene de faktiske forholdene på turnusen du ønsker å teste. </t>
  </si>
  <si>
    <t>Default settinger er 9t og 40t respektivt under. Men dette må økes hvis punkt (2) er gjeldene.</t>
  </si>
  <si>
    <t>Timer tillatt i løpet av 24t</t>
  </si>
  <si>
    <t>dager bryter</t>
  </si>
  <si>
    <t>Aktiver visning?</t>
  </si>
  <si>
    <t>ja</t>
  </si>
  <si>
    <r>
      <t xml:space="preserve">Skriv </t>
    </r>
    <r>
      <rPr>
        <b/>
        <u/>
        <sz val="10"/>
        <color theme="1"/>
        <rFont val="Arial"/>
        <family val="2"/>
      </rPr>
      <t>JA</t>
    </r>
    <r>
      <rPr>
        <sz val="10"/>
        <color theme="1"/>
        <rFont val="Arial"/>
        <family val="2"/>
      </rPr>
      <t xml:space="preserve"> for å vise hvilke punkter i turnusen som bryter med regel</t>
    </r>
  </si>
  <si>
    <t>Timer tillatt iløpet av 7 dager</t>
  </si>
  <si>
    <t>bryter</t>
  </si>
  <si>
    <t>Aktiver visning`?</t>
  </si>
  <si>
    <t>mandag</t>
  </si>
  <si>
    <t>Sjekk for duplikater?</t>
  </si>
  <si>
    <t>Jeg vet ikke hvem Sondre er</t>
  </si>
  <si>
    <t>test 1</t>
  </si>
  <si>
    <t>Vakt 1</t>
  </si>
  <si>
    <t>Test 2</t>
  </si>
  <si>
    <t xml:space="preserve">Dette dokumentet kan sette opp vaktplaner og sjekke om de begår lovbrudd oppmot lov og avtale om arbeidstimer og hviletid. </t>
  </si>
  <si>
    <t xml:space="preserve">Jeg lagte denne selv for å hjelpe meg å tolke arbeidsplaner tilsendt fra arbeidsgiver som ofte hadde ulik utforming hver gang og ble da uoversiktelig. </t>
  </si>
  <si>
    <t xml:space="preserve">Ved hjelp av dette dokumentet så legger jeg inn vaktene og turnusene til de enkelte og så vil formlene mine informere meg om det er begått regelbrudd. </t>
  </si>
  <si>
    <t xml:space="preserve">Den viser dette ved å lyse rødt på de vaktene som begår regelbruddet. </t>
  </si>
  <si>
    <t xml:space="preserve">Hver person har også sin egen fane for å kunne se mer i detalj hvor regelbruddet befinner seg samt å kunne endre kriteriene ihht evt. Avtaler. </t>
  </si>
  <si>
    <t>Vakt 2</t>
  </si>
  <si>
    <t>Dokumentets eies av tom Erik Revheim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</si>
</sst>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hh:mm;@"/>
    <numFmt numFmtId="166" formatCode="_ * #,##0.0_ ;_ * \-#,##0.0_ ;_ * &quot;-&quot;??_ ;_ @_ "/>
    <numFmt numFmtId="167" formatCode="[$-F800]dddd\,\ mmmm\ dd\,\ yyyy"/>
  </numFmts>
  <fonts count="29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9"/>
      <color indexed="12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indexed="9"/>
      <name val="Arial"/>
      <family val="2"/>
    </font>
    <font>
      <b/>
      <sz val="9"/>
      <color indexed="9"/>
      <name val="Arial"/>
      <family val="2"/>
    </font>
    <font>
      <b/>
      <sz val="8"/>
      <color indexed="9"/>
      <name val="Arial"/>
      <family val="2"/>
    </font>
    <font>
      <sz val="8"/>
      <color indexed="9"/>
      <name val="Arial"/>
      <family val="2"/>
    </font>
    <font>
      <sz val="7"/>
      <color indexed="9"/>
      <name val="Arial"/>
      <family val="2"/>
    </font>
    <font>
      <b/>
      <sz val="8"/>
      <color indexed="8"/>
      <name val="Arial"/>
      <family val="2"/>
    </font>
    <font>
      <b/>
      <sz val="7"/>
      <color indexed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color theme="0"/>
      <name val="Arial"/>
      <family val="2"/>
    </font>
    <font>
      <u/>
      <sz val="10"/>
      <color theme="10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b/>
      <sz val="16"/>
      <name val="Arial"/>
      <family val="2"/>
    </font>
    <font>
      <b/>
      <sz val="18"/>
      <color indexed="8"/>
      <name val="Arial"/>
      <family val="2"/>
    </font>
    <font>
      <sz val="7"/>
      <color theme="0"/>
      <name val="Arial"/>
      <family val="2"/>
    </font>
    <font>
      <sz val="9"/>
      <color theme="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theme="8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auto="1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</borders>
  <cellStyleXfs count="5">
    <xf numFmtId="0" fontId="0" fillId="0" borderId="0"/>
    <xf numFmtId="0" fontId="7" fillId="0" borderId="0"/>
    <xf numFmtId="16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22" fillId="0" borderId="0" applyNumberFormat="0" applyFill="0" applyBorder="0" applyAlignment="0" applyProtection="0"/>
  </cellStyleXfs>
  <cellXfs count="156">
    <xf numFmtId="0" fontId="0" fillId="0" borderId="0" xfId="0"/>
    <xf numFmtId="0" fontId="0" fillId="2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0" borderId="0" xfId="0" applyProtection="1">
      <protection hidden="1"/>
    </xf>
    <xf numFmtId="0" fontId="1" fillId="0" borderId="0" xfId="0" applyFont="1" applyProtection="1">
      <protection hidden="1"/>
    </xf>
    <xf numFmtId="0" fontId="0" fillId="3" borderId="0" xfId="0" applyFill="1" applyProtection="1">
      <protection hidden="1"/>
    </xf>
    <xf numFmtId="0" fontId="0" fillId="0" borderId="1" xfId="0" applyBorder="1" applyAlignment="1" applyProtection="1">
      <alignment horizontal="center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10" fontId="0" fillId="3" borderId="0" xfId="0" applyNumberFormat="1" applyFill="1" applyProtection="1">
      <protection hidden="1"/>
    </xf>
    <xf numFmtId="0" fontId="0" fillId="4" borderId="1" xfId="0" applyFill="1" applyBorder="1" applyAlignment="1" applyProtection="1">
      <alignment horizontal="center" vertical="center"/>
      <protection hidden="1"/>
    </xf>
    <xf numFmtId="0" fontId="21" fillId="0" borderId="0" xfId="0" applyFont="1" applyProtection="1">
      <protection hidden="1"/>
    </xf>
    <xf numFmtId="0" fontId="23" fillId="0" borderId="0" xfId="0" applyFont="1" applyProtection="1">
      <protection hidden="1"/>
    </xf>
    <xf numFmtId="167" fontId="21" fillId="0" borderId="0" xfId="0" applyNumberFormat="1" applyFont="1" applyProtection="1">
      <protection hidden="1"/>
    </xf>
    <xf numFmtId="0" fontId="26" fillId="0" borderId="0" xfId="0" applyFont="1" applyAlignment="1" applyProtection="1">
      <alignment horizontal="left"/>
      <protection hidden="1"/>
    </xf>
    <xf numFmtId="0" fontId="11" fillId="0" borderId="0" xfId="0" applyFont="1" applyAlignment="1" applyProtection="1">
      <alignment horizontal="left"/>
      <protection hidden="1"/>
    </xf>
    <xf numFmtId="0" fontId="12" fillId="7" borderId="0" xfId="0" applyFont="1" applyFill="1" applyProtection="1">
      <protection hidden="1"/>
    </xf>
    <xf numFmtId="166" fontId="14" fillId="7" borderId="0" xfId="2" applyNumberFormat="1" applyFont="1" applyFill="1" applyBorder="1" applyProtection="1">
      <protection hidden="1"/>
    </xf>
    <xf numFmtId="166" fontId="15" fillId="7" borderId="0" xfId="2" applyNumberFormat="1" applyFont="1" applyFill="1" applyBorder="1" applyProtection="1">
      <protection hidden="1"/>
    </xf>
    <xf numFmtId="0" fontId="15" fillId="7" borderId="0" xfId="0" applyFont="1" applyFill="1" applyProtection="1">
      <protection hidden="1"/>
    </xf>
    <xf numFmtId="0" fontId="12" fillId="0" borderId="0" xfId="0" applyFont="1" applyProtection="1">
      <protection hidden="1"/>
    </xf>
    <xf numFmtId="0" fontId="10" fillId="0" borderId="18" xfId="0" applyFont="1" applyBorder="1" applyProtection="1">
      <protection hidden="1"/>
    </xf>
    <xf numFmtId="0" fontId="17" fillId="0" borderId="18" xfId="0" applyFont="1" applyBorder="1" applyProtection="1">
      <protection hidden="1"/>
    </xf>
    <xf numFmtId="0" fontId="16" fillId="8" borderId="18" xfId="0" applyFont="1" applyFill="1" applyBorder="1" applyAlignment="1" applyProtection="1">
      <alignment horizontal="left"/>
      <protection hidden="1"/>
    </xf>
    <xf numFmtId="0" fontId="12" fillId="8" borderId="0" xfId="0" applyFont="1" applyFill="1" applyProtection="1">
      <protection hidden="1"/>
    </xf>
    <xf numFmtId="0" fontId="0" fillId="8" borderId="0" xfId="0" applyFill="1" applyProtection="1">
      <protection hidden="1"/>
    </xf>
    <xf numFmtId="0" fontId="16" fillId="7" borderId="0" xfId="0" applyFont="1" applyFill="1" applyProtection="1">
      <protection hidden="1"/>
    </xf>
    <xf numFmtId="0" fontId="8" fillId="4" borderId="15" xfId="0" applyFont="1" applyFill="1" applyBorder="1" applyAlignment="1" applyProtection="1">
      <alignment horizontal="center"/>
      <protection hidden="1"/>
    </xf>
    <xf numFmtId="0" fontId="8" fillId="4" borderId="8" xfId="0" applyFont="1" applyFill="1" applyBorder="1" applyAlignment="1" applyProtection="1">
      <alignment horizontal="center"/>
      <protection hidden="1"/>
    </xf>
    <xf numFmtId="0" fontId="8" fillId="4" borderId="9" xfId="0" applyFont="1" applyFill="1" applyBorder="1" applyAlignment="1" applyProtection="1">
      <alignment horizontal="center"/>
      <protection hidden="1"/>
    </xf>
    <xf numFmtId="0" fontId="8" fillId="5" borderId="7" xfId="0" applyFont="1" applyFill="1" applyBorder="1" applyAlignment="1" applyProtection="1">
      <alignment horizontal="center"/>
      <protection hidden="1"/>
    </xf>
    <xf numFmtId="0" fontId="8" fillId="5" borderId="8" xfId="0" applyFont="1" applyFill="1" applyBorder="1" applyAlignment="1" applyProtection="1">
      <alignment horizontal="center"/>
      <protection hidden="1"/>
    </xf>
    <xf numFmtId="0" fontId="8" fillId="5" borderId="9" xfId="0" applyFont="1" applyFill="1" applyBorder="1" applyAlignment="1" applyProtection="1">
      <alignment horizontal="center"/>
      <protection hidden="1"/>
    </xf>
    <xf numFmtId="0" fontId="8" fillId="4" borderId="32" xfId="0" applyFont="1" applyFill="1" applyBorder="1" applyAlignment="1" applyProtection="1">
      <alignment horizontal="center"/>
      <protection hidden="1"/>
    </xf>
    <xf numFmtId="0" fontId="8" fillId="4" borderId="13" xfId="0" applyFont="1" applyFill="1" applyBorder="1" applyAlignment="1" applyProtection="1">
      <alignment horizontal="center"/>
      <protection hidden="1"/>
    </xf>
    <xf numFmtId="0" fontId="9" fillId="4" borderId="14" xfId="0" applyFont="1" applyFill="1" applyBorder="1" applyAlignment="1" applyProtection="1">
      <alignment horizontal="center"/>
      <protection hidden="1"/>
    </xf>
    <xf numFmtId="0" fontId="9" fillId="4" borderId="13" xfId="0" applyFont="1" applyFill="1" applyBorder="1" applyAlignment="1" applyProtection="1">
      <alignment horizontal="center"/>
      <protection hidden="1"/>
    </xf>
    <xf numFmtId="0" fontId="13" fillId="0" borderId="0" xfId="0" applyFont="1" applyAlignment="1" applyProtection="1">
      <alignment horizontal="center"/>
      <protection hidden="1"/>
    </xf>
    <xf numFmtId="166" fontId="18" fillId="7" borderId="0" xfId="2" applyNumberFormat="1" applyFont="1" applyFill="1" applyBorder="1" applyAlignment="1" applyProtection="1">
      <alignment horizontal="center"/>
      <protection hidden="1"/>
    </xf>
    <xf numFmtId="164" fontId="9" fillId="10" borderId="2" xfId="2" applyFont="1" applyFill="1" applyBorder="1" applyAlignment="1" applyProtection="1">
      <alignment horizontal="center"/>
      <protection hidden="1"/>
    </xf>
    <xf numFmtId="166" fontId="8" fillId="5" borderId="17" xfId="2" applyNumberFormat="1" applyFont="1" applyFill="1" applyBorder="1" applyAlignment="1" applyProtection="1">
      <alignment horizontal="center"/>
      <protection hidden="1"/>
    </xf>
    <xf numFmtId="0" fontId="12" fillId="0" borderId="0" xfId="0" applyFont="1" applyAlignment="1" applyProtection="1">
      <alignment horizontal="center"/>
      <protection hidden="1"/>
    </xf>
    <xf numFmtId="166" fontId="16" fillId="7" borderId="0" xfId="2" applyNumberFormat="1" applyFont="1" applyFill="1" applyBorder="1" applyAlignment="1" applyProtection="1">
      <alignment horizontal="center"/>
      <protection hidden="1"/>
    </xf>
    <xf numFmtId="166" fontId="27" fillId="7" borderId="0" xfId="2" applyNumberFormat="1" applyFont="1" applyFill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0" fontId="28" fillId="0" borderId="0" xfId="0" applyFont="1" applyAlignment="1" applyProtection="1">
      <alignment horizontal="center"/>
      <protection hidden="1"/>
    </xf>
    <xf numFmtId="0" fontId="8" fillId="5" borderId="29" xfId="0" applyFont="1" applyFill="1" applyBorder="1" applyAlignment="1" applyProtection="1">
      <alignment horizontal="center"/>
      <protection hidden="1"/>
    </xf>
    <xf numFmtId="0" fontId="8" fillId="5" borderId="30" xfId="0" applyFont="1" applyFill="1" applyBorder="1" applyAlignment="1" applyProtection="1">
      <alignment horizontal="center"/>
      <protection hidden="1"/>
    </xf>
    <xf numFmtId="0" fontId="8" fillId="5" borderId="31" xfId="0" applyFont="1" applyFill="1" applyBorder="1" applyAlignment="1" applyProtection="1">
      <alignment horizontal="center"/>
      <protection hidden="1"/>
    </xf>
    <xf numFmtId="166" fontId="8" fillId="5" borderId="16" xfId="2" applyNumberFormat="1" applyFont="1" applyFill="1" applyBorder="1" applyAlignment="1" applyProtection="1">
      <alignment horizontal="center"/>
      <protection hidden="1"/>
    </xf>
    <xf numFmtId="0" fontId="25" fillId="0" borderId="0" xfId="0" applyFont="1" applyProtection="1">
      <protection hidden="1"/>
    </xf>
    <xf numFmtId="0" fontId="14" fillId="0" borderId="0" xfId="0" applyFont="1" applyProtection="1">
      <protection hidden="1"/>
    </xf>
    <xf numFmtId="0" fontId="19" fillId="0" borderId="0" xfId="0" applyFont="1" applyProtection="1">
      <protection hidden="1"/>
    </xf>
    <xf numFmtId="0" fontId="24" fillId="0" borderId="0" xfId="0" applyFont="1" applyProtection="1">
      <protection hidden="1"/>
    </xf>
    <xf numFmtId="0" fontId="8" fillId="0" borderId="0" xfId="0" applyFont="1" applyProtection="1">
      <protection hidden="1"/>
    </xf>
    <xf numFmtId="0" fontId="19" fillId="0" borderId="12" xfId="0" applyFont="1" applyBorder="1" applyProtection="1">
      <protection hidden="1"/>
    </xf>
    <xf numFmtId="0" fontId="7" fillId="0" borderId="0" xfId="0" applyFont="1" applyAlignment="1" applyProtection="1">
      <alignment horizontal="left"/>
      <protection hidden="1"/>
    </xf>
    <xf numFmtId="0" fontId="22" fillId="6" borderId="19" xfId="4" applyFill="1" applyBorder="1" applyAlignment="1" applyProtection="1">
      <alignment horizontal="center"/>
      <protection hidden="1"/>
    </xf>
    <xf numFmtId="0" fontId="22" fillId="6" borderId="20" xfId="4" applyFill="1" applyBorder="1" applyAlignment="1" applyProtection="1">
      <alignment horizontal="center"/>
      <protection hidden="1"/>
    </xf>
    <xf numFmtId="0" fontId="22" fillId="6" borderId="21" xfId="4" applyFill="1" applyBorder="1" applyAlignment="1" applyProtection="1">
      <alignment horizontal="center"/>
      <protection hidden="1"/>
    </xf>
    <xf numFmtId="0" fontId="7" fillId="7" borderId="0" xfId="0" applyFont="1" applyFill="1" applyAlignment="1" applyProtection="1">
      <alignment horizontal="left"/>
      <protection hidden="1"/>
    </xf>
    <xf numFmtId="166" fontId="7" fillId="7" borderId="0" xfId="2" applyNumberFormat="1" applyFont="1" applyFill="1" applyBorder="1" applyAlignment="1" applyProtection="1">
      <alignment horizontal="left"/>
      <protection hidden="1"/>
    </xf>
    <xf numFmtId="0" fontId="22" fillId="6" borderId="22" xfId="4" applyFill="1" applyBorder="1" applyAlignment="1" applyProtection="1">
      <alignment horizontal="center"/>
      <protection hidden="1"/>
    </xf>
    <xf numFmtId="0" fontId="6" fillId="0" borderId="0" xfId="0" applyFont="1" applyAlignment="1" applyProtection="1">
      <alignment horizontal="center"/>
      <protection hidden="1"/>
    </xf>
    <xf numFmtId="0" fontId="14" fillId="0" borderId="0" xfId="0" applyFont="1" applyAlignment="1" applyProtection="1">
      <alignment horizontal="center"/>
      <protection hidden="1"/>
    </xf>
    <xf numFmtId="0" fontId="19" fillId="0" borderId="0" xfId="0" applyFont="1" applyAlignment="1" applyProtection="1">
      <alignment horizontal="center"/>
      <protection hidden="1"/>
    </xf>
    <xf numFmtId="0" fontId="19" fillId="0" borderId="0" xfId="0" applyFont="1" applyAlignment="1" applyProtection="1">
      <alignment horizontal="left"/>
      <protection hidden="1"/>
    </xf>
    <xf numFmtId="166" fontId="19" fillId="7" borderId="0" xfId="2" applyNumberFormat="1" applyFont="1" applyFill="1" applyBorder="1" applyAlignment="1" applyProtection="1">
      <alignment horizontal="left"/>
      <protection hidden="1"/>
    </xf>
    <xf numFmtId="0" fontId="12" fillId="0" borderId="0" xfId="0" applyFont="1" applyAlignment="1" applyProtection="1">
      <alignment horizontal="left"/>
      <protection hidden="1"/>
    </xf>
    <xf numFmtId="0" fontId="12" fillId="7" borderId="0" xfId="0" applyFont="1" applyFill="1" applyAlignment="1" applyProtection="1">
      <alignment horizontal="left"/>
      <protection hidden="1"/>
    </xf>
    <xf numFmtId="166" fontId="12" fillId="7" borderId="0" xfId="2" applyNumberFormat="1" applyFont="1" applyFill="1" applyBorder="1" applyAlignment="1" applyProtection="1">
      <alignment horizontal="left"/>
      <protection hidden="1"/>
    </xf>
    <xf numFmtId="0" fontId="0" fillId="0" borderId="0" xfId="0" applyAlignment="1" applyProtection="1">
      <alignment horizontal="left"/>
      <protection hidden="1"/>
    </xf>
    <xf numFmtId="0" fontId="11" fillId="0" borderId="0" xfId="0" applyFont="1" applyAlignment="1" applyProtection="1">
      <alignment horizontal="center"/>
      <protection hidden="1"/>
    </xf>
    <xf numFmtId="0" fontId="12" fillId="7" borderId="0" xfId="0" applyFont="1" applyFill="1" applyAlignment="1" applyProtection="1">
      <alignment horizontal="center"/>
      <protection hidden="1"/>
    </xf>
    <xf numFmtId="166" fontId="12" fillId="7" borderId="0" xfId="2" applyNumberFormat="1" applyFont="1" applyFill="1" applyBorder="1" applyAlignment="1" applyProtection="1">
      <alignment horizontal="center"/>
      <protection hidden="1"/>
    </xf>
    <xf numFmtId="0" fontId="11" fillId="0" borderId="0" xfId="0" applyFont="1" applyProtection="1">
      <protection hidden="1"/>
    </xf>
    <xf numFmtId="166" fontId="12" fillId="7" borderId="0" xfId="2" applyNumberFormat="1" applyFont="1" applyFill="1" applyBorder="1" applyProtection="1">
      <protection hidden="1"/>
    </xf>
    <xf numFmtId="164" fontId="9" fillId="2" borderId="11" xfId="2" applyFont="1" applyFill="1" applyBorder="1" applyAlignment="1" applyProtection="1">
      <alignment horizontal="center"/>
      <protection locked="0"/>
    </xf>
    <xf numFmtId="20" fontId="0" fillId="4" borderId="1" xfId="0" applyNumberFormat="1" applyFill="1" applyBorder="1" applyAlignment="1" applyProtection="1">
      <alignment horizontal="center" vertical="center"/>
      <protection hidden="1"/>
    </xf>
    <xf numFmtId="0" fontId="6" fillId="0" borderId="0" xfId="0" applyFont="1" applyProtection="1">
      <protection hidden="1"/>
    </xf>
    <xf numFmtId="14" fontId="6" fillId="0" borderId="0" xfId="0" applyNumberFormat="1" applyFont="1" applyProtection="1">
      <protection hidden="1"/>
    </xf>
    <xf numFmtId="0" fontId="5" fillId="0" borderId="0" xfId="0" applyFont="1" applyProtection="1">
      <protection hidden="1"/>
    </xf>
    <xf numFmtId="20" fontId="0" fillId="0" borderId="0" xfId="0" applyNumberFormat="1" applyProtection="1">
      <protection hidden="1"/>
    </xf>
    <xf numFmtId="0" fontId="8" fillId="4" borderId="38" xfId="0" applyFont="1" applyFill="1" applyBorder="1" applyAlignment="1" applyProtection="1">
      <alignment horizontal="center"/>
      <protection hidden="1"/>
    </xf>
    <xf numFmtId="0" fontId="8" fillId="4" borderId="5" xfId="0" applyFont="1" applyFill="1" applyBorder="1" applyAlignment="1" applyProtection="1">
      <alignment horizontal="center"/>
      <protection hidden="1"/>
    </xf>
    <xf numFmtId="0" fontId="8" fillId="4" borderId="30" xfId="0" applyFont="1" applyFill="1" applyBorder="1" applyAlignment="1" applyProtection="1">
      <alignment horizontal="center"/>
      <protection hidden="1"/>
    </xf>
    <xf numFmtId="0" fontId="8" fillId="4" borderId="31" xfId="0" applyFont="1" applyFill="1" applyBorder="1" applyAlignment="1" applyProtection="1">
      <alignment horizontal="center"/>
      <protection hidden="1"/>
    </xf>
    <xf numFmtId="0" fontId="28" fillId="0" borderId="0" xfId="0" applyFont="1" applyAlignment="1" applyProtection="1">
      <alignment horizontal="left"/>
      <protection hidden="1"/>
    </xf>
    <xf numFmtId="0" fontId="8" fillId="5" borderId="16" xfId="0" applyFont="1" applyFill="1" applyBorder="1" applyAlignment="1" applyProtection="1">
      <alignment horizontal="center"/>
      <protection hidden="1"/>
    </xf>
    <xf numFmtId="0" fontId="1" fillId="0" borderId="0" xfId="0" applyFont="1" applyAlignment="1" applyProtection="1">
      <alignment horizontal="center"/>
      <protection hidden="1"/>
    </xf>
    <xf numFmtId="0" fontId="1" fillId="0" borderId="1" xfId="0" applyFont="1" applyBorder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0" fillId="0" borderId="0" xfId="0" applyAlignment="1" applyProtection="1">
      <alignment horizontal="center" vertical="center"/>
      <protection hidden="1"/>
    </xf>
    <xf numFmtId="0" fontId="21" fillId="0" borderId="0" xfId="0" applyFont="1" applyAlignment="1" applyProtection="1">
      <alignment horizontal="center" vertical="center"/>
      <protection hidden="1"/>
    </xf>
    <xf numFmtId="0" fontId="10" fillId="9" borderId="33" xfId="0" applyFont="1" applyFill="1" applyBorder="1" applyAlignment="1" applyProtection="1">
      <alignment horizontal="center"/>
      <protection locked="0"/>
    </xf>
    <xf numFmtId="165" fontId="0" fillId="2" borderId="1" xfId="2" applyNumberFormat="1" applyFont="1" applyFill="1" applyBorder="1" applyAlignment="1" applyProtection="1">
      <alignment horizontal="center"/>
      <protection locked="0"/>
    </xf>
    <xf numFmtId="0" fontId="10" fillId="9" borderId="37" xfId="0" applyFont="1" applyFill="1" applyBorder="1" applyAlignment="1" applyProtection="1">
      <alignment horizontal="center"/>
      <protection locked="0"/>
    </xf>
    <xf numFmtId="0" fontId="10" fillId="9" borderId="36" xfId="0" applyFont="1" applyFill="1" applyBorder="1" applyAlignment="1" applyProtection="1">
      <alignment horizontal="center"/>
      <protection locked="0"/>
    </xf>
    <xf numFmtId="0" fontId="24" fillId="0" borderId="0" xfId="0" applyFont="1" applyAlignment="1" applyProtection="1">
      <alignment horizontal="left"/>
      <protection hidden="1"/>
    </xf>
    <xf numFmtId="0" fontId="1" fillId="0" borderId="0" xfId="0" applyFont="1" applyAlignment="1" applyProtection="1">
      <alignment horizontal="center"/>
      <protection hidden="1"/>
    </xf>
    <xf numFmtId="10" fontId="0" fillId="0" borderId="0" xfId="0" applyNumberFormat="1" applyAlignment="1" applyProtection="1">
      <alignment horizontal="center"/>
      <protection hidden="1"/>
    </xf>
    <xf numFmtId="16" fontId="6" fillId="0" borderId="0" xfId="0" applyNumberFormat="1" applyFont="1" applyAlignment="1" applyProtection="1">
      <alignment horizontal="center"/>
      <protection hidden="1"/>
    </xf>
    <xf numFmtId="0" fontId="0" fillId="0" borderId="0" xfId="0" applyAlignment="1" applyProtection="1">
      <alignment horizontal="center"/>
      <protection hidden="1"/>
    </xf>
    <xf numFmtId="0" fontId="1" fillId="0" borderId="1" xfId="0" applyFont="1" applyBorder="1" applyAlignment="1" applyProtection="1">
      <alignment horizontal="center"/>
      <protection hidden="1"/>
    </xf>
    <xf numFmtId="0" fontId="1" fillId="0" borderId="2" xfId="0" applyFont="1" applyBorder="1" applyAlignment="1" applyProtection="1">
      <alignment horizontal="center"/>
      <protection hidden="1"/>
    </xf>
    <xf numFmtId="0" fontId="1" fillId="0" borderId="11" xfId="0" applyFont="1" applyBorder="1" applyAlignment="1" applyProtection="1">
      <alignment horizontal="center"/>
      <protection hidden="1"/>
    </xf>
    <xf numFmtId="0" fontId="1" fillId="0" borderId="3" xfId="0" applyFont="1" applyBorder="1" applyAlignment="1" applyProtection="1">
      <alignment horizontal="center"/>
      <protection hidden="1"/>
    </xf>
    <xf numFmtId="0" fontId="0" fillId="0" borderId="0" xfId="0" applyAlignment="1" applyProtection="1">
      <alignment horizontal="right"/>
      <protection hidden="1"/>
    </xf>
    <xf numFmtId="0" fontId="8" fillId="11" borderId="4" xfId="2" applyNumberFormat="1" applyFont="1" applyFill="1" applyBorder="1" applyAlignment="1" applyProtection="1">
      <alignment horizontal="center"/>
      <protection hidden="1"/>
    </xf>
    <xf numFmtId="0" fontId="8" fillId="11" borderId="23" xfId="2" applyNumberFormat="1" applyFont="1" applyFill="1" applyBorder="1" applyAlignment="1" applyProtection="1">
      <alignment horizontal="center"/>
      <protection hidden="1"/>
    </xf>
    <xf numFmtId="0" fontId="8" fillId="11" borderId="24" xfId="2" applyNumberFormat="1" applyFont="1" applyFill="1" applyBorder="1" applyAlignment="1" applyProtection="1">
      <alignment horizontal="center"/>
      <protection hidden="1"/>
    </xf>
    <xf numFmtId="0" fontId="8" fillId="5" borderId="12" xfId="0" applyFont="1" applyFill="1" applyBorder="1" applyAlignment="1" applyProtection="1">
      <alignment horizontal="center"/>
      <protection hidden="1"/>
    </xf>
    <xf numFmtId="0" fontId="8" fillId="5" borderId="13" xfId="0" applyFont="1" applyFill="1" applyBorder="1" applyAlignment="1" applyProtection="1">
      <alignment horizontal="center"/>
      <protection hidden="1"/>
    </xf>
    <xf numFmtId="0" fontId="8" fillId="5" borderId="16" xfId="0" applyFont="1" applyFill="1" applyBorder="1" applyAlignment="1" applyProtection="1">
      <alignment horizontal="center"/>
      <protection hidden="1"/>
    </xf>
    <xf numFmtId="0" fontId="8" fillId="2" borderId="1" xfId="2" applyNumberFormat="1" applyFont="1" applyFill="1" applyBorder="1" applyAlignment="1" applyProtection="1">
      <alignment horizontal="center"/>
      <protection locked="0"/>
    </xf>
    <xf numFmtId="0" fontId="8" fillId="2" borderId="2" xfId="2" applyNumberFormat="1" applyFont="1" applyFill="1" applyBorder="1" applyAlignment="1" applyProtection="1">
      <alignment horizontal="center"/>
      <protection locked="0"/>
    </xf>
    <xf numFmtId="0" fontId="8" fillId="2" borderId="1" xfId="2" quotePrefix="1" applyNumberFormat="1" applyFont="1" applyFill="1" applyBorder="1" applyAlignment="1" applyProtection="1">
      <alignment horizontal="center"/>
      <protection locked="0"/>
    </xf>
    <xf numFmtId="0" fontId="8" fillId="11" borderId="6" xfId="2" applyNumberFormat="1" applyFont="1" applyFill="1" applyBorder="1" applyAlignment="1" applyProtection="1">
      <alignment horizontal="center"/>
      <protection hidden="1"/>
    </xf>
    <xf numFmtId="0" fontId="8" fillId="11" borderId="25" xfId="2" applyNumberFormat="1" applyFont="1" applyFill="1" applyBorder="1" applyAlignment="1" applyProtection="1">
      <alignment horizontal="center"/>
      <protection hidden="1"/>
    </xf>
    <xf numFmtId="0" fontId="8" fillId="11" borderId="26" xfId="2" applyNumberFormat="1" applyFont="1" applyFill="1" applyBorder="1" applyAlignment="1" applyProtection="1">
      <alignment horizontal="center"/>
      <protection hidden="1"/>
    </xf>
    <xf numFmtId="166" fontId="7" fillId="11" borderId="2" xfId="2" applyNumberFormat="1" applyFont="1" applyFill="1" applyBorder="1" applyAlignment="1" applyProtection="1">
      <alignment horizontal="center"/>
      <protection hidden="1"/>
    </xf>
    <xf numFmtId="166" fontId="7" fillId="11" borderId="3" xfId="2" applyNumberFormat="1" applyFont="1" applyFill="1" applyBorder="1" applyAlignment="1" applyProtection="1">
      <alignment horizontal="center"/>
      <protection hidden="1"/>
    </xf>
    <xf numFmtId="2" fontId="8" fillId="11" borderId="6" xfId="2" applyNumberFormat="1" applyFont="1" applyFill="1" applyBorder="1" applyAlignment="1" applyProtection="1">
      <alignment horizontal="center"/>
      <protection hidden="1"/>
    </xf>
    <xf numFmtId="2" fontId="8" fillId="11" borderId="25" xfId="2" applyNumberFormat="1" applyFont="1" applyFill="1" applyBorder="1" applyAlignment="1" applyProtection="1">
      <alignment horizontal="center"/>
      <protection hidden="1"/>
    </xf>
    <xf numFmtId="2" fontId="8" fillId="11" borderId="26" xfId="2" applyNumberFormat="1" applyFont="1" applyFill="1" applyBorder="1" applyAlignment="1" applyProtection="1">
      <alignment horizontal="center"/>
      <protection hidden="1"/>
    </xf>
    <xf numFmtId="0" fontId="20" fillId="2" borderId="2" xfId="0" applyFont="1" applyFill="1" applyBorder="1" applyAlignment="1" applyProtection="1">
      <alignment horizontal="center"/>
      <protection locked="0"/>
    </xf>
    <xf numFmtId="0" fontId="20" fillId="2" borderId="11" xfId="0" applyFont="1" applyFill="1" applyBorder="1" applyAlignment="1" applyProtection="1">
      <alignment horizontal="center"/>
      <protection locked="0"/>
    </xf>
    <xf numFmtId="0" fontId="20" fillId="2" borderId="17" xfId="0" applyFont="1" applyFill="1" applyBorder="1" applyAlignment="1" applyProtection="1">
      <alignment horizontal="center"/>
      <protection locked="0"/>
    </xf>
    <xf numFmtId="0" fontId="20" fillId="2" borderId="6" xfId="0" applyFont="1" applyFill="1" applyBorder="1" applyAlignment="1" applyProtection="1">
      <alignment horizontal="center"/>
      <protection locked="0"/>
    </xf>
    <xf numFmtId="0" fontId="20" fillId="2" borderId="25" xfId="0" applyFont="1" applyFill="1" applyBorder="1" applyAlignment="1" applyProtection="1">
      <alignment horizontal="center"/>
      <protection locked="0"/>
    </xf>
    <xf numFmtId="0" fontId="20" fillId="2" borderId="35" xfId="0" applyFont="1" applyFill="1" applyBorder="1" applyAlignment="1" applyProtection="1">
      <alignment horizontal="center"/>
      <protection locked="0"/>
    </xf>
    <xf numFmtId="0" fontId="8" fillId="11" borderId="2" xfId="2" applyNumberFormat="1" applyFont="1" applyFill="1" applyBorder="1" applyAlignment="1" applyProtection="1">
      <alignment horizontal="center"/>
      <protection hidden="1"/>
    </xf>
    <xf numFmtId="0" fontId="8" fillId="11" borderId="11" xfId="2" applyNumberFormat="1" applyFont="1" applyFill="1" applyBorder="1" applyAlignment="1" applyProtection="1">
      <alignment horizontal="center"/>
      <protection hidden="1"/>
    </xf>
    <xf numFmtId="0" fontId="8" fillId="11" borderId="3" xfId="2" applyNumberFormat="1" applyFont="1" applyFill="1" applyBorder="1" applyAlignment="1" applyProtection="1">
      <alignment horizontal="center"/>
      <protection hidden="1"/>
    </xf>
    <xf numFmtId="166" fontId="7" fillId="11" borderId="10" xfId="2" applyNumberFormat="1" applyFont="1" applyFill="1" applyBorder="1" applyAlignment="1" applyProtection="1">
      <alignment horizontal="center"/>
      <protection hidden="1"/>
    </xf>
    <xf numFmtId="166" fontId="7" fillId="11" borderId="27" xfId="2" applyNumberFormat="1" applyFont="1" applyFill="1" applyBorder="1" applyAlignment="1" applyProtection="1">
      <alignment horizontal="center"/>
      <protection hidden="1"/>
    </xf>
    <xf numFmtId="0" fontId="20" fillId="2" borderId="10" xfId="0" applyFont="1" applyFill="1" applyBorder="1" applyAlignment="1" applyProtection="1">
      <alignment horizontal="center"/>
      <protection locked="0"/>
    </xf>
    <xf numFmtId="0" fontId="20" fillId="2" borderId="28" xfId="0" applyFont="1" applyFill="1" applyBorder="1" applyAlignment="1" applyProtection="1">
      <alignment horizontal="center"/>
      <protection locked="0"/>
    </xf>
    <xf numFmtId="0" fontId="20" fillId="2" borderId="34" xfId="0" applyFont="1" applyFill="1" applyBorder="1" applyAlignment="1" applyProtection="1">
      <alignment horizontal="center"/>
      <protection locked="0"/>
    </xf>
    <xf numFmtId="166" fontId="7" fillId="11" borderId="6" xfId="2" applyNumberFormat="1" applyFont="1" applyFill="1" applyBorder="1" applyAlignment="1" applyProtection="1">
      <alignment horizontal="center"/>
      <protection hidden="1"/>
    </xf>
    <xf numFmtId="166" fontId="7" fillId="11" borderId="26" xfId="2" applyNumberFormat="1" applyFont="1" applyFill="1" applyBorder="1" applyAlignment="1" applyProtection="1">
      <alignment horizontal="center"/>
      <protection hidden="1"/>
    </xf>
    <xf numFmtId="166" fontId="7" fillId="11" borderId="20" xfId="2" applyNumberFormat="1" applyFont="1" applyFill="1" applyBorder="1" applyAlignment="1" applyProtection="1">
      <alignment horizontal="center"/>
      <protection hidden="1"/>
    </xf>
    <xf numFmtId="166" fontId="7" fillId="11" borderId="22" xfId="2" applyNumberFormat="1" applyFont="1" applyFill="1" applyBorder="1" applyAlignment="1" applyProtection="1">
      <alignment horizontal="center"/>
      <protection hidden="1"/>
    </xf>
    <xf numFmtId="2" fontId="8" fillId="11" borderId="2" xfId="2" applyNumberFormat="1" applyFont="1" applyFill="1" applyBorder="1" applyAlignment="1" applyProtection="1">
      <alignment horizontal="center"/>
      <protection hidden="1"/>
    </xf>
    <xf numFmtId="2" fontId="8" fillId="11" borderId="11" xfId="2" applyNumberFormat="1" applyFont="1" applyFill="1" applyBorder="1" applyAlignment="1" applyProtection="1">
      <alignment horizontal="center"/>
      <protection hidden="1"/>
    </xf>
    <xf numFmtId="2" fontId="8" fillId="11" borderId="3" xfId="2" applyNumberFormat="1" applyFont="1" applyFill="1" applyBorder="1" applyAlignment="1" applyProtection="1">
      <alignment horizontal="center"/>
      <protection hidden="1"/>
    </xf>
    <xf numFmtId="2" fontId="8" fillId="11" borderId="10" xfId="2" applyNumberFormat="1" applyFont="1" applyFill="1" applyBorder="1" applyAlignment="1" applyProtection="1">
      <alignment horizontal="center"/>
      <protection hidden="1"/>
    </xf>
    <xf numFmtId="2" fontId="8" fillId="11" borderId="28" xfId="2" applyNumberFormat="1" applyFont="1" applyFill="1" applyBorder="1" applyAlignment="1" applyProtection="1">
      <alignment horizontal="center"/>
      <protection hidden="1"/>
    </xf>
    <xf numFmtId="2" fontId="8" fillId="11" borderId="27" xfId="2" applyNumberFormat="1" applyFont="1" applyFill="1" applyBorder="1" applyAlignment="1" applyProtection="1">
      <alignment horizontal="center"/>
      <protection hidden="1"/>
    </xf>
    <xf numFmtId="0" fontId="8" fillId="2" borderId="4" xfId="2" applyNumberFormat="1" applyFont="1" applyFill="1" applyBorder="1" applyAlignment="1" applyProtection="1">
      <alignment horizontal="center"/>
      <protection locked="0"/>
    </xf>
    <xf numFmtId="0" fontId="8" fillId="2" borderId="23" xfId="2" applyNumberFormat="1" applyFont="1" applyFill="1" applyBorder="1" applyAlignment="1" applyProtection="1">
      <alignment horizontal="center"/>
      <protection locked="0"/>
    </xf>
    <xf numFmtId="0" fontId="8" fillId="2" borderId="24" xfId="2" applyNumberFormat="1" applyFont="1" applyFill="1" applyBorder="1" applyAlignment="1" applyProtection="1">
      <alignment horizontal="center"/>
      <protection locked="0"/>
    </xf>
    <xf numFmtId="10" fontId="8" fillId="2" borderId="4" xfId="2" applyNumberFormat="1" applyFont="1" applyFill="1" applyBorder="1" applyAlignment="1" applyProtection="1">
      <alignment horizontal="center"/>
      <protection locked="0"/>
    </xf>
    <xf numFmtId="0" fontId="8" fillId="11" borderId="10" xfId="2" applyNumberFormat="1" applyFont="1" applyFill="1" applyBorder="1" applyAlignment="1" applyProtection="1">
      <alignment horizontal="center"/>
      <protection hidden="1"/>
    </xf>
    <xf numFmtId="0" fontId="8" fillId="11" borderId="28" xfId="2" applyNumberFormat="1" applyFont="1" applyFill="1" applyBorder="1" applyAlignment="1" applyProtection="1">
      <alignment horizontal="center"/>
      <protection hidden="1"/>
    </xf>
    <xf numFmtId="0" fontId="8" fillId="11" borderId="27" xfId="2" applyNumberFormat="1" applyFont="1" applyFill="1" applyBorder="1" applyAlignment="1" applyProtection="1">
      <alignment horizontal="center"/>
      <protection hidden="1"/>
    </xf>
    <xf numFmtId="0" fontId="6" fillId="12" borderId="0" xfId="0" applyFont="1" applyFill="1" applyAlignment="1" applyProtection="1">
      <alignment horizontal="left" vertical="top"/>
      <protection locked="0"/>
    </xf>
  </cellXfs>
  <cellStyles count="5">
    <cellStyle name="Comma 2" xfId="2" xr:uid="{00000000-0005-0000-0000-000000000000}"/>
    <cellStyle name="Hyperlink" xfId="4" builtinId="8"/>
    <cellStyle name="Normal" xfId="0" builtinId="0"/>
    <cellStyle name="Normal 2" xfId="1" xr:uid="{00000000-0005-0000-0000-000003000000}"/>
    <cellStyle name="Percent 2" xfId="3" xr:uid="{00000000-0005-0000-0000-000004000000}"/>
  </cellStyles>
  <dxfs count="1397"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ont>
        <color theme="0"/>
      </font>
    </dxf>
    <dxf>
      <fill>
        <patternFill>
          <bgColor theme="8" tint="0.79998168889431442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33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theme="8" tint="0.79998168889431442"/>
        </patternFill>
      </fill>
    </dxf>
    <dxf>
      <font>
        <color theme="0"/>
      </font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8" tint="0.79998168889431442"/>
        </patternFill>
      </fill>
    </dxf>
    <dxf>
      <fill>
        <patternFill>
          <bgColor theme="0"/>
        </patternFill>
      </fill>
    </dxf>
    <dxf>
      <fill>
        <patternFill>
          <bgColor rgb="FF92D050"/>
        </patternFill>
      </fill>
    </dxf>
    <dxf>
      <fill>
        <patternFill>
          <bgColor rgb="FFFF3300"/>
        </patternFill>
      </fill>
    </dxf>
    <dxf>
      <fill>
        <patternFill>
          <bgColor rgb="FFFF3300"/>
        </patternFill>
      </fill>
    </dxf>
    <dxf>
      <fill>
        <patternFill>
          <bgColor rgb="FF92D050"/>
        </patternFill>
      </fill>
    </dxf>
    <dxf>
      <font>
        <color theme="0"/>
      </font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499984740745262"/>
        </patternFill>
      </fill>
      <border>
        <left style="thin">
          <color auto="1"/>
        </left>
        <right style="thin">
          <color auto="1"/>
        </right>
        <top/>
        <bottom/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/>
        <bottom/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/>
        <bottom/>
        <vertical/>
        <horizontal/>
      </border>
    </dxf>
    <dxf>
      <fill>
        <patternFill>
          <bgColor theme="0" tint="-0.499984740745262"/>
        </patternFill>
      </fill>
      <border>
        <left style="thin">
          <color auto="1"/>
        </left>
        <right style="thin">
          <color auto="1"/>
        </right>
        <top/>
        <bottom/>
        <vertical/>
        <horizontal/>
      </border>
    </dxf>
    <dxf>
      <fill>
        <patternFill>
          <bgColor theme="0" tint="-0.3499862666707357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  <border>
        <left/>
        <right/>
        <top/>
        <bottom/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  <border>
        <left/>
        <right/>
        <top/>
        <bottom/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  <border>
        <left/>
        <right/>
        <top/>
        <bottom/>
        <vertical/>
        <horizontal/>
      </border>
    </dxf>
    <dxf>
      <fill>
        <patternFill>
          <bgColor theme="0" tint="-0.34998626667073579"/>
        </patternFill>
      </fill>
      <border>
        <left/>
        <right/>
        <top/>
        <bottom/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  <border>
        <left/>
        <right/>
        <top/>
        <bottom/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  <border>
        <left/>
        <right/>
        <top/>
        <bottom/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  <border>
        <left/>
        <right/>
        <top/>
        <bottom/>
        <vertical/>
        <horizontal/>
      </border>
    </dxf>
    <dxf>
      <fill>
        <patternFill>
          <bgColor theme="0" tint="-0.34998626667073579"/>
        </patternFill>
      </fill>
      <border>
        <left/>
        <right/>
        <top/>
        <bottom/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  <border>
        <left/>
        <right/>
        <top/>
        <bottom/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  <border>
        <left/>
        <right/>
        <top/>
        <bottom/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34998626667073579"/>
        </patternFill>
      </fill>
      <border>
        <left/>
        <right/>
        <top/>
        <bottom/>
        <vertical/>
        <horizontal/>
      </border>
    </dxf>
    <dxf>
      <fill>
        <patternFill>
          <bgColor theme="0" tint="-0.499984740745262"/>
        </patternFill>
      </fill>
      <border>
        <left/>
        <right/>
        <top/>
        <bottom/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DAEEF3"/>
      <color rgb="FFFFFF99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Q273"/>
  <sheetViews>
    <sheetView zoomScale="40" zoomScaleNormal="40" workbookViewId="0">
      <selection activeCell="F4" sqref="F4"/>
    </sheetView>
  </sheetViews>
  <sheetFormatPr defaultColWidth="11.36328125" defaultRowHeight="12.5" x14ac:dyDescent="0.25"/>
  <cols>
    <col min="1" max="6" width="3.7265625" style="3" customWidth="1"/>
    <col min="7" max="7" width="4.81640625" style="3" customWidth="1"/>
    <col min="8" max="47" width="3.7265625" style="3" customWidth="1"/>
    <col min="48" max="48" width="3.7265625" style="74" customWidth="1"/>
    <col min="49" max="51" width="3.7265625" style="15" customWidth="1"/>
    <col min="52" max="84" width="3.7265625" style="75" customWidth="1"/>
    <col min="85" max="85" width="17.81640625" style="75" customWidth="1"/>
    <col min="86" max="86" width="9.08984375" style="75" bestFit="1" customWidth="1"/>
    <col min="87" max="87" width="6.36328125" style="75" bestFit="1" customWidth="1"/>
    <col min="88" max="88" width="8.08984375" style="75" bestFit="1" customWidth="1"/>
    <col min="89" max="89" width="8.08984375" style="75" customWidth="1"/>
    <col min="90" max="90" width="9.7265625" style="75" customWidth="1"/>
    <col min="91" max="93" width="4.7265625" style="15" customWidth="1"/>
    <col min="94" max="94" width="6.26953125" style="15" customWidth="1"/>
    <col min="95" max="95" width="24.6328125" style="15" bestFit="1" customWidth="1"/>
    <col min="96" max="106" width="11.36328125" style="19" customWidth="1"/>
    <col min="107" max="16384" width="11.36328125" style="19"/>
  </cols>
  <sheetData>
    <row r="1" spans="1:95" ht="29.25" customHeight="1" x14ac:dyDescent="0.5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86" t="s">
        <v>1</v>
      </c>
      <c r="M1" s="55" t="s">
        <v>141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Z1" s="16"/>
      <c r="BA1" s="17"/>
      <c r="BB1" s="17"/>
      <c r="BC1" s="17"/>
      <c r="BD1" s="17"/>
      <c r="BE1" s="17"/>
      <c r="BF1" s="17"/>
      <c r="BG1" s="17"/>
      <c r="BH1" s="17"/>
      <c r="BI1" s="17"/>
      <c r="BJ1" s="17"/>
      <c r="BK1" s="17"/>
      <c r="BL1" s="17"/>
      <c r="BM1" s="17"/>
      <c r="BN1" s="17"/>
      <c r="BO1" s="17"/>
      <c r="BP1" s="17"/>
      <c r="BQ1" s="17"/>
      <c r="BR1" s="17"/>
      <c r="BS1" s="17"/>
      <c r="BT1" s="17"/>
      <c r="BU1" s="17"/>
      <c r="BV1" s="17"/>
      <c r="BW1" s="17"/>
      <c r="BX1" s="17"/>
      <c r="BY1" s="17"/>
      <c r="BZ1" s="17"/>
      <c r="CA1" s="17"/>
      <c r="CB1" s="17"/>
      <c r="CC1" s="17"/>
      <c r="CD1" s="17"/>
      <c r="CE1" s="17"/>
      <c r="CF1" s="17"/>
      <c r="CG1" s="17"/>
      <c r="CH1" s="17"/>
      <c r="CI1" s="17"/>
      <c r="CJ1" s="17"/>
      <c r="CK1" s="17"/>
      <c r="CL1" s="17"/>
      <c r="CM1" s="18"/>
      <c r="CN1" s="18"/>
      <c r="CO1" s="18"/>
      <c r="CP1" s="18"/>
      <c r="CQ1" s="18"/>
    </row>
    <row r="2" spans="1:95" ht="13" thickBot="1" x14ac:dyDescent="0.3">
      <c r="A2" s="20" t="s">
        <v>2</v>
      </c>
      <c r="B2" s="20"/>
      <c r="C2" s="20">
        <v>1</v>
      </c>
      <c r="D2" s="21"/>
      <c r="E2" s="20"/>
      <c r="F2" s="20"/>
      <c r="G2" s="20"/>
      <c r="H2" s="20" t="s">
        <v>2</v>
      </c>
      <c r="I2" s="20"/>
      <c r="J2" s="20">
        <v>2</v>
      </c>
      <c r="K2" s="20"/>
      <c r="L2" s="20"/>
      <c r="M2" s="20"/>
      <c r="N2" s="20"/>
      <c r="O2" s="20" t="s">
        <v>2</v>
      </c>
      <c r="P2" s="20"/>
      <c r="Q2" s="20">
        <v>3</v>
      </c>
      <c r="R2" s="20"/>
      <c r="S2" s="20"/>
      <c r="T2" s="20"/>
      <c r="U2" s="20"/>
      <c r="V2" s="20" t="s">
        <v>2</v>
      </c>
      <c r="W2" s="20"/>
      <c r="X2" s="20">
        <v>4</v>
      </c>
      <c r="Y2" s="20"/>
      <c r="Z2" s="20"/>
      <c r="AA2" s="20"/>
      <c r="AB2" s="20"/>
      <c r="AC2" s="20" t="s">
        <v>2</v>
      </c>
      <c r="AD2" s="20"/>
      <c r="AE2" s="20">
        <v>5</v>
      </c>
      <c r="AF2" s="20"/>
      <c r="AG2" s="20"/>
      <c r="AH2" s="20"/>
      <c r="AI2" s="20"/>
      <c r="AJ2" s="20" t="s">
        <v>2</v>
      </c>
      <c r="AK2" s="20"/>
      <c r="AL2" s="20">
        <v>6</v>
      </c>
      <c r="AM2" s="20"/>
      <c r="AN2" s="20"/>
      <c r="AO2" s="20"/>
      <c r="AP2" s="20"/>
      <c r="AQ2" s="20" t="s">
        <v>2</v>
      </c>
      <c r="AR2" s="20"/>
      <c r="AS2" s="20">
        <v>7</v>
      </c>
      <c r="AT2" s="20"/>
      <c r="AU2" s="20"/>
      <c r="AV2" s="20"/>
      <c r="AW2" s="20"/>
      <c r="AX2" s="20" t="s">
        <v>2</v>
      </c>
      <c r="AY2" s="20"/>
      <c r="AZ2" s="20">
        <v>8</v>
      </c>
      <c r="BA2" s="20"/>
      <c r="BB2" s="20"/>
      <c r="BC2" s="20"/>
      <c r="BD2" s="20"/>
      <c r="BE2" s="20" t="s">
        <v>2</v>
      </c>
      <c r="BF2" s="20"/>
      <c r="BG2" s="20">
        <v>9</v>
      </c>
      <c r="BH2" s="20"/>
      <c r="BI2" s="20"/>
      <c r="BJ2" s="20"/>
      <c r="BK2" s="20"/>
      <c r="BL2" s="20" t="s">
        <v>2</v>
      </c>
      <c r="BM2" s="20"/>
      <c r="BN2" s="20">
        <v>10</v>
      </c>
      <c r="BO2" s="20"/>
      <c r="BP2" s="20"/>
      <c r="BQ2" s="20"/>
      <c r="BR2" s="20"/>
      <c r="BS2" s="20" t="s">
        <v>2</v>
      </c>
      <c r="BT2" s="20"/>
      <c r="BU2" s="20">
        <v>11</v>
      </c>
      <c r="BV2" s="20"/>
      <c r="BW2" s="20"/>
      <c r="BX2" s="20"/>
      <c r="BY2" s="20"/>
      <c r="BZ2" s="20" t="s">
        <v>2</v>
      </c>
      <c r="CA2" s="20"/>
      <c r="CB2" s="20">
        <v>12</v>
      </c>
      <c r="CC2" s="20"/>
      <c r="CD2" s="20"/>
      <c r="CE2" s="20"/>
      <c r="CF2" s="20"/>
      <c r="CG2" s="22"/>
      <c r="CH2" s="22"/>
      <c r="CI2" s="22"/>
      <c r="CJ2" s="23"/>
      <c r="CK2" s="23"/>
      <c r="CL2" s="24"/>
      <c r="CM2" s="25"/>
      <c r="CN2" s="25"/>
      <c r="CO2" s="25"/>
      <c r="CP2" s="25"/>
      <c r="CQ2" s="25"/>
    </row>
    <row r="3" spans="1:95" s="36" customFormat="1" ht="15" customHeight="1" thickBot="1" x14ac:dyDescent="0.3">
      <c r="A3" s="26" t="str">
        <f>IF($G$38="Mandag","m",IF($G$38="Tirsdag","t",IF($G$38="Onsdag","o",IF($G$38="Torsdag","t",IF($G$38="Fredag","f",IF($G$38="Lørdag","l",IF($G$38="Søndag","s","N/A")))))))</f>
        <v>m</v>
      </c>
      <c r="B3" s="27" t="str">
        <f>IF($G$38="Mandag","t",IF($G$38="Tirsdag","o",IF($G$38="Onsdag","t",IF($G$38="Torsdag","f",IF($G$38="Fredag","l",IF($G$38="Lørdag","s",IF($G$38="Søndag","m","N/A")))))))</f>
        <v>t</v>
      </c>
      <c r="C3" s="27" t="str">
        <f>IF($G$38="Mandag","o",IF($G$38="Tirsdag","t",IF($G$38="Onsdag","f",IF($G$38="Torsdag","l",IF($G$38="Fredag","s",IF($G$38="Lørdag","m",IF($G$38="Søndag","t","N/A")))))))</f>
        <v>o</v>
      </c>
      <c r="D3" s="27" t="str">
        <f>IF($G$38="Mandag","t",IF($G$38="Tirsdag","f",IF($G$38="Onsdag","l",IF($G$38="Torsdag","s",IF($G$38="Fredag","m",IF($G$38="Lørdag","t",IF($G$38="Søndag","o","N/A")))))))</f>
        <v>t</v>
      </c>
      <c r="E3" s="27" t="str">
        <f>IF($G$38="Mandag","f",IF($G$38="Tirsdag","l",IF($G$38="Onsdag","s",IF($G$38="Torsdag","m",IF($G$38="Fredag","t",IF($G$38="Lørdag","o",IF($G$38="Søndag","t","N/A")))))))</f>
        <v>f</v>
      </c>
      <c r="F3" s="27" t="str">
        <f>IF($G$38="Mandag","l",IF($G$38="Tirsdag","s",IF($G$38="Onsdag","m",IF($G$38="Torsdag","t",IF($G$38="Fredag","o",IF($G$38="Lørdag","t",IF($G$38="Søndag","f","N/A")))))))</f>
        <v>l</v>
      </c>
      <c r="G3" s="28" t="str">
        <f>IF($G$38="Mandag","s",IF($G$38="Tirsdag","m",IF($G$38="Onsdag","t",IF($G$38="Torsdag","o",IF($G$38="Fredag","t",IF($G$38="Lørdag","f",IF($G$38="Søndag","l","N/A")))))))</f>
        <v>s</v>
      </c>
      <c r="H3" s="29" t="str">
        <f>IF($G$38="Mandag","m",IF($G$38="Tirsdag","t",IF($G$38="Onsdag","o",IF($G$38="Torsdag","t",IF($G$38="Fredag","f",IF($G$38="Lørdag","l",IF($G$38="Søndag","s","N/A")))))))</f>
        <v>m</v>
      </c>
      <c r="I3" s="30" t="str">
        <f>IF($G$38="Mandag","t",IF($G$38="Tirsdag","o",IF($G$38="Onsdag","t",IF($G$38="Torsdag","f",IF($G$38="Fredag","l",IF($G$38="Lørdag","s",IF($G$38="Søndag","m","N/A")))))))</f>
        <v>t</v>
      </c>
      <c r="J3" s="30" t="str">
        <f>IF($G$38="Mandag","o",IF($G$38="Tirsdag","t",IF($G$38="Onsdag","f",IF($G$38="Torsdag","l",IF($G$38="Fredag","s",IF($G$38="Lørdag","m",IF($G$38="Søndag","t","N/A")))))))</f>
        <v>o</v>
      </c>
      <c r="K3" s="30" t="str">
        <f>IF($G$38="Mandag","t",IF($G$38="Tirsdag","f",IF($G$38="Onsdag","l",IF($G$38="Torsdag","s",IF($G$38="Fredag","m",IF($G$38="Lørdag","t",IF($G$38="Søndag","o","N/A")))))))</f>
        <v>t</v>
      </c>
      <c r="L3" s="30" t="str">
        <f>IF($G$38="Mandag","f",IF($G$38="Tirsdag","l",IF($G$38="Onsdag","s",IF($G$38="Torsdag","m",IF($G$38="Fredag","t",IF($G$38="Lørdag","o",IF($G$38="Søndag","t","N/A")))))))</f>
        <v>f</v>
      </c>
      <c r="M3" s="30" t="str">
        <f>IF($G$38="Mandag","l",IF($G$38="Tirsdag","s",IF($G$38="Onsdag","m",IF($G$38="Torsdag","t",IF($G$38="Fredag","o",IF($G$38="Lørdag","t",IF($G$38="Søndag","f","N/A")))))))</f>
        <v>l</v>
      </c>
      <c r="N3" s="31" t="str">
        <f>IF($G$38="Mandag","s",IF($G$38="Tirsdag","m",IF($G$38="Onsdag","t",IF($G$38="Torsdag","o",IF($G$38="Fredag","t",IF($G$38="Lørdag","f",IF($G$38="Søndag","l","N/A")))))))</f>
        <v>s</v>
      </c>
      <c r="O3" s="26" t="str">
        <f>IF($G$38="Mandag","m",IF($G$38="Tirsdag","t",IF($G$38="Onsdag","o",IF($G$38="Torsdag","t",IF($G$38="Fredag","f",IF($G$38="Lørdag","l",IF($G$38="Søndag","s","N/A")))))))</f>
        <v>m</v>
      </c>
      <c r="P3" s="27" t="str">
        <f>IF($G$38="Mandag","t",IF($G$38="Tirsdag","o",IF($G$38="Onsdag","t",IF($G$38="Torsdag","f",IF($G$38="Fredag","l",IF($G$38="Lørdag","s",IF($G$38="Søndag","m","N/A")))))))</f>
        <v>t</v>
      </c>
      <c r="Q3" s="27" t="str">
        <f>IF($G$38="Mandag","o",IF($G$38="Tirsdag","t",IF($G$38="Onsdag","f",IF($G$38="Torsdag","l",IF($G$38="Fredag","s",IF($G$38="Lørdag","m",IF($G$38="Søndag","t","N/A")))))))</f>
        <v>o</v>
      </c>
      <c r="R3" s="27" t="str">
        <f>IF($G$38="Mandag","t",IF($G$38="Tirsdag","f",IF($G$38="Onsdag","l",IF($G$38="Torsdag","s",IF($G$38="Fredag","m",IF($G$38="Lørdag","t",IF($G$38="Søndag","o","N/A")))))))</f>
        <v>t</v>
      </c>
      <c r="S3" s="27" t="str">
        <f>IF($G$38="Mandag","f",IF($G$38="Tirsdag","l",IF($G$38="Onsdag","s",IF($G$38="Torsdag","m",IF($G$38="Fredag","t",IF($G$38="Lørdag","o",IF($G$38="Søndag","t","N/A")))))))</f>
        <v>f</v>
      </c>
      <c r="T3" s="27" t="str">
        <f>IF($G$38="Mandag","l",IF($G$38="Tirsdag","s",IF($G$38="Onsdag","m",IF($G$38="Torsdag","t",IF($G$38="Fredag","o",IF($G$38="Lørdag","t",IF($G$38="Søndag","f","N/A")))))))</f>
        <v>l</v>
      </c>
      <c r="U3" s="28" t="str">
        <f>IF($G$38="Mandag","s",IF($G$38="Tirsdag","m",IF($G$38="Onsdag","t",IF($G$38="Torsdag","o",IF($G$38="Fredag","t",IF($G$38="Lørdag","f",IF($G$38="Søndag","l","N/A")))))))</f>
        <v>s</v>
      </c>
      <c r="V3" s="29" t="str">
        <f>IF($G$38="Mandag","m",IF($G$38="Tirsdag","t",IF($G$38="Onsdag","o",IF($G$38="Torsdag","t",IF($G$38="Fredag","f",IF($G$38="Lørdag","l",IF($G$38="Søndag","s","N/A")))))))</f>
        <v>m</v>
      </c>
      <c r="W3" s="30" t="str">
        <f>IF($G$38="Mandag","t",IF($G$38="Tirsdag","o",IF($G$38="Onsdag","t",IF($G$38="Torsdag","f",IF($G$38="Fredag","l",IF($G$38="Lørdag","s",IF($G$38="Søndag","m","N/A")))))))</f>
        <v>t</v>
      </c>
      <c r="X3" s="30" t="str">
        <f>IF($G$38="Mandag","o",IF($G$38="Tirsdag","t",IF($G$38="Onsdag","f",IF($G$38="Torsdag","l",IF($G$38="Fredag","s",IF($G$38="Lørdag","m",IF($G$38="Søndag","t","N/A")))))))</f>
        <v>o</v>
      </c>
      <c r="Y3" s="30" t="str">
        <f>IF($G$38="Mandag","t",IF($G$38="Tirsdag","f",IF($G$38="Onsdag","l",IF($G$38="Torsdag","s",IF($G$38="Fredag","m",IF($G$38="Lørdag","t",IF($G$38="Søndag","o","N/A")))))))</f>
        <v>t</v>
      </c>
      <c r="Z3" s="30" t="str">
        <f>IF($G$38="Mandag","f",IF($G$38="Tirsdag","l",IF($G$38="Onsdag","s",IF($G$38="Torsdag","m",IF($G$38="Fredag","t",IF($G$38="Lørdag","o",IF($G$38="Søndag","t","N/A")))))))</f>
        <v>f</v>
      </c>
      <c r="AA3" s="30" t="str">
        <f>IF($G$38="Mandag","l",IF($G$38="Tirsdag","s",IF($G$38="Onsdag","m",IF($G$38="Torsdag","t",IF($G$38="Fredag","o",IF($G$38="Lørdag","t",IF($G$38="Søndag","f","N/A")))))))</f>
        <v>l</v>
      </c>
      <c r="AB3" s="31" t="str">
        <f>IF($G$38="Mandag","s",IF($G$38="Tirsdag","m",IF($G$38="Onsdag","t",IF($G$38="Torsdag","o",IF($G$38="Fredag","t",IF($G$38="Lørdag","f",IF($G$38="Søndag","l","N/A")))))))</f>
        <v>s</v>
      </c>
      <c r="AC3" s="26" t="str">
        <f>IF($G$38="Mandag","m",IF($G$38="Tirsdag","t",IF($G$38="Onsdag","o",IF($G$38="Torsdag","t",IF($G$38="Fredag","f",IF($G$38="Lørdag","l",IF($G$38="Søndag","s","N/A")))))))</f>
        <v>m</v>
      </c>
      <c r="AD3" s="27" t="str">
        <f>IF($G$38="Mandag","t",IF($G$38="Tirsdag","o",IF($G$38="Onsdag","t",IF($G$38="Torsdag","f",IF($G$38="Fredag","l",IF($G$38="Lørdag","s",IF($G$38="Søndag","m","N/A")))))))</f>
        <v>t</v>
      </c>
      <c r="AE3" s="27" t="str">
        <f>IF($G$38="Mandag","o",IF($G$38="Tirsdag","t",IF($G$38="Onsdag","f",IF($G$38="Torsdag","l",IF($G$38="Fredag","s",IF($G$38="Lørdag","m",IF($G$38="Søndag","t","N/A")))))))</f>
        <v>o</v>
      </c>
      <c r="AF3" s="27" t="str">
        <f>IF($G$38="Mandag","t",IF($G$38="Tirsdag","f",IF($G$38="Onsdag","l",IF($G$38="Torsdag","s",IF($G$38="Fredag","m",IF($G$38="Lørdag","t",IF($G$38="Søndag","o","N/A")))))))</f>
        <v>t</v>
      </c>
      <c r="AG3" s="27" t="str">
        <f>IF($G$38="Mandag","f",IF($G$38="Tirsdag","l",IF($G$38="Onsdag","s",IF($G$38="Torsdag","m",IF($G$38="Fredag","t",IF($G$38="Lørdag","o",IF($G$38="Søndag","t","N/A")))))))</f>
        <v>f</v>
      </c>
      <c r="AH3" s="27" t="str">
        <f>IF($G$38="Mandag","l",IF($G$38="Tirsdag","s",IF($G$38="Onsdag","m",IF($G$38="Torsdag","t",IF($G$38="Fredag","o",IF($G$38="Lørdag","t",IF($G$38="Søndag","f","N/A")))))))</f>
        <v>l</v>
      </c>
      <c r="AI3" s="28" t="str">
        <f>IF($G$38="Mandag","s",IF($G$38="Tirsdag","m",IF($G$38="Onsdag","t",IF($G$38="Torsdag","o",IF($G$38="Fredag","t",IF($G$38="Lørdag","f",IF($G$38="Søndag","l","N/A")))))))</f>
        <v>s</v>
      </c>
      <c r="AJ3" s="29" t="str">
        <f>IF($G$38="Mandag","m",IF($G$38="Tirsdag","t",IF($G$38="Onsdag","o",IF($G$38="Torsdag","t",IF($G$38="Fredag","f",IF($G$38="Lørdag","l",IF($G$38="Søndag","s","N/A")))))))</f>
        <v>m</v>
      </c>
      <c r="AK3" s="30" t="str">
        <f>IF($G$38="Mandag","t",IF($G$38="Tirsdag","o",IF($G$38="Onsdag","t",IF($G$38="Torsdag","f",IF($G$38="Fredag","l",IF($G$38="Lørdag","s",IF($G$38="Søndag","m","N/A")))))))</f>
        <v>t</v>
      </c>
      <c r="AL3" s="30" t="str">
        <f>IF($G$38="Mandag","o",IF($G$38="Tirsdag","t",IF($G$38="Onsdag","f",IF($G$38="Torsdag","l",IF($G$38="Fredag","s",IF($G$38="Lørdag","m",IF($G$38="Søndag","t","N/A")))))))</f>
        <v>o</v>
      </c>
      <c r="AM3" s="30" t="str">
        <f>IF($G$38="Mandag","t",IF($G$38="Tirsdag","f",IF($G$38="Onsdag","l",IF($G$38="Torsdag","s",IF($G$38="Fredag","m",IF($G$38="Lørdag","t",IF($G$38="Søndag","o","N/A")))))))</f>
        <v>t</v>
      </c>
      <c r="AN3" s="30" t="str">
        <f>IF($G$38="Mandag","f",IF($G$38="Tirsdag","l",IF($G$38="Onsdag","s",IF($G$38="Torsdag","m",IF($G$38="Fredag","t",IF($G$38="Lørdag","o",IF($G$38="Søndag","t","N/A")))))))</f>
        <v>f</v>
      </c>
      <c r="AO3" s="30" t="str">
        <f>IF($G$38="Mandag","l",IF($G$38="Tirsdag","s",IF($G$38="Onsdag","m",IF($G$38="Torsdag","t",IF($G$38="Fredag","o",IF($G$38="Lørdag","t",IF($G$38="Søndag","f","N/A")))))))</f>
        <v>l</v>
      </c>
      <c r="AP3" s="31" t="str">
        <f>IF($G$38="Mandag","s",IF($G$38="Tirsdag","m",IF($G$38="Onsdag","t",IF($G$38="Torsdag","o",IF($G$38="Fredag","t",IF($G$38="Lørdag","f",IF($G$38="Søndag","l","N/A")))))))</f>
        <v>s</v>
      </c>
      <c r="AQ3" s="26" t="str">
        <f>IF($G$38="Mandag","m",IF($G$38="Tirsdag","t",IF($G$38="Onsdag","o",IF($G$38="Torsdag","t",IF($G$38="Fredag","f",IF($G$38="Lørdag","l",IF($G$38="Søndag","s","N/A")))))))</f>
        <v>m</v>
      </c>
      <c r="AR3" s="27" t="str">
        <f>IF($G$38="Mandag","t",IF($G$38="Tirsdag","o",IF($G$38="Onsdag","t",IF($G$38="Torsdag","f",IF($G$38="Fredag","l",IF($G$38="Lørdag","s",IF($G$38="Søndag","m","N/A")))))))</f>
        <v>t</v>
      </c>
      <c r="AS3" s="27" t="str">
        <f>IF($G$38="Mandag","o",IF($G$38="Tirsdag","t",IF($G$38="Onsdag","f",IF($G$38="Torsdag","l",IF($G$38="Fredag","s",IF($G$38="Lørdag","m",IF($G$38="Søndag","t","N/A")))))))</f>
        <v>o</v>
      </c>
      <c r="AT3" s="27" t="str">
        <f>IF($G$38="Mandag","t",IF($G$38="Tirsdag","f",IF($G$38="Onsdag","l",IF($G$38="Torsdag","s",IF($G$38="Fredag","m",IF($G$38="Lørdag","t",IF($G$38="Søndag","o","N/A")))))))</f>
        <v>t</v>
      </c>
      <c r="AU3" s="27" t="str">
        <f>IF($G$38="Mandag","f",IF($G$38="Tirsdag","l",IF($G$38="Onsdag","s",IF($G$38="Torsdag","m",IF($G$38="Fredag","t",IF($G$38="Lørdag","o",IF($G$38="Søndag","t","N/A")))))))</f>
        <v>f</v>
      </c>
      <c r="AV3" s="27" t="str">
        <f>IF($G$38="Mandag","l",IF($G$38="Tirsdag","s",IF($G$38="Onsdag","m",IF($G$38="Torsdag","t",IF($G$38="Fredag","o",IF($G$38="Lørdag","t",IF($G$38="Søndag","f","N/A")))))))</f>
        <v>l</v>
      </c>
      <c r="AW3" s="28" t="str">
        <f>IF($G$38="Mandag","s",IF($G$38="Tirsdag","m",IF($G$38="Onsdag","t",IF($G$38="Torsdag","o",IF($G$38="Fredag","t",IF($G$38="Lørdag","f",IF($G$38="Søndag","l","N/A")))))))</f>
        <v>s</v>
      </c>
      <c r="AX3" s="29" t="str">
        <f>IF($G$38="Mandag","m",IF($G$38="Tirsdag","t",IF($G$38="Onsdag","o",IF($G$38="Torsdag","t",IF($G$38="Fredag","f",IF($G$38="Lørdag","l",IF($G$38="Søndag","s","N/A")))))))</f>
        <v>m</v>
      </c>
      <c r="AY3" s="30" t="str">
        <f>IF($G$38="Mandag","t",IF($G$38="Tirsdag","o",IF($G$38="Onsdag","t",IF($G$38="Torsdag","f",IF($G$38="Fredag","l",IF($G$38="Lørdag","s",IF($G$38="Søndag","m","N/A")))))))</f>
        <v>t</v>
      </c>
      <c r="AZ3" s="30" t="str">
        <f>IF($G$38="Mandag","o",IF($G$38="Tirsdag","t",IF($G$38="Onsdag","f",IF($G$38="Torsdag","l",IF($G$38="Fredag","s",IF($G$38="Lørdag","m",IF($G$38="Søndag","t","N/A")))))))</f>
        <v>o</v>
      </c>
      <c r="BA3" s="30" t="str">
        <f>IF($G$38="Mandag","t",IF($G$38="Tirsdag","f",IF($G$38="Onsdag","l",IF($G$38="Torsdag","s",IF($G$38="Fredag","m",IF($G$38="Lørdag","t",IF($G$38="Søndag","o","N/A")))))))</f>
        <v>t</v>
      </c>
      <c r="BB3" s="30" t="str">
        <f>IF($G$38="Mandag","f",IF($G$38="Tirsdag","l",IF($G$38="Onsdag","s",IF($G$38="Torsdag","m",IF($G$38="Fredag","t",IF($G$38="Lørdag","o",IF($G$38="Søndag","t","N/A")))))))</f>
        <v>f</v>
      </c>
      <c r="BC3" s="30" t="str">
        <f>IF($G$38="Mandag","l",IF($G$38="Tirsdag","s",IF($G$38="Onsdag","m",IF($G$38="Torsdag","t",IF($G$38="Fredag","o",IF($G$38="Lørdag","t",IF($G$38="Søndag","f","N/A")))))))</f>
        <v>l</v>
      </c>
      <c r="BD3" s="31" t="str">
        <f>IF($G$38="Mandag","s",IF($G$38="Tirsdag","m",IF($G$38="Onsdag","t",IF($G$38="Torsdag","o",IF($G$38="Fredag","t",IF($G$38="Lørdag","f",IF($G$38="Søndag","l","N/A")))))))</f>
        <v>s</v>
      </c>
      <c r="BE3" s="26" t="str">
        <f>IF($G$38="Mandag","m",IF($G$38="Tirsdag","t",IF($G$38="Onsdag","o",IF($G$38="Torsdag","t",IF($G$38="Fredag","f",IF($G$38="Lørdag","l",IF($G$38="Søndag","s","N/A")))))))</f>
        <v>m</v>
      </c>
      <c r="BF3" s="27" t="str">
        <f>IF($G$38="Mandag","t",IF($G$38="Tirsdag","o",IF($G$38="Onsdag","t",IF($G$38="Torsdag","f",IF($G$38="Fredag","l",IF($G$38="Lørdag","s",IF($G$38="Søndag","m","N/A")))))))</f>
        <v>t</v>
      </c>
      <c r="BG3" s="27" t="str">
        <f>IF($G$38="Mandag","o",IF($G$38="Tirsdag","t",IF($G$38="Onsdag","f",IF($G$38="Torsdag","l",IF($G$38="Fredag","s",IF($G$38="Lørdag","m",IF($G$38="Søndag","t","N/A")))))))</f>
        <v>o</v>
      </c>
      <c r="BH3" s="27" t="str">
        <f>IF($G$38="Mandag","t",IF($G$38="Tirsdag","f",IF($G$38="Onsdag","l",IF($G$38="Torsdag","s",IF($G$38="Fredag","m",IF($G$38="Lørdag","t",IF($G$38="Søndag","o","N/A")))))))</f>
        <v>t</v>
      </c>
      <c r="BI3" s="27" t="str">
        <f>IF($G$38="Mandag","f",IF($G$38="Tirsdag","l",IF($G$38="Onsdag","s",IF($G$38="Torsdag","m",IF($G$38="Fredag","t",IF($G$38="Lørdag","o",IF($G$38="Søndag","t","N/A")))))))</f>
        <v>f</v>
      </c>
      <c r="BJ3" s="27" t="str">
        <f>IF($G$38="Mandag","l",IF($G$38="Tirsdag","s",IF($G$38="Onsdag","m",IF($G$38="Torsdag","t",IF($G$38="Fredag","o",IF($G$38="Lørdag","t",IF($G$38="Søndag","f","N/A")))))))</f>
        <v>l</v>
      </c>
      <c r="BK3" s="28" t="str">
        <f>IF($G$38="Mandag","s",IF($G$38="Tirsdag","m",IF($G$38="Onsdag","t",IF($G$38="Torsdag","o",IF($G$38="Fredag","t",IF($G$38="Lørdag","f",IF($G$38="Søndag","l","N/A")))))))</f>
        <v>s</v>
      </c>
      <c r="BL3" s="29" t="str">
        <f>IF($G$38="Mandag","m",IF($G$38="Tirsdag","t",IF($G$38="Onsdag","o",IF($G$38="Torsdag","t",IF($G$38="Fredag","f",IF($G$38="Lørdag","l",IF($G$38="Søndag","s","N/A")))))))</f>
        <v>m</v>
      </c>
      <c r="BM3" s="30" t="str">
        <f>IF($G$38="Mandag","t",IF($G$38="Tirsdag","o",IF($G$38="Onsdag","t",IF($G$38="Torsdag","f",IF($G$38="Fredag","l",IF($G$38="Lørdag","s",IF($G$38="Søndag","m","N/A")))))))</f>
        <v>t</v>
      </c>
      <c r="BN3" s="30" t="str">
        <f>IF($G$38="Mandag","o",IF($G$38="Tirsdag","t",IF($G$38="Onsdag","f",IF($G$38="Torsdag","l",IF($G$38="Fredag","s",IF($G$38="Lørdag","m",IF($G$38="Søndag","t","N/A")))))))</f>
        <v>o</v>
      </c>
      <c r="BO3" s="30" t="str">
        <f>IF($G$38="Mandag","t",IF($G$38="Tirsdag","f",IF($G$38="Onsdag","l",IF($G$38="Torsdag","s",IF($G$38="Fredag","m",IF($G$38="Lørdag","t",IF($G$38="Søndag","o","N/A")))))))</f>
        <v>t</v>
      </c>
      <c r="BP3" s="30" t="str">
        <f>IF($G$38="Mandag","f",IF($G$38="Tirsdag","l",IF($G$38="Onsdag","s",IF($G$38="Torsdag","m",IF($G$38="Fredag","t",IF($G$38="Lørdag","o",IF($G$38="Søndag","t","N/A")))))))</f>
        <v>f</v>
      </c>
      <c r="BQ3" s="30" t="str">
        <f>IF($G$38="Mandag","l",IF($G$38="Tirsdag","s",IF($G$38="Onsdag","m",IF($G$38="Torsdag","t",IF($G$38="Fredag","o",IF($G$38="Lørdag","t",IF($G$38="Søndag","f","N/A")))))))</f>
        <v>l</v>
      </c>
      <c r="BR3" s="31" t="str">
        <f>IF($G$38="Mandag","s",IF($G$38="Tirsdag","m",IF($G$38="Onsdag","t",IF($G$38="Torsdag","o",IF($G$38="Fredag","t",IF($G$38="Lørdag","f",IF($G$38="Søndag","l","N/A")))))))</f>
        <v>s</v>
      </c>
      <c r="BS3" s="26" t="str">
        <f>IF($G$38="Mandag","m",IF($G$38="Tirsdag","t",IF($G$38="Onsdag","o",IF($G$38="Torsdag","t",IF($G$38="Fredag","f",IF($G$38="Lørdag","l",IF($G$38="Søndag","s","N/A")))))))</f>
        <v>m</v>
      </c>
      <c r="BT3" s="27" t="str">
        <f>IF($G$38="Mandag","t",IF($G$38="Tirsdag","o",IF($G$38="Onsdag","t",IF($G$38="Torsdag","f",IF($G$38="Fredag","l",IF($G$38="Lørdag","s",IF($G$38="Søndag","m","N/A")))))))</f>
        <v>t</v>
      </c>
      <c r="BU3" s="27" t="str">
        <f>IF($G$38="Mandag","o",IF($G$38="Tirsdag","t",IF($G$38="Onsdag","f",IF($G$38="Torsdag","l",IF($G$38="Fredag","s",IF($G$38="Lørdag","m",IF($G$38="Søndag","t","N/A")))))))</f>
        <v>o</v>
      </c>
      <c r="BV3" s="27" t="str">
        <f>IF($G$38="Mandag","t",IF($G$38="Tirsdag","f",IF($G$38="Onsdag","l",IF($G$38="Torsdag","s",IF($G$38="Fredag","m",IF($G$38="Lørdag","t",IF($G$38="Søndag","o","N/A")))))))</f>
        <v>t</v>
      </c>
      <c r="BW3" s="27" t="str">
        <f>IF($G$38="Mandag","f",IF($G$38="Tirsdag","l",IF($G$38="Onsdag","s",IF($G$38="Torsdag","m",IF($G$38="Fredag","t",IF($G$38="Lørdag","o",IF($G$38="Søndag","t","N/A")))))))</f>
        <v>f</v>
      </c>
      <c r="BX3" s="27" t="str">
        <f>IF($G$38="Mandag","l",IF($G$38="Tirsdag","s",IF($G$38="Onsdag","m",IF($G$38="Torsdag","t",IF($G$38="Fredag","o",IF($G$38="Lørdag","t",IF($G$38="Søndag","f","N/A")))))))</f>
        <v>l</v>
      </c>
      <c r="BY3" s="28" t="str">
        <f>IF($G$38="Mandag","s",IF($G$38="Tirsdag","m",IF($G$38="Onsdag","t",IF($G$38="Torsdag","o",IF($G$38="Fredag","t",IF($G$38="Lørdag","f",IF($G$38="Søndag","l","N/A")))))))</f>
        <v>s</v>
      </c>
      <c r="BZ3" s="29" t="str">
        <f>IF($G$38="Mandag","m",IF($G$38="Tirsdag","t",IF($G$38="Onsdag","o",IF($G$38="Torsdag","t",IF($G$38="Fredag","f",IF($G$38="Lørdag","l",IF($G$38="Søndag","s","N/A")))))))</f>
        <v>m</v>
      </c>
      <c r="CA3" s="30" t="str">
        <f>IF($G$38="Mandag","t",IF($G$38="Tirsdag","o",IF($G$38="Onsdag","t",IF($G$38="Torsdag","f",IF($G$38="Fredag","l",IF($G$38="Lørdag","s",IF($G$38="Søndag","m","N/A")))))))</f>
        <v>t</v>
      </c>
      <c r="CB3" s="30" t="str">
        <f>IF($G$38="Mandag","o",IF($G$38="Tirsdag","t",IF($G$38="Onsdag","f",IF($G$38="Torsdag","l",IF($G$38="Fredag","s",IF($G$38="Lørdag","m",IF($G$38="Søndag","t","N/A")))))))</f>
        <v>o</v>
      </c>
      <c r="CC3" s="30" t="str">
        <f>IF($G$38="Mandag","t",IF($G$38="Tirsdag","f",IF($G$38="Onsdag","l",IF($G$38="Torsdag","s",IF($G$38="Fredag","m",IF($G$38="Lørdag","t",IF($G$38="Søndag","o","N/A")))))))</f>
        <v>t</v>
      </c>
      <c r="CD3" s="30" t="str">
        <f>IF($G$38="Mandag","f",IF($G$38="Tirsdag","l",IF($G$38="Onsdag","s",IF($G$38="Torsdag","m",IF($G$38="Fredag","t",IF($G$38="Lørdag","o",IF($G$38="Søndag","t","N/A")))))))</f>
        <v>f</v>
      </c>
      <c r="CE3" s="30" t="str">
        <f>IF($G$38="Mandag","l",IF($G$38="Tirsdag","s",IF($G$38="Onsdag","m",IF($G$38="Torsdag","t",IF($G$38="Fredag","o",IF($G$38="Lørdag","t",IF($G$38="Søndag","f","N/A")))))))</f>
        <v>l</v>
      </c>
      <c r="CF3" s="31" t="str">
        <f>IF($G$38="Mandag","s",IF($G$38="Tirsdag","m",IF($G$38="Onsdag","t",IF($G$38="Torsdag","o",IF($G$38="Fredag","t",IF($G$38="Lørdag","f",IF($G$38="Søndag","l","N/A")))))))</f>
        <v>s</v>
      </c>
      <c r="CG3" s="82" t="s">
        <v>3</v>
      </c>
      <c r="CH3" s="33" t="s">
        <v>4</v>
      </c>
      <c r="CI3" s="33" t="s">
        <v>5</v>
      </c>
      <c r="CJ3" s="34" t="s">
        <v>6</v>
      </c>
      <c r="CK3" s="35" t="s">
        <v>7</v>
      </c>
      <c r="CL3" s="87" t="s">
        <v>8</v>
      </c>
      <c r="CO3" s="37"/>
      <c r="CP3" s="37"/>
      <c r="CQ3" s="37"/>
    </row>
    <row r="4" spans="1:95" s="40" customFormat="1" ht="12.75" customHeight="1" thickTop="1" x14ac:dyDescent="0.25">
      <c r="A4" s="96" t="s">
        <v>40</v>
      </c>
      <c r="B4" s="96" t="s">
        <v>40</v>
      </c>
      <c r="C4" s="96" t="s">
        <v>40</v>
      </c>
      <c r="D4" s="96" t="s">
        <v>40</v>
      </c>
      <c r="E4" s="96" t="s">
        <v>40</v>
      </c>
      <c r="F4" s="96" t="s">
        <v>40</v>
      </c>
      <c r="G4" s="96"/>
      <c r="H4" s="96"/>
      <c r="I4" s="96"/>
      <c r="J4" s="96"/>
      <c r="K4" s="96"/>
      <c r="L4" s="96"/>
      <c r="M4" s="96"/>
      <c r="N4" s="96"/>
      <c r="O4" s="96"/>
      <c r="P4" s="96"/>
      <c r="Q4" s="96"/>
      <c r="R4" s="96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96"/>
      <c r="AI4" s="96"/>
      <c r="AJ4" s="96"/>
      <c r="AK4" s="96"/>
      <c r="AL4" s="96"/>
      <c r="AM4" s="96"/>
      <c r="AN4" s="96"/>
      <c r="AO4" s="96"/>
      <c r="AP4" s="96"/>
      <c r="AQ4" s="96"/>
      <c r="AR4" s="96"/>
      <c r="AS4" s="96"/>
      <c r="AT4" s="96"/>
      <c r="AU4" s="96"/>
      <c r="AV4" s="96"/>
      <c r="AW4" s="96"/>
      <c r="AX4" s="96"/>
      <c r="AY4" s="96"/>
      <c r="AZ4" s="96"/>
      <c r="BA4" s="96"/>
      <c r="BB4" s="96"/>
      <c r="BC4" s="96"/>
      <c r="BD4" s="96"/>
      <c r="BE4" s="96"/>
      <c r="BF4" s="96"/>
      <c r="BG4" s="96"/>
      <c r="BH4" s="96"/>
      <c r="BI4" s="96"/>
      <c r="BJ4" s="96"/>
      <c r="BK4" s="96"/>
      <c r="BL4" s="96"/>
      <c r="BM4" s="96"/>
      <c r="BN4" s="96"/>
      <c r="BO4" s="96"/>
      <c r="BP4" s="96"/>
      <c r="BQ4" s="96"/>
      <c r="BR4" s="96"/>
      <c r="BS4" s="96"/>
      <c r="BT4" s="96"/>
      <c r="BU4" s="96"/>
      <c r="BV4" s="96"/>
      <c r="BW4" s="96"/>
      <c r="BX4" s="96"/>
      <c r="BY4" s="96"/>
      <c r="BZ4" s="96"/>
      <c r="CA4" s="96"/>
      <c r="CB4" s="96"/>
      <c r="CC4" s="96"/>
      <c r="CD4" s="96"/>
      <c r="CE4" s="96"/>
      <c r="CF4" s="96"/>
      <c r="CG4" s="93" t="s">
        <v>133</v>
      </c>
      <c r="CH4" s="94">
        <v>0.29166666666666669</v>
      </c>
      <c r="CI4" s="94">
        <v>0.83333333333333337</v>
      </c>
      <c r="CJ4" s="38">
        <f>IF(AND(CH4=0,CI4=0),0,IF(CH4&lt;CI4,((CI4-CH4)*24)-CK4,(((1-CH4)+CI4)*24)-CK4))</f>
        <v>12.500000000000002</v>
      </c>
      <c r="CK4" s="76">
        <v>0.5</v>
      </c>
      <c r="CL4" s="39">
        <f>COUNTIF(A4:CF4,"&gt; ")*CJ4</f>
        <v>75.000000000000014</v>
      </c>
      <c r="CM4" s="40">
        <v>1</v>
      </c>
      <c r="CO4" s="41"/>
      <c r="CP4" s="41"/>
      <c r="CQ4" s="41"/>
    </row>
    <row r="5" spans="1:95" s="40" customFormat="1" ht="12.75" customHeight="1" x14ac:dyDescent="0.25">
      <c r="A5" s="96" t="s">
        <v>41</v>
      </c>
      <c r="B5" s="96" t="s">
        <v>41</v>
      </c>
      <c r="C5" s="96" t="s">
        <v>41</v>
      </c>
      <c r="D5" s="96" t="s">
        <v>41</v>
      </c>
      <c r="E5" s="96" t="s">
        <v>41</v>
      </c>
      <c r="F5" s="96" t="s">
        <v>41</v>
      </c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6"/>
      <c r="AQ5" s="96"/>
      <c r="AR5" s="96"/>
      <c r="AS5" s="96"/>
      <c r="AT5" s="96"/>
      <c r="AU5" s="96"/>
      <c r="AV5" s="96"/>
      <c r="AW5" s="96"/>
      <c r="AX5" s="96"/>
      <c r="AY5" s="96"/>
      <c r="AZ5" s="96"/>
      <c r="BA5" s="96"/>
      <c r="BB5" s="96"/>
      <c r="BC5" s="96"/>
      <c r="BD5" s="96"/>
      <c r="BE5" s="96"/>
      <c r="BF5" s="96"/>
      <c r="BG5" s="96"/>
      <c r="BH5" s="96"/>
      <c r="BI5" s="96"/>
      <c r="BJ5" s="96"/>
      <c r="BK5" s="96"/>
      <c r="BL5" s="96"/>
      <c r="BM5" s="96"/>
      <c r="BN5" s="96"/>
      <c r="BO5" s="96"/>
      <c r="BP5" s="96"/>
      <c r="BQ5" s="96"/>
      <c r="BR5" s="96"/>
      <c r="BS5" s="96"/>
      <c r="BT5" s="96"/>
      <c r="BU5" s="96"/>
      <c r="BV5" s="96"/>
      <c r="BW5" s="96"/>
      <c r="BX5" s="96"/>
      <c r="BY5" s="96"/>
      <c r="BZ5" s="96"/>
      <c r="CA5" s="96"/>
      <c r="CB5" s="96"/>
      <c r="CC5" s="96"/>
      <c r="CD5" s="96"/>
      <c r="CE5" s="96"/>
      <c r="CF5" s="96"/>
      <c r="CG5" s="95" t="s">
        <v>140</v>
      </c>
      <c r="CH5" s="94">
        <v>0.29166666666666669</v>
      </c>
      <c r="CI5" s="94">
        <v>0.625</v>
      </c>
      <c r="CJ5" s="38">
        <f t="shared" ref="CJ5:CJ35" si="0">IF(AND(CH5=0,CI5=0),0,IF(CH5&lt;CI5,((CI5-CH5)*24)-CK5,(((1-CH5)+CI5)*24)-CK5))</f>
        <v>8</v>
      </c>
      <c r="CK5" s="76"/>
      <c r="CL5" s="39">
        <f t="shared" ref="CL5:CL35" si="1">COUNTIF(A5:CF5,"&gt; ")*CJ5</f>
        <v>48</v>
      </c>
      <c r="CM5" s="40">
        <v>2</v>
      </c>
      <c r="CO5" s="41"/>
      <c r="CP5" s="41"/>
      <c r="CQ5" s="41"/>
    </row>
    <row r="6" spans="1:95" s="40" customFormat="1" ht="12.75" customHeight="1" x14ac:dyDescent="0.25">
      <c r="A6" s="96"/>
      <c r="B6" s="96"/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96"/>
      <c r="AI6" s="96"/>
      <c r="AJ6" s="96"/>
      <c r="AK6" s="96"/>
      <c r="AL6" s="96"/>
      <c r="AM6" s="96"/>
      <c r="AN6" s="96"/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6"/>
      <c r="BF6" s="96"/>
      <c r="BG6" s="96"/>
      <c r="BH6" s="96"/>
      <c r="BI6" s="96"/>
      <c r="BJ6" s="96"/>
      <c r="BK6" s="96"/>
      <c r="BL6" s="96"/>
      <c r="BM6" s="96"/>
      <c r="BN6" s="96"/>
      <c r="BO6" s="96"/>
      <c r="BP6" s="96"/>
      <c r="BQ6" s="96"/>
      <c r="BR6" s="96"/>
      <c r="BS6" s="96"/>
      <c r="BT6" s="96"/>
      <c r="BU6" s="96"/>
      <c r="BV6" s="96"/>
      <c r="BW6" s="96"/>
      <c r="BX6" s="96"/>
      <c r="BY6" s="96"/>
      <c r="BZ6" s="96"/>
      <c r="CA6" s="96"/>
      <c r="CB6" s="96"/>
      <c r="CC6" s="96"/>
      <c r="CD6" s="96"/>
      <c r="CE6" s="96"/>
      <c r="CF6" s="96"/>
      <c r="CG6" s="95"/>
      <c r="CH6" s="94"/>
      <c r="CI6" s="94"/>
      <c r="CJ6" s="38">
        <f t="shared" si="0"/>
        <v>0</v>
      </c>
      <c r="CK6" s="76"/>
      <c r="CL6" s="39">
        <f t="shared" si="1"/>
        <v>0</v>
      </c>
      <c r="CM6" s="40">
        <v>1</v>
      </c>
      <c r="CO6" s="41"/>
      <c r="CP6" s="42"/>
      <c r="CQ6" s="42"/>
    </row>
    <row r="7" spans="1:95" s="40" customFormat="1" ht="12.75" customHeight="1" x14ac:dyDescent="0.25">
      <c r="A7" s="96"/>
      <c r="B7" s="96"/>
      <c r="C7" s="96"/>
      <c r="D7" s="96"/>
      <c r="E7" s="96"/>
      <c r="F7" s="96"/>
      <c r="G7" s="96"/>
      <c r="H7" s="96"/>
      <c r="I7" s="96"/>
      <c r="J7" s="96"/>
      <c r="K7" s="96"/>
      <c r="L7" s="96"/>
      <c r="M7" s="96"/>
      <c r="N7" s="96"/>
      <c r="O7" s="96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6"/>
      <c r="AQ7" s="96"/>
      <c r="AR7" s="96"/>
      <c r="AS7" s="96"/>
      <c r="AT7" s="96"/>
      <c r="AU7" s="96"/>
      <c r="AV7" s="96"/>
      <c r="AW7" s="96"/>
      <c r="AX7" s="96"/>
      <c r="AY7" s="96"/>
      <c r="AZ7" s="96"/>
      <c r="BA7" s="96"/>
      <c r="BB7" s="96"/>
      <c r="BC7" s="96"/>
      <c r="BD7" s="96"/>
      <c r="BE7" s="96"/>
      <c r="BF7" s="96"/>
      <c r="BG7" s="96"/>
      <c r="BH7" s="96"/>
      <c r="BI7" s="96"/>
      <c r="BJ7" s="96"/>
      <c r="BK7" s="96"/>
      <c r="BL7" s="96"/>
      <c r="BM7" s="96"/>
      <c r="BN7" s="96"/>
      <c r="BO7" s="96"/>
      <c r="BP7" s="96"/>
      <c r="BQ7" s="96"/>
      <c r="BR7" s="96"/>
      <c r="BS7" s="96"/>
      <c r="BT7" s="96"/>
      <c r="BU7" s="96"/>
      <c r="BV7" s="96"/>
      <c r="BW7" s="96"/>
      <c r="BX7" s="96"/>
      <c r="BY7" s="96"/>
      <c r="BZ7" s="96"/>
      <c r="CA7" s="96"/>
      <c r="CB7" s="96"/>
      <c r="CC7" s="96"/>
      <c r="CD7" s="96"/>
      <c r="CE7" s="96"/>
      <c r="CF7" s="96"/>
      <c r="CG7" s="95"/>
      <c r="CH7" s="94"/>
      <c r="CI7" s="94"/>
      <c r="CJ7" s="38">
        <f t="shared" si="0"/>
        <v>0</v>
      </c>
      <c r="CK7" s="76"/>
      <c r="CL7" s="39">
        <f t="shared" si="1"/>
        <v>0</v>
      </c>
      <c r="CM7" s="40">
        <v>2</v>
      </c>
      <c r="CO7" s="41"/>
      <c r="CP7" s="42"/>
      <c r="CQ7" s="42"/>
    </row>
    <row r="8" spans="1:95" s="40" customFormat="1" ht="12.75" customHeight="1" x14ac:dyDescent="0.25">
      <c r="A8" s="96"/>
      <c r="B8" s="96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96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96"/>
      <c r="AI8" s="96"/>
      <c r="AJ8" s="96"/>
      <c r="AK8" s="96"/>
      <c r="AL8" s="96"/>
      <c r="AM8" s="96"/>
      <c r="AN8" s="96"/>
      <c r="AO8" s="96"/>
      <c r="AP8" s="96"/>
      <c r="AQ8" s="96"/>
      <c r="AR8" s="96"/>
      <c r="AS8" s="96"/>
      <c r="AT8" s="96"/>
      <c r="AU8" s="96"/>
      <c r="AV8" s="96"/>
      <c r="AW8" s="96"/>
      <c r="AX8" s="96"/>
      <c r="AY8" s="96"/>
      <c r="AZ8" s="96"/>
      <c r="BA8" s="96"/>
      <c r="BB8" s="96"/>
      <c r="BC8" s="96"/>
      <c r="BD8" s="96"/>
      <c r="BE8" s="96"/>
      <c r="BF8" s="96"/>
      <c r="BG8" s="96"/>
      <c r="BH8" s="96"/>
      <c r="BI8" s="96"/>
      <c r="BJ8" s="96"/>
      <c r="BK8" s="96"/>
      <c r="BL8" s="96"/>
      <c r="BM8" s="96"/>
      <c r="BN8" s="96"/>
      <c r="BO8" s="96"/>
      <c r="BP8" s="96"/>
      <c r="BQ8" s="96"/>
      <c r="BR8" s="96"/>
      <c r="BS8" s="96"/>
      <c r="BT8" s="96"/>
      <c r="BU8" s="96"/>
      <c r="BV8" s="96"/>
      <c r="BW8" s="96"/>
      <c r="BX8" s="96"/>
      <c r="BY8" s="96"/>
      <c r="BZ8" s="96"/>
      <c r="CA8" s="96"/>
      <c r="CB8" s="96"/>
      <c r="CC8" s="96"/>
      <c r="CD8" s="96"/>
      <c r="CE8" s="96"/>
      <c r="CF8" s="96"/>
      <c r="CG8" s="95"/>
      <c r="CH8" s="94"/>
      <c r="CI8" s="94"/>
      <c r="CJ8" s="38">
        <f t="shared" si="0"/>
        <v>0</v>
      </c>
      <c r="CK8" s="76"/>
      <c r="CL8" s="39">
        <f t="shared" si="1"/>
        <v>0</v>
      </c>
      <c r="CM8" s="40">
        <v>1</v>
      </c>
      <c r="CO8" s="41"/>
      <c r="CP8" s="42"/>
      <c r="CQ8" s="42"/>
    </row>
    <row r="9" spans="1:95" s="40" customFormat="1" ht="12.75" customHeight="1" x14ac:dyDescent="0.3">
      <c r="A9" s="96"/>
      <c r="B9" s="96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96"/>
      <c r="AI9" s="96"/>
      <c r="AJ9" s="96"/>
      <c r="AK9" s="96"/>
      <c r="AL9" s="96"/>
      <c r="AM9" s="96"/>
      <c r="AN9" s="96"/>
      <c r="AO9" s="96"/>
      <c r="AP9" s="96"/>
      <c r="AQ9" s="96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6"/>
      <c r="BF9" s="96"/>
      <c r="BG9" s="96"/>
      <c r="BH9" s="96"/>
      <c r="BI9" s="96"/>
      <c r="BJ9" s="96"/>
      <c r="BK9" s="96"/>
      <c r="BL9" s="96"/>
      <c r="BM9" s="96"/>
      <c r="BN9" s="96"/>
      <c r="BO9" s="96"/>
      <c r="BP9" s="96"/>
      <c r="BQ9" s="96"/>
      <c r="BR9" s="96"/>
      <c r="BS9" s="96"/>
      <c r="BT9" s="96"/>
      <c r="BU9" s="96"/>
      <c r="BV9" s="96"/>
      <c r="BW9" s="96"/>
      <c r="BX9" s="96"/>
      <c r="BY9" s="96"/>
      <c r="BZ9" s="96"/>
      <c r="CA9" s="96"/>
      <c r="CB9" s="96"/>
      <c r="CC9" s="96"/>
      <c r="CD9" s="96"/>
      <c r="CE9" s="96"/>
      <c r="CF9" s="96"/>
      <c r="CG9" s="95"/>
      <c r="CH9" s="94"/>
      <c r="CI9" s="94"/>
      <c r="CJ9" s="38">
        <f t="shared" si="0"/>
        <v>0</v>
      </c>
      <c r="CK9" s="76"/>
      <c r="CL9" s="39">
        <f t="shared" si="1"/>
        <v>0</v>
      </c>
      <c r="CM9" s="40">
        <v>2</v>
      </c>
      <c r="CO9" s="41"/>
      <c r="CP9" s="42"/>
      <c r="CQ9" s="11" t="s">
        <v>9</v>
      </c>
    </row>
    <row r="10" spans="1:95" s="40" customFormat="1" ht="12.75" customHeight="1" x14ac:dyDescent="0.25">
      <c r="A10" s="96"/>
      <c r="B10" s="96"/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96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96"/>
      <c r="AI10" s="96"/>
      <c r="AJ10" s="96"/>
      <c r="AK10" s="96"/>
      <c r="AL10" s="96"/>
      <c r="AM10" s="96"/>
      <c r="AN10" s="96"/>
      <c r="AO10" s="96"/>
      <c r="AP10" s="96"/>
      <c r="AQ10" s="96"/>
      <c r="AR10" s="96"/>
      <c r="AS10" s="96"/>
      <c r="AT10" s="96"/>
      <c r="AU10" s="96"/>
      <c r="AV10" s="96"/>
      <c r="AW10" s="96"/>
      <c r="AX10" s="96"/>
      <c r="AY10" s="96"/>
      <c r="AZ10" s="96"/>
      <c r="BA10" s="96"/>
      <c r="BB10" s="96"/>
      <c r="BC10" s="96"/>
      <c r="BD10" s="96"/>
      <c r="BE10" s="96"/>
      <c r="BF10" s="96"/>
      <c r="BG10" s="96"/>
      <c r="BH10" s="96"/>
      <c r="BI10" s="96"/>
      <c r="BJ10" s="96"/>
      <c r="BK10" s="96"/>
      <c r="BL10" s="96"/>
      <c r="BM10" s="96"/>
      <c r="BN10" s="96"/>
      <c r="BO10" s="96"/>
      <c r="BP10" s="96"/>
      <c r="BQ10" s="96"/>
      <c r="BR10" s="96"/>
      <c r="BS10" s="96"/>
      <c r="BT10" s="96"/>
      <c r="BU10" s="96"/>
      <c r="BV10" s="96"/>
      <c r="BW10" s="96"/>
      <c r="BX10" s="96"/>
      <c r="BY10" s="96"/>
      <c r="BZ10" s="96"/>
      <c r="CA10" s="96"/>
      <c r="CB10" s="96"/>
      <c r="CC10" s="96"/>
      <c r="CD10" s="96"/>
      <c r="CE10" s="96"/>
      <c r="CF10" s="96"/>
      <c r="CG10" s="95"/>
      <c r="CH10" s="94"/>
      <c r="CI10" s="94"/>
      <c r="CJ10" s="38">
        <f t="shared" si="0"/>
        <v>0</v>
      </c>
      <c r="CK10" s="76"/>
      <c r="CL10" s="39">
        <f t="shared" si="1"/>
        <v>0</v>
      </c>
      <c r="CM10" s="40">
        <v>1</v>
      </c>
      <c r="CO10" s="41"/>
      <c r="CP10" s="42"/>
      <c r="CQ10" s="10" t="s">
        <v>10</v>
      </c>
    </row>
    <row r="11" spans="1:95" s="40" customFormat="1" ht="12.75" customHeight="1" x14ac:dyDescent="0.25">
      <c r="A11" s="96"/>
      <c r="B11" s="96"/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  <c r="N11" s="96"/>
      <c r="O11" s="96"/>
      <c r="P11" s="96"/>
      <c r="Q11" s="96"/>
      <c r="R11" s="96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96"/>
      <c r="AI11" s="96"/>
      <c r="AJ11" s="96"/>
      <c r="AK11" s="96"/>
      <c r="AL11" s="96"/>
      <c r="AM11" s="96"/>
      <c r="AN11" s="96"/>
      <c r="AO11" s="96"/>
      <c r="AP11" s="96"/>
      <c r="AQ11" s="96"/>
      <c r="AR11" s="96"/>
      <c r="AS11" s="96"/>
      <c r="AT11" s="96"/>
      <c r="AU11" s="96"/>
      <c r="AV11" s="96"/>
      <c r="AW11" s="96"/>
      <c r="AX11" s="96"/>
      <c r="AY11" s="96"/>
      <c r="AZ11" s="96"/>
      <c r="BA11" s="96"/>
      <c r="BB11" s="96"/>
      <c r="BC11" s="96"/>
      <c r="BD11" s="96"/>
      <c r="BE11" s="96"/>
      <c r="BF11" s="96"/>
      <c r="BG11" s="96"/>
      <c r="BH11" s="96"/>
      <c r="BI11" s="96"/>
      <c r="BJ11" s="96"/>
      <c r="BK11" s="96"/>
      <c r="BL11" s="96"/>
      <c r="BM11" s="96"/>
      <c r="BN11" s="96"/>
      <c r="BO11" s="96"/>
      <c r="BP11" s="96"/>
      <c r="BQ11" s="96"/>
      <c r="BR11" s="96"/>
      <c r="BS11" s="96"/>
      <c r="BT11" s="96"/>
      <c r="BU11" s="96"/>
      <c r="BV11" s="96"/>
      <c r="BW11" s="96"/>
      <c r="BX11" s="96"/>
      <c r="BY11" s="96"/>
      <c r="BZ11" s="96"/>
      <c r="CA11" s="96"/>
      <c r="CB11" s="96"/>
      <c r="CC11" s="96"/>
      <c r="CD11" s="96"/>
      <c r="CE11" s="96"/>
      <c r="CF11" s="96"/>
      <c r="CG11" s="95"/>
      <c r="CH11" s="94"/>
      <c r="CI11" s="94"/>
      <c r="CJ11" s="38">
        <f t="shared" si="0"/>
        <v>0</v>
      </c>
      <c r="CK11" s="76"/>
      <c r="CL11" s="39">
        <f t="shared" si="1"/>
        <v>0</v>
      </c>
      <c r="CM11" s="40">
        <v>2</v>
      </c>
      <c r="CO11" s="41"/>
      <c r="CP11" s="42"/>
      <c r="CQ11" s="10" t="s">
        <v>11</v>
      </c>
    </row>
    <row r="12" spans="1:95" s="40" customFormat="1" ht="12.75" customHeight="1" x14ac:dyDescent="0.25">
      <c r="A12" s="96"/>
      <c r="B12" s="96"/>
      <c r="C12" s="96"/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  <c r="AP12" s="96"/>
      <c r="AQ12" s="96"/>
      <c r="AR12" s="96"/>
      <c r="AS12" s="96"/>
      <c r="AT12" s="96"/>
      <c r="AU12" s="96"/>
      <c r="AV12" s="96"/>
      <c r="AW12" s="96"/>
      <c r="AX12" s="96"/>
      <c r="AY12" s="96"/>
      <c r="AZ12" s="96"/>
      <c r="BA12" s="96"/>
      <c r="BB12" s="96"/>
      <c r="BC12" s="96"/>
      <c r="BD12" s="96"/>
      <c r="BE12" s="96"/>
      <c r="BF12" s="96"/>
      <c r="BG12" s="96"/>
      <c r="BH12" s="96"/>
      <c r="BI12" s="96"/>
      <c r="BJ12" s="96"/>
      <c r="BK12" s="96"/>
      <c r="BL12" s="96"/>
      <c r="BM12" s="96"/>
      <c r="BN12" s="96"/>
      <c r="BO12" s="96"/>
      <c r="BP12" s="96"/>
      <c r="BQ12" s="96"/>
      <c r="BR12" s="96"/>
      <c r="BS12" s="96"/>
      <c r="BT12" s="96"/>
      <c r="BU12" s="96"/>
      <c r="BV12" s="96"/>
      <c r="BW12" s="96"/>
      <c r="BX12" s="96"/>
      <c r="BY12" s="96"/>
      <c r="BZ12" s="96"/>
      <c r="CA12" s="96"/>
      <c r="CB12" s="96"/>
      <c r="CC12" s="96"/>
      <c r="CD12" s="96"/>
      <c r="CE12" s="96"/>
      <c r="CF12" s="96"/>
      <c r="CG12" s="95"/>
      <c r="CH12" s="94"/>
      <c r="CI12" s="94"/>
      <c r="CJ12" s="38">
        <f t="shared" si="0"/>
        <v>0</v>
      </c>
      <c r="CK12" s="76"/>
      <c r="CL12" s="39">
        <f t="shared" si="1"/>
        <v>0</v>
      </c>
      <c r="CM12" s="40">
        <v>1</v>
      </c>
      <c r="CO12" s="41"/>
      <c r="CP12" s="42"/>
      <c r="CQ12" s="10" t="s">
        <v>12</v>
      </c>
    </row>
    <row r="13" spans="1:95" s="40" customFormat="1" ht="12.75" customHeight="1" x14ac:dyDescent="0.25">
      <c r="A13" s="96"/>
      <c r="B13" s="96"/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  <c r="AP13" s="96"/>
      <c r="AQ13" s="96"/>
      <c r="AR13" s="96"/>
      <c r="AS13" s="96"/>
      <c r="AT13" s="96"/>
      <c r="AU13" s="96"/>
      <c r="AV13" s="96"/>
      <c r="AW13" s="96"/>
      <c r="AX13" s="96"/>
      <c r="AY13" s="96"/>
      <c r="AZ13" s="96"/>
      <c r="BA13" s="96"/>
      <c r="BB13" s="96"/>
      <c r="BC13" s="96"/>
      <c r="BD13" s="96"/>
      <c r="BE13" s="96"/>
      <c r="BF13" s="96"/>
      <c r="BG13" s="96"/>
      <c r="BH13" s="96"/>
      <c r="BI13" s="96"/>
      <c r="BJ13" s="96"/>
      <c r="BK13" s="96"/>
      <c r="BL13" s="96"/>
      <c r="BM13" s="96"/>
      <c r="BN13" s="96"/>
      <c r="BO13" s="96"/>
      <c r="BP13" s="96"/>
      <c r="BQ13" s="96"/>
      <c r="BR13" s="96"/>
      <c r="BS13" s="96"/>
      <c r="BT13" s="96"/>
      <c r="BU13" s="96"/>
      <c r="BV13" s="96"/>
      <c r="BW13" s="96"/>
      <c r="BX13" s="96"/>
      <c r="BY13" s="96"/>
      <c r="BZ13" s="96"/>
      <c r="CA13" s="96"/>
      <c r="CB13" s="96"/>
      <c r="CC13" s="96"/>
      <c r="CD13" s="96"/>
      <c r="CE13" s="96"/>
      <c r="CF13" s="96"/>
      <c r="CG13" s="95"/>
      <c r="CH13" s="94"/>
      <c r="CI13" s="94"/>
      <c r="CJ13" s="38">
        <f t="shared" si="0"/>
        <v>0</v>
      </c>
      <c r="CK13" s="76"/>
      <c r="CL13" s="39">
        <f t="shared" si="1"/>
        <v>0</v>
      </c>
      <c r="CM13" s="40">
        <v>2</v>
      </c>
      <c r="CO13" s="41"/>
      <c r="CP13" s="42"/>
      <c r="CQ13" s="10" t="s">
        <v>13</v>
      </c>
    </row>
    <row r="14" spans="1:95" s="40" customFormat="1" ht="12.75" customHeight="1" x14ac:dyDescent="0.25">
      <c r="A14" s="96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  <c r="AP14" s="96"/>
      <c r="AQ14" s="96"/>
      <c r="AR14" s="96"/>
      <c r="AS14" s="96"/>
      <c r="AT14" s="96"/>
      <c r="AU14" s="96"/>
      <c r="AV14" s="96"/>
      <c r="AW14" s="96"/>
      <c r="AX14" s="96"/>
      <c r="AY14" s="96"/>
      <c r="AZ14" s="96"/>
      <c r="BA14" s="96"/>
      <c r="BB14" s="96"/>
      <c r="BC14" s="96"/>
      <c r="BD14" s="96"/>
      <c r="BE14" s="96"/>
      <c r="BF14" s="96"/>
      <c r="BG14" s="96"/>
      <c r="BH14" s="96"/>
      <c r="BI14" s="96"/>
      <c r="BJ14" s="96"/>
      <c r="BK14" s="96"/>
      <c r="BL14" s="96"/>
      <c r="BM14" s="96"/>
      <c r="BN14" s="96"/>
      <c r="BO14" s="96"/>
      <c r="BP14" s="96"/>
      <c r="BQ14" s="96"/>
      <c r="BR14" s="96"/>
      <c r="BS14" s="96"/>
      <c r="BT14" s="96"/>
      <c r="BU14" s="96"/>
      <c r="BV14" s="96"/>
      <c r="BW14" s="96"/>
      <c r="BX14" s="96"/>
      <c r="BY14" s="96"/>
      <c r="BZ14" s="96"/>
      <c r="CA14" s="96"/>
      <c r="CB14" s="96"/>
      <c r="CC14" s="96"/>
      <c r="CD14" s="96"/>
      <c r="CE14" s="96"/>
      <c r="CF14" s="96"/>
      <c r="CG14" s="95"/>
      <c r="CH14" s="94"/>
      <c r="CI14" s="94"/>
      <c r="CJ14" s="38">
        <f t="shared" si="0"/>
        <v>0</v>
      </c>
      <c r="CK14" s="76"/>
      <c r="CL14" s="39">
        <f t="shared" si="1"/>
        <v>0</v>
      </c>
      <c r="CM14" s="40">
        <v>1</v>
      </c>
      <c r="CO14" s="41"/>
      <c r="CP14" s="42"/>
      <c r="CQ14" s="10" t="s">
        <v>14</v>
      </c>
    </row>
    <row r="15" spans="1:95" s="40" customFormat="1" ht="12.75" customHeight="1" x14ac:dyDescent="0.25">
      <c r="A15" s="96"/>
      <c r="B15" s="96"/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6"/>
      <c r="AQ15" s="96"/>
      <c r="AR15" s="96"/>
      <c r="AS15" s="96"/>
      <c r="AT15" s="96"/>
      <c r="AU15" s="96"/>
      <c r="AV15" s="96"/>
      <c r="AW15" s="96"/>
      <c r="AX15" s="96"/>
      <c r="AY15" s="96"/>
      <c r="AZ15" s="96"/>
      <c r="BA15" s="96"/>
      <c r="BB15" s="96"/>
      <c r="BC15" s="96"/>
      <c r="BD15" s="96"/>
      <c r="BE15" s="96"/>
      <c r="BF15" s="96"/>
      <c r="BG15" s="96"/>
      <c r="BH15" s="96"/>
      <c r="BI15" s="96"/>
      <c r="BJ15" s="96"/>
      <c r="BK15" s="96"/>
      <c r="BL15" s="96"/>
      <c r="BM15" s="96"/>
      <c r="BN15" s="96"/>
      <c r="BO15" s="96"/>
      <c r="BP15" s="96"/>
      <c r="BQ15" s="96"/>
      <c r="BR15" s="96"/>
      <c r="BS15" s="96"/>
      <c r="BT15" s="96"/>
      <c r="BU15" s="96"/>
      <c r="BV15" s="96"/>
      <c r="BW15" s="96"/>
      <c r="BX15" s="96"/>
      <c r="BY15" s="96"/>
      <c r="BZ15" s="96"/>
      <c r="CA15" s="96"/>
      <c r="CB15" s="96"/>
      <c r="CC15" s="96"/>
      <c r="CD15" s="96"/>
      <c r="CE15" s="96"/>
      <c r="CF15" s="96"/>
      <c r="CG15" s="95"/>
      <c r="CH15" s="94"/>
      <c r="CI15" s="94"/>
      <c r="CJ15" s="38">
        <f t="shared" si="0"/>
        <v>0</v>
      </c>
      <c r="CK15" s="76"/>
      <c r="CL15" s="39">
        <f t="shared" si="1"/>
        <v>0</v>
      </c>
      <c r="CM15" s="40">
        <v>2</v>
      </c>
      <c r="CO15" s="41"/>
      <c r="CP15" s="42"/>
      <c r="CQ15" s="10" t="s">
        <v>15</v>
      </c>
    </row>
    <row r="16" spans="1:95" s="40" customFormat="1" ht="12.75" customHeight="1" x14ac:dyDescent="0.25">
      <c r="A16" s="96"/>
      <c r="B16" s="96"/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6"/>
      <c r="AQ16" s="96"/>
      <c r="AR16" s="96"/>
      <c r="AS16" s="96"/>
      <c r="AT16" s="96"/>
      <c r="AU16" s="96"/>
      <c r="AV16" s="96"/>
      <c r="AW16" s="96"/>
      <c r="AX16" s="96"/>
      <c r="AY16" s="96"/>
      <c r="AZ16" s="96"/>
      <c r="BA16" s="96"/>
      <c r="BB16" s="96"/>
      <c r="BC16" s="96"/>
      <c r="BD16" s="96"/>
      <c r="BE16" s="96"/>
      <c r="BF16" s="96"/>
      <c r="BG16" s="96"/>
      <c r="BH16" s="96"/>
      <c r="BI16" s="96"/>
      <c r="BJ16" s="96"/>
      <c r="BK16" s="96"/>
      <c r="BL16" s="96"/>
      <c r="BM16" s="96"/>
      <c r="BN16" s="96"/>
      <c r="BO16" s="96"/>
      <c r="BP16" s="96"/>
      <c r="BQ16" s="96"/>
      <c r="BR16" s="96"/>
      <c r="BS16" s="96"/>
      <c r="BT16" s="96"/>
      <c r="BU16" s="96"/>
      <c r="BV16" s="96"/>
      <c r="BW16" s="96"/>
      <c r="BX16" s="96"/>
      <c r="BY16" s="96"/>
      <c r="BZ16" s="96"/>
      <c r="CA16" s="96"/>
      <c r="CB16" s="96"/>
      <c r="CC16" s="96"/>
      <c r="CD16" s="96"/>
      <c r="CE16" s="96"/>
      <c r="CF16" s="96"/>
      <c r="CG16" s="95"/>
      <c r="CH16" s="94"/>
      <c r="CI16" s="94"/>
      <c r="CJ16" s="38">
        <f t="shared" si="0"/>
        <v>0</v>
      </c>
      <c r="CK16" s="76"/>
      <c r="CL16" s="39">
        <f t="shared" si="1"/>
        <v>0</v>
      </c>
      <c r="CM16" s="40">
        <v>1</v>
      </c>
      <c r="CO16" s="41"/>
      <c r="CP16" s="42"/>
      <c r="CQ16" s="10" t="s">
        <v>16</v>
      </c>
    </row>
    <row r="17" spans="1:95" s="40" customFormat="1" ht="12.75" customHeight="1" x14ac:dyDescent="0.25">
      <c r="A17" s="96"/>
      <c r="B17" s="96"/>
      <c r="C17" s="96"/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  <c r="AP17" s="96"/>
      <c r="AQ17" s="96"/>
      <c r="AR17" s="96"/>
      <c r="AS17" s="96"/>
      <c r="AT17" s="96"/>
      <c r="AU17" s="96"/>
      <c r="AV17" s="96"/>
      <c r="AW17" s="96"/>
      <c r="AX17" s="96"/>
      <c r="AY17" s="96"/>
      <c r="AZ17" s="96"/>
      <c r="BA17" s="96"/>
      <c r="BB17" s="96"/>
      <c r="BC17" s="96"/>
      <c r="BD17" s="96"/>
      <c r="BE17" s="96"/>
      <c r="BF17" s="96"/>
      <c r="BG17" s="96"/>
      <c r="BH17" s="96"/>
      <c r="BI17" s="96"/>
      <c r="BJ17" s="96"/>
      <c r="BK17" s="96"/>
      <c r="BL17" s="96"/>
      <c r="BM17" s="96"/>
      <c r="BN17" s="96"/>
      <c r="BO17" s="96"/>
      <c r="BP17" s="96"/>
      <c r="BQ17" s="96"/>
      <c r="BR17" s="96"/>
      <c r="BS17" s="96"/>
      <c r="BT17" s="96"/>
      <c r="BU17" s="96"/>
      <c r="BV17" s="96"/>
      <c r="BW17" s="96"/>
      <c r="BX17" s="96"/>
      <c r="BY17" s="96"/>
      <c r="BZ17" s="96"/>
      <c r="CA17" s="96"/>
      <c r="CB17" s="96"/>
      <c r="CC17" s="96"/>
      <c r="CD17" s="96"/>
      <c r="CE17" s="96"/>
      <c r="CF17" s="96"/>
      <c r="CG17" s="95"/>
      <c r="CH17" s="94"/>
      <c r="CI17" s="94"/>
      <c r="CJ17" s="38">
        <f t="shared" si="0"/>
        <v>0</v>
      </c>
      <c r="CK17" s="76"/>
      <c r="CL17" s="39">
        <f t="shared" si="1"/>
        <v>0</v>
      </c>
      <c r="CM17" s="40">
        <v>2</v>
      </c>
      <c r="CO17" s="41"/>
      <c r="CP17" s="42"/>
      <c r="CQ17" s="42"/>
    </row>
    <row r="18" spans="1:95" s="40" customFormat="1" ht="12.75" customHeight="1" x14ac:dyDescent="0.25">
      <c r="A18" s="96"/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  <c r="AP18" s="96"/>
      <c r="AQ18" s="96"/>
      <c r="AR18" s="96"/>
      <c r="AS18" s="96"/>
      <c r="AT18" s="96"/>
      <c r="AU18" s="96"/>
      <c r="AV18" s="96"/>
      <c r="AW18" s="96"/>
      <c r="AX18" s="96"/>
      <c r="AY18" s="96"/>
      <c r="AZ18" s="96"/>
      <c r="BA18" s="96"/>
      <c r="BB18" s="96"/>
      <c r="BC18" s="96"/>
      <c r="BD18" s="96"/>
      <c r="BE18" s="96"/>
      <c r="BF18" s="96"/>
      <c r="BG18" s="96"/>
      <c r="BH18" s="96"/>
      <c r="BI18" s="96"/>
      <c r="BJ18" s="96"/>
      <c r="BK18" s="96"/>
      <c r="BL18" s="96"/>
      <c r="BM18" s="96"/>
      <c r="BN18" s="96"/>
      <c r="BO18" s="96"/>
      <c r="BP18" s="96"/>
      <c r="BQ18" s="96"/>
      <c r="BR18" s="96"/>
      <c r="BS18" s="96"/>
      <c r="BT18" s="96"/>
      <c r="BU18" s="96"/>
      <c r="BV18" s="96"/>
      <c r="BW18" s="96"/>
      <c r="BX18" s="96"/>
      <c r="BY18" s="96"/>
      <c r="BZ18" s="96"/>
      <c r="CA18" s="96"/>
      <c r="CB18" s="96"/>
      <c r="CC18" s="96"/>
      <c r="CD18" s="96"/>
      <c r="CE18" s="96"/>
      <c r="CF18" s="96"/>
      <c r="CG18" s="95"/>
      <c r="CH18" s="94"/>
      <c r="CI18" s="94"/>
      <c r="CJ18" s="38">
        <f t="shared" si="0"/>
        <v>0</v>
      </c>
      <c r="CK18" s="76"/>
      <c r="CL18" s="39">
        <f t="shared" si="1"/>
        <v>0</v>
      </c>
      <c r="CM18" s="40">
        <v>1</v>
      </c>
      <c r="CO18" s="41"/>
      <c r="CP18" s="42"/>
      <c r="CQ18" s="42"/>
    </row>
    <row r="19" spans="1:95" s="40" customFormat="1" ht="12.75" customHeight="1" x14ac:dyDescent="0.25">
      <c r="A19" s="96"/>
      <c r="B19" s="96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  <c r="AP19" s="96"/>
      <c r="AQ19" s="96"/>
      <c r="AR19" s="96"/>
      <c r="AS19" s="96"/>
      <c r="AT19" s="96"/>
      <c r="AU19" s="96"/>
      <c r="AV19" s="96"/>
      <c r="AW19" s="96"/>
      <c r="AX19" s="96"/>
      <c r="AY19" s="96"/>
      <c r="AZ19" s="96"/>
      <c r="BA19" s="96"/>
      <c r="BB19" s="96"/>
      <c r="BC19" s="96"/>
      <c r="BD19" s="96"/>
      <c r="BE19" s="96"/>
      <c r="BF19" s="96"/>
      <c r="BG19" s="96"/>
      <c r="BH19" s="96"/>
      <c r="BI19" s="96"/>
      <c r="BJ19" s="96"/>
      <c r="BK19" s="96"/>
      <c r="BL19" s="96"/>
      <c r="BM19" s="96"/>
      <c r="BN19" s="96"/>
      <c r="BO19" s="96"/>
      <c r="BP19" s="96"/>
      <c r="BQ19" s="96"/>
      <c r="BR19" s="96"/>
      <c r="BS19" s="96"/>
      <c r="BT19" s="96"/>
      <c r="BU19" s="96"/>
      <c r="BV19" s="96"/>
      <c r="BW19" s="96"/>
      <c r="BX19" s="96"/>
      <c r="BY19" s="96"/>
      <c r="BZ19" s="96"/>
      <c r="CA19" s="96"/>
      <c r="CB19" s="96"/>
      <c r="CC19" s="96"/>
      <c r="CD19" s="96"/>
      <c r="CE19" s="96"/>
      <c r="CF19" s="96"/>
      <c r="CG19" s="95"/>
      <c r="CH19" s="94"/>
      <c r="CI19" s="94"/>
      <c r="CJ19" s="38">
        <f t="shared" si="0"/>
        <v>0</v>
      </c>
      <c r="CK19" s="76"/>
      <c r="CL19" s="39">
        <f t="shared" si="1"/>
        <v>0</v>
      </c>
      <c r="CM19" s="40">
        <v>2</v>
      </c>
      <c r="CO19" s="41"/>
      <c r="CP19" s="42"/>
      <c r="CQ19" s="42"/>
    </row>
    <row r="20" spans="1:95" s="40" customFormat="1" ht="12.75" customHeight="1" x14ac:dyDescent="0.25">
      <c r="A20" s="96"/>
      <c r="B20" s="96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96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96"/>
      <c r="AI20" s="96"/>
      <c r="AJ20" s="96"/>
      <c r="AK20" s="96"/>
      <c r="AL20" s="96"/>
      <c r="AM20" s="96"/>
      <c r="AN20" s="96"/>
      <c r="AO20" s="96"/>
      <c r="AP20" s="96"/>
      <c r="AQ20" s="96"/>
      <c r="AR20" s="96"/>
      <c r="AS20" s="96"/>
      <c r="AT20" s="96"/>
      <c r="AU20" s="96"/>
      <c r="AV20" s="96"/>
      <c r="AW20" s="96"/>
      <c r="AX20" s="96"/>
      <c r="AY20" s="96"/>
      <c r="AZ20" s="96"/>
      <c r="BA20" s="96"/>
      <c r="BB20" s="96"/>
      <c r="BC20" s="96"/>
      <c r="BD20" s="96"/>
      <c r="BE20" s="96"/>
      <c r="BF20" s="96"/>
      <c r="BG20" s="96"/>
      <c r="BH20" s="96"/>
      <c r="BI20" s="96"/>
      <c r="BJ20" s="96"/>
      <c r="BK20" s="96"/>
      <c r="BL20" s="96"/>
      <c r="BM20" s="96"/>
      <c r="BN20" s="96"/>
      <c r="BO20" s="96"/>
      <c r="BP20" s="96"/>
      <c r="BQ20" s="96"/>
      <c r="BR20" s="96"/>
      <c r="BS20" s="96"/>
      <c r="BT20" s="96"/>
      <c r="BU20" s="96"/>
      <c r="BV20" s="96"/>
      <c r="BW20" s="96"/>
      <c r="BX20" s="96"/>
      <c r="BY20" s="96"/>
      <c r="BZ20" s="96"/>
      <c r="CA20" s="96"/>
      <c r="CB20" s="96"/>
      <c r="CC20" s="96"/>
      <c r="CD20" s="96"/>
      <c r="CE20" s="96"/>
      <c r="CF20" s="96"/>
      <c r="CG20" s="95"/>
      <c r="CH20" s="94"/>
      <c r="CI20" s="94"/>
      <c r="CJ20" s="38">
        <f t="shared" si="0"/>
        <v>0</v>
      </c>
      <c r="CK20" s="76"/>
      <c r="CL20" s="39">
        <f t="shared" si="1"/>
        <v>0</v>
      </c>
      <c r="CM20" s="40">
        <v>1</v>
      </c>
      <c r="CO20" s="41"/>
      <c r="CP20" s="42"/>
      <c r="CQ20" s="42"/>
    </row>
    <row r="21" spans="1:95" s="40" customFormat="1" ht="12.75" customHeight="1" x14ac:dyDescent="0.25">
      <c r="A21" s="96"/>
      <c r="B21" s="96"/>
      <c r="C21" s="96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6"/>
      <c r="V21" s="96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96"/>
      <c r="AI21" s="96"/>
      <c r="AJ21" s="96"/>
      <c r="AK21" s="96"/>
      <c r="AL21" s="96"/>
      <c r="AM21" s="96"/>
      <c r="AN21" s="96"/>
      <c r="AO21" s="96"/>
      <c r="AP21" s="96"/>
      <c r="AQ21" s="96"/>
      <c r="AR21" s="96"/>
      <c r="AS21" s="96"/>
      <c r="AT21" s="96"/>
      <c r="AU21" s="96"/>
      <c r="AV21" s="96"/>
      <c r="AW21" s="96"/>
      <c r="AX21" s="96"/>
      <c r="AY21" s="96"/>
      <c r="AZ21" s="96"/>
      <c r="BA21" s="96"/>
      <c r="BB21" s="96"/>
      <c r="BC21" s="96"/>
      <c r="BD21" s="96"/>
      <c r="BE21" s="96"/>
      <c r="BF21" s="96"/>
      <c r="BG21" s="96"/>
      <c r="BH21" s="96"/>
      <c r="BI21" s="96"/>
      <c r="BJ21" s="96"/>
      <c r="BK21" s="96"/>
      <c r="BL21" s="96"/>
      <c r="BM21" s="96"/>
      <c r="BN21" s="96"/>
      <c r="BO21" s="96"/>
      <c r="BP21" s="96"/>
      <c r="BQ21" s="96"/>
      <c r="BR21" s="96"/>
      <c r="BS21" s="96"/>
      <c r="BT21" s="96"/>
      <c r="BU21" s="96"/>
      <c r="BV21" s="96"/>
      <c r="BW21" s="96"/>
      <c r="BX21" s="96"/>
      <c r="BY21" s="96"/>
      <c r="BZ21" s="96"/>
      <c r="CA21" s="96"/>
      <c r="CB21" s="96"/>
      <c r="CC21" s="96"/>
      <c r="CD21" s="96"/>
      <c r="CE21" s="96"/>
      <c r="CF21" s="96"/>
      <c r="CG21" s="95"/>
      <c r="CH21" s="94"/>
      <c r="CI21" s="94"/>
      <c r="CJ21" s="38">
        <f t="shared" si="0"/>
        <v>0</v>
      </c>
      <c r="CK21" s="76"/>
      <c r="CL21" s="39">
        <f t="shared" si="1"/>
        <v>0</v>
      </c>
      <c r="CM21" s="40">
        <v>2</v>
      </c>
      <c r="CO21" s="41"/>
      <c r="CP21" s="42"/>
      <c r="CQ21" s="42"/>
    </row>
    <row r="22" spans="1:95" s="40" customFormat="1" ht="12.75" customHeight="1" x14ac:dyDescent="0.25">
      <c r="A22" s="96"/>
      <c r="B22" s="96"/>
      <c r="C22" s="96"/>
      <c r="D22" s="96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96"/>
      <c r="S22" s="96"/>
      <c r="T22" s="96"/>
      <c r="U22" s="96"/>
      <c r="V22" s="96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96"/>
      <c r="AI22" s="96"/>
      <c r="AJ22" s="96"/>
      <c r="AK22" s="96"/>
      <c r="AL22" s="96"/>
      <c r="AM22" s="96"/>
      <c r="AN22" s="96"/>
      <c r="AO22" s="96"/>
      <c r="AP22" s="96"/>
      <c r="AQ22" s="96"/>
      <c r="AR22" s="96"/>
      <c r="AS22" s="96"/>
      <c r="AT22" s="96"/>
      <c r="AU22" s="96"/>
      <c r="AV22" s="96"/>
      <c r="AW22" s="96"/>
      <c r="AX22" s="96"/>
      <c r="AY22" s="96"/>
      <c r="AZ22" s="96"/>
      <c r="BA22" s="96"/>
      <c r="BB22" s="96"/>
      <c r="BC22" s="96"/>
      <c r="BD22" s="96"/>
      <c r="BE22" s="96"/>
      <c r="BF22" s="96"/>
      <c r="BG22" s="96"/>
      <c r="BH22" s="96"/>
      <c r="BI22" s="96"/>
      <c r="BJ22" s="96"/>
      <c r="BK22" s="96"/>
      <c r="BL22" s="96"/>
      <c r="BM22" s="96"/>
      <c r="BN22" s="96"/>
      <c r="BO22" s="96"/>
      <c r="BP22" s="96"/>
      <c r="BQ22" s="96"/>
      <c r="BR22" s="96"/>
      <c r="BS22" s="96"/>
      <c r="BT22" s="96"/>
      <c r="BU22" s="96"/>
      <c r="BV22" s="96"/>
      <c r="BW22" s="96"/>
      <c r="BX22" s="96"/>
      <c r="BY22" s="96"/>
      <c r="BZ22" s="96"/>
      <c r="CA22" s="96"/>
      <c r="CB22" s="96"/>
      <c r="CC22" s="96"/>
      <c r="CD22" s="96"/>
      <c r="CE22" s="96"/>
      <c r="CF22" s="96"/>
      <c r="CG22" s="95"/>
      <c r="CH22" s="94"/>
      <c r="CI22" s="94"/>
      <c r="CJ22" s="38">
        <f t="shared" si="0"/>
        <v>0</v>
      </c>
      <c r="CK22" s="76"/>
      <c r="CL22" s="39">
        <f t="shared" si="1"/>
        <v>0</v>
      </c>
      <c r="CM22" s="40">
        <v>1</v>
      </c>
      <c r="CO22" s="41"/>
      <c r="CP22" s="42"/>
      <c r="CQ22" s="42"/>
    </row>
    <row r="23" spans="1:95" s="40" customFormat="1" ht="12.75" customHeight="1" x14ac:dyDescent="0.25">
      <c r="A23" s="96"/>
      <c r="B23" s="96"/>
      <c r="C23" s="96"/>
      <c r="D23" s="96"/>
      <c r="E23" s="96"/>
      <c r="F23" s="96"/>
      <c r="G23" s="96"/>
      <c r="H23" s="96"/>
      <c r="I23" s="96"/>
      <c r="J23" s="96"/>
      <c r="K23" s="96"/>
      <c r="L23" s="96"/>
      <c r="M23" s="96"/>
      <c r="N23" s="96"/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96"/>
      <c r="AI23" s="96"/>
      <c r="AJ23" s="96"/>
      <c r="AK23" s="96"/>
      <c r="AL23" s="96"/>
      <c r="AM23" s="96"/>
      <c r="AN23" s="96"/>
      <c r="AO23" s="96"/>
      <c r="AP23" s="96"/>
      <c r="AQ23" s="96"/>
      <c r="AR23" s="96"/>
      <c r="AS23" s="96"/>
      <c r="AT23" s="96"/>
      <c r="AU23" s="96"/>
      <c r="AV23" s="96"/>
      <c r="AW23" s="96"/>
      <c r="AX23" s="96"/>
      <c r="AY23" s="96"/>
      <c r="AZ23" s="96"/>
      <c r="BA23" s="96"/>
      <c r="BB23" s="96"/>
      <c r="BC23" s="96"/>
      <c r="BD23" s="96"/>
      <c r="BE23" s="96"/>
      <c r="BF23" s="96"/>
      <c r="BG23" s="96"/>
      <c r="BH23" s="96"/>
      <c r="BI23" s="96"/>
      <c r="BJ23" s="96"/>
      <c r="BK23" s="96"/>
      <c r="BL23" s="96"/>
      <c r="BM23" s="96"/>
      <c r="BN23" s="96"/>
      <c r="BO23" s="96"/>
      <c r="BP23" s="96"/>
      <c r="BQ23" s="96"/>
      <c r="BR23" s="96"/>
      <c r="BS23" s="96"/>
      <c r="BT23" s="96"/>
      <c r="BU23" s="96"/>
      <c r="BV23" s="96"/>
      <c r="BW23" s="96"/>
      <c r="BX23" s="96"/>
      <c r="BY23" s="96"/>
      <c r="BZ23" s="96"/>
      <c r="CA23" s="96"/>
      <c r="CB23" s="96"/>
      <c r="CC23" s="96"/>
      <c r="CD23" s="96"/>
      <c r="CE23" s="96"/>
      <c r="CF23" s="96"/>
      <c r="CG23" s="95"/>
      <c r="CH23" s="94"/>
      <c r="CI23" s="94"/>
      <c r="CJ23" s="38">
        <f t="shared" si="0"/>
        <v>0</v>
      </c>
      <c r="CK23" s="76"/>
      <c r="CL23" s="39">
        <f t="shared" si="1"/>
        <v>0</v>
      </c>
      <c r="CM23" s="40">
        <v>2</v>
      </c>
      <c r="CO23" s="41"/>
      <c r="CP23" s="42"/>
      <c r="CQ23" s="42"/>
    </row>
    <row r="24" spans="1:95" s="40" customFormat="1" ht="12.75" customHeight="1" x14ac:dyDescent="0.25">
      <c r="A24" s="96"/>
      <c r="B24" s="96"/>
      <c r="C24" s="96"/>
      <c r="D24" s="96"/>
      <c r="E24" s="96"/>
      <c r="F24" s="96"/>
      <c r="G24" s="96"/>
      <c r="H24" s="96"/>
      <c r="I24" s="96"/>
      <c r="J24" s="96"/>
      <c r="K24" s="96"/>
      <c r="L24" s="96"/>
      <c r="M24" s="96"/>
      <c r="N24" s="96"/>
      <c r="O24" s="96"/>
      <c r="P24" s="96"/>
      <c r="Q24" s="96"/>
      <c r="R24" s="96"/>
      <c r="S24" s="96"/>
      <c r="T24" s="96"/>
      <c r="U24" s="96"/>
      <c r="V24" s="96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96"/>
      <c r="AI24" s="96"/>
      <c r="AJ24" s="96"/>
      <c r="AK24" s="96"/>
      <c r="AL24" s="96"/>
      <c r="AM24" s="96"/>
      <c r="AN24" s="96"/>
      <c r="AO24" s="96"/>
      <c r="AP24" s="96"/>
      <c r="AQ24" s="96"/>
      <c r="AR24" s="96"/>
      <c r="AS24" s="96"/>
      <c r="AT24" s="96"/>
      <c r="AU24" s="96"/>
      <c r="AV24" s="96"/>
      <c r="AW24" s="96"/>
      <c r="AX24" s="96"/>
      <c r="AY24" s="96"/>
      <c r="AZ24" s="96"/>
      <c r="BA24" s="96"/>
      <c r="BB24" s="96"/>
      <c r="BC24" s="96"/>
      <c r="BD24" s="96"/>
      <c r="BE24" s="96"/>
      <c r="BF24" s="96"/>
      <c r="BG24" s="96"/>
      <c r="BH24" s="96"/>
      <c r="BI24" s="96"/>
      <c r="BJ24" s="96"/>
      <c r="BK24" s="96"/>
      <c r="BL24" s="96"/>
      <c r="BM24" s="96"/>
      <c r="BN24" s="96"/>
      <c r="BO24" s="96"/>
      <c r="BP24" s="96"/>
      <c r="BQ24" s="96"/>
      <c r="BR24" s="96"/>
      <c r="BS24" s="96"/>
      <c r="BT24" s="96"/>
      <c r="BU24" s="96"/>
      <c r="BV24" s="96"/>
      <c r="BW24" s="96"/>
      <c r="BX24" s="96"/>
      <c r="BY24" s="96"/>
      <c r="BZ24" s="96"/>
      <c r="CA24" s="96"/>
      <c r="CB24" s="96"/>
      <c r="CC24" s="96"/>
      <c r="CD24" s="96"/>
      <c r="CE24" s="96"/>
      <c r="CF24" s="96"/>
      <c r="CG24" s="95"/>
      <c r="CH24" s="94"/>
      <c r="CI24" s="94"/>
      <c r="CJ24" s="38">
        <f t="shared" si="0"/>
        <v>0</v>
      </c>
      <c r="CK24" s="76"/>
      <c r="CL24" s="39">
        <f t="shared" si="1"/>
        <v>0</v>
      </c>
      <c r="CM24" s="40">
        <v>1</v>
      </c>
      <c r="CO24" s="41"/>
      <c r="CP24" s="42"/>
      <c r="CQ24" s="42"/>
    </row>
    <row r="25" spans="1:95" s="40" customFormat="1" ht="12.75" customHeight="1" x14ac:dyDescent="0.25">
      <c r="A25" s="96"/>
      <c r="B25" s="96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96"/>
      <c r="AI25" s="96"/>
      <c r="AJ25" s="96"/>
      <c r="AK25" s="96"/>
      <c r="AL25" s="96"/>
      <c r="AM25" s="96"/>
      <c r="AN25" s="96"/>
      <c r="AO25" s="96"/>
      <c r="AP25" s="96"/>
      <c r="AQ25" s="96"/>
      <c r="AR25" s="96"/>
      <c r="AS25" s="96"/>
      <c r="AT25" s="96"/>
      <c r="AU25" s="96"/>
      <c r="AV25" s="96"/>
      <c r="AW25" s="96"/>
      <c r="AX25" s="96"/>
      <c r="AY25" s="96"/>
      <c r="AZ25" s="96"/>
      <c r="BA25" s="96"/>
      <c r="BB25" s="96"/>
      <c r="BC25" s="96"/>
      <c r="BD25" s="96"/>
      <c r="BE25" s="96"/>
      <c r="BF25" s="96"/>
      <c r="BG25" s="96"/>
      <c r="BH25" s="96"/>
      <c r="BI25" s="96"/>
      <c r="BJ25" s="96"/>
      <c r="BK25" s="96"/>
      <c r="BL25" s="96"/>
      <c r="BM25" s="96"/>
      <c r="BN25" s="96"/>
      <c r="BO25" s="96"/>
      <c r="BP25" s="96"/>
      <c r="BQ25" s="96"/>
      <c r="BR25" s="96"/>
      <c r="BS25" s="96"/>
      <c r="BT25" s="96"/>
      <c r="BU25" s="96"/>
      <c r="BV25" s="96"/>
      <c r="BW25" s="96"/>
      <c r="BX25" s="96"/>
      <c r="BY25" s="96"/>
      <c r="BZ25" s="96"/>
      <c r="CA25" s="96"/>
      <c r="CB25" s="96"/>
      <c r="CC25" s="96"/>
      <c r="CD25" s="96"/>
      <c r="CE25" s="96"/>
      <c r="CF25" s="96"/>
      <c r="CG25" s="95"/>
      <c r="CH25" s="94"/>
      <c r="CI25" s="94"/>
      <c r="CJ25" s="38">
        <f t="shared" si="0"/>
        <v>0</v>
      </c>
      <c r="CK25" s="76"/>
      <c r="CL25" s="39">
        <f t="shared" si="1"/>
        <v>0</v>
      </c>
      <c r="CM25" s="40">
        <v>2</v>
      </c>
      <c r="CO25" s="41"/>
      <c r="CP25" s="42"/>
      <c r="CQ25" s="12">
        <f>DATE(2016,1,26)</f>
        <v>42395</v>
      </c>
    </row>
    <row r="26" spans="1:95" s="40" customFormat="1" ht="12.75" customHeight="1" x14ac:dyDescent="0.25">
      <c r="A26" s="96"/>
      <c r="B26" s="96"/>
      <c r="C26" s="96"/>
      <c r="D26" s="96"/>
      <c r="E26" s="96"/>
      <c r="F26" s="96"/>
      <c r="G26" s="96"/>
      <c r="H26" s="96"/>
      <c r="I26" s="96"/>
      <c r="J26" s="96"/>
      <c r="K26" s="96"/>
      <c r="L26" s="96"/>
      <c r="M26" s="96"/>
      <c r="N26" s="96"/>
      <c r="O26" s="96"/>
      <c r="P26" s="96"/>
      <c r="Q26" s="96"/>
      <c r="R26" s="96"/>
      <c r="S26" s="96"/>
      <c r="T26" s="96"/>
      <c r="U26" s="96"/>
      <c r="V26" s="96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96"/>
      <c r="AI26" s="96"/>
      <c r="AJ26" s="96"/>
      <c r="AK26" s="96"/>
      <c r="AL26" s="96"/>
      <c r="AM26" s="96"/>
      <c r="AN26" s="96"/>
      <c r="AO26" s="96"/>
      <c r="AP26" s="96"/>
      <c r="AQ26" s="96"/>
      <c r="AR26" s="96"/>
      <c r="AS26" s="96"/>
      <c r="AT26" s="96"/>
      <c r="AU26" s="96"/>
      <c r="AV26" s="96"/>
      <c r="AW26" s="96"/>
      <c r="AX26" s="96"/>
      <c r="AY26" s="96"/>
      <c r="AZ26" s="96"/>
      <c r="BA26" s="96"/>
      <c r="BB26" s="96"/>
      <c r="BC26" s="96"/>
      <c r="BD26" s="96"/>
      <c r="BE26" s="96"/>
      <c r="BF26" s="96"/>
      <c r="BG26" s="96"/>
      <c r="BH26" s="96"/>
      <c r="BI26" s="96"/>
      <c r="BJ26" s="96"/>
      <c r="BK26" s="96"/>
      <c r="BL26" s="96"/>
      <c r="BM26" s="96"/>
      <c r="BN26" s="96"/>
      <c r="BO26" s="96"/>
      <c r="BP26" s="96"/>
      <c r="BQ26" s="96"/>
      <c r="BR26" s="96"/>
      <c r="BS26" s="96"/>
      <c r="BT26" s="96"/>
      <c r="BU26" s="96"/>
      <c r="BV26" s="96"/>
      <c r="BW26" s="96"/>
      <c r="BX26" s="96"/>
      <c r="BY26" s="96"/>
      <c r="BZ26" s="96"/>
      <c r="CA26" s="96"/>
      <c r="CB26" s="96"/>
      <c r="CC26" s="96"/>
      <c r="CD26" s="96"/>
      <c r="CE26" s="96"/>
      <c r="CF26" s="96"/>
      <c r="CG26" s="95"/>
      <c r="CH26" s="94"/>
      <c r="CI26" s="94"/>
      <c r="CJ26" s="38">
        <f t="shared" si="0"/>
        <v>0</v>
      </c>
      <c r="CK26" s="76"/>
      <c r="CL26" s="39">
        <f t="shared" si="1"/>
        <v>0</v>
      </c>
      <c r="CM26" s="40">
        <v>1</v>
      </c>
      <c r="CO26" s="43"/>
      <c r="CP26" s="44"/>
      <c r="CQ26" s="44"/>
    </row>
    <row r="27" spans="1:95" s="40" customFormat="1" ht="12.75" customHeight="1" x14ac:dyDescent="0.25">
      <c r="A27" s="96"/>
      <c r="B27" s="96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96"/>
      <c r="S27" s="96"/>
      <c r="T27" s="96"/>
      <c r="U27" s="96"/>
      <c r="V27" s="96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96"/>
      <c r="AI27" s="96"/>
      <c r="AJ27" s="96"/>
      <c r="AK27" s="96"/>
      <c r="AL27" s="96"/>
      <c r="AM27" s="96"/>
      <c r="AN27" s="96"/>
      <c r="AO27" s="96"/>
      <c r="AP27" s="96"/>
      <c r="AQ27" s="96"/>
      <c r="AR27" s="96"/>
      <c r="AS27" s="96"/>
      <c r="AT27" s="96"/>
      <c r="AU27" s="96"/>
      <c r="AV27" s="96"/>
      <c r="AW27" s="96"/>
      <c r="AX27" s="96"/>
      <c r="AY27" s="96"/>
      <c r="AZ27" s="96"/>
      <c r="BA27" s="96"/>
      <c r="BB27" s="96"/>
      <c r="BC27" s="96"/>
      <c r="BD27" s="96"/>
      <c r="BE27" s="96"/>
      <c r="BF27" s="96"/>
      <c r="BG27" s="96"/>
      <c r="BH27" s="96"/>
      <c r="BI27" s="96"/>
      <c r="BJ27" s="96"/>
      <c r="BK27" s="96"/>
      <c r="BL27" s="96"/>
      <c r="BM27" s="96"/>
      <c r="BN27" s="96"/>
      <c r="BO27" s="96"/>
      <c r="BP27" s="96"/>
      <c r="BQ27" s="96"/>
      <c r="BR27" s="96"/>
      <c r="BS27" s="96"/>
      <c r="BT27" s="96"/>
      <c r="BU27" s="96"/>
      <c r="BV27" s="96"/>
      <c r="BW27" s="96"/>
      <c r="BX27" s="96"/>
      <c r="BY27" s="96"/>
      <c r="BZ27" s="96"/>
      <c r="CA27" s="96"/>
      <c r="CB27" s="96"/>
      <c r="CC27" s="96"/>
      <c r="CD27" s="96"/>
      <c r="CE27" s="96"/>
      <c r="CF27" s="96"/>
      <c r="CG27" s="95"/>
      <c r="CH27" s="94"/>
      <c r="CI27" s="94"/>
      <c r="CJ27" s="38">
        <f t="shared" si="0"/>
        <v>0</v>
      </c>
      <c r="CK27" s="76"/>
      <c r="CL27" s="39">
        <f t="shared" si="1"/>
        <v>0</v>
      </c>
      <c r="CM27" s="40">
        <v>2</v>
      </c>
      <c r="CO27" s="43"/>
      <c r="CP27" s="44"/>
      <c r="CQ27" s="44" t="str">
        <f>TEXT(CQ25,"dddd")</f>
        <v>Tuesday</v>
      </c>
    </row>
    <row r="28" spans="1:95" s="40" customFormat="1" ht="12.75" customHeight="1" x14ac:dyDescent="0.25">
      <c r="A28" s="96"/>
      <c r="B28" s="96"/>
      <c r="C28" s="96"/>
      <c r="D28" s="96"/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96"/>
      <c r="AI28" s="96"/>
      <c r="AJ28" s="96"/>
      <c r="AK28" s="96"/>
      <c r="AL28" s="96"/>
      <c r="AM28" s="96"/>
      <c r="AN28" s="96"/>
      <c r="AO28" s="96"/>
      <c r="AP28" s="96"/>
      <c r="AQ28" s="96"/>
      <c r="AR28" s="96"/>
      <c r="AS28" s="96"/>
      <c r="AT28" s="96"/>
      <c r="AU28" s="96"/>
      <c r="AV28" s="96"/>
      <c r="AW28" s="96"/>
      <c r="AX28" s="96"/>
      <c r="AY28" s="96"/>
      <c r="AZ28" s="96"/>
      <c r="BA28" s="96"/>
      <c r="BB28" s="96"/>
      <c r="BC28" s="96"/>
      <c r="BD28" s="96"/>
      <c r="BE28" s="96"/>
      <c r="BF28" s="96"/>
      <c r="BG28" s="96"/>
      <c r="BH28" s="96"/>
      <c r="BI28" s="96"/>
      <c r="BJ28" s="96"/>
      <c r="BK28" s="96"/>
      <c r="BL28" s="96"/>
      <c r="BM28" s="96"/>
      <c r="BN28" s="96"/>
      <c r="BO28" s="96"/>
      <c r="BP28" s="96"/>
      <c r="BQ28" s="96"/>
      <c r="BR28" s="96"/>
      <c r="BS28" s="96"/>
      <c r="BT28" s="96"/>
      <c r="BU28" s="96"/>
      <c r="BV28" s="96"/>
      <c r="BW28" s="96"/>
      <c r="BX28" s="96"/>
      <c r="BY28" s="96"/>
      <c r="BZ28" s="96"/>
      <c r="CA28" s="96"/>
      <c r="CB28" s="96"/>
      <c r="CC28" s="96"/>
      <c r="CD28" s="96"/>
      <c r="CE28" s="96"/>
      <c r="CF28" s="96"/>
      <c r="CG28" s="95"/>
      <c r="CH28" s="94"/>
      <c r="CI28" s="94"/>
      <c r="CJ28" s="38">
        <f t="shared" si="0"/>
        <v>0</v>
      </c>
      <c r="CK28" s="76"/>
      <c r="CL28" s="39">
        <f t="shared" si="1"/>
        <v>0</v>
      </c>
      <c r="CM28" s="40">
        <v>1</v>
      </c>
      <c r="CO28" s="43"/>
      <c r="CP28" s="44"/>
      <c r="CQ28" s="44"/>
    </row>
    <row r="29" spans="1:95" s="40" customFormat="1" ht="12.75" customHeight="1" x14ac:dyDescent="0.25">
      <c r="A29" s="96"/>
      <c r="B29" s="96"/>
      <c r="C29" s="96"/>
      <c r="D29" s="96"/>
      <c r="E29" s="96"/>
      <c r="F29" s="96"/>
      <c r="G29" s="96"/>
      <c r="H29" s="96"/>
      <c r="I29" s="96"/>
      <c r="J29" s="96"/>
      <c r="K29" s="96"/>
      <c r="L29" s="96"/>
      <c r="M29" s="96"/>
      <c r="N29" s="96"/>
      <c r="O29" s="96"/>
      <c r="P29" s="96"/>
      <c r="Q29" s="96"/>
      <c r="R29" s="96"/>
      <c r="S29" s="96"/>
      <c r="T29" s="96"/>
      <c r="U29" s="96"/>
      <c r="V29" s="96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96"/>
      <c r="AI29" s="96"/>
      <c r="AJ29" s="96"/>
      <c r="AK29" s="96"/>
      <c r="AL29" s="96"/>
      <c r="AM29" s="96"/>
      <c r="AN29" s="96"/>
      <c r="AO29" s="96"/>
      <c r="AP29" s="96"/>
      <c r="AQ29" s="96"/>
      <c r="AR29" s="96"/>
      <c r="AS29" s="96"/>
      <c r="AT29" s="96"/>
      <c r="AU29" s="96"/>
      <c r="AV29" s="96"/>
      <c r="AW29" s="96"/>
      <c r="AX29" s="96"/>
      <c r="AY29" s="96"/>
      <c r="AZ29" s="96"/>
      <c r="BA29" s="96"/>
      <c r="BB29" s="96"/>
      <c r="BC29" s="96"/>
      <c r="BD29" s="96"/>
      <c r="BE29" s="96"/>
      <c r="BF29" s="96"/>
      <c r="BG29" s="96"/>
      <c r="BH29" s="96"/>
      <c r="BI29" s="96"/>
      <c r="BJ29" s="96"/>
      <c r="BK29" s="96"/>
      <c r="BL29" s="96"/>
      <c r="BM29" s="96"/>
      <c r="BN29" s="96"/>
      <c r="BO29" s="96"/>
      <c r="BP29" s="96"/>
      <c r="BQ29" s="96"/>
      <c r="BR29" s="96"/>
      <c r="BS29" s="96"/>
      <c r="BT29" s="96"/>
      <c r="BU29" s="96"/>
      <c r="BV29" s="96"/>
      <c r="BW29" s="96"/>
      <c r="BX29" s="96"/>
      <c r="BY29" s="96"/>
      <c r="BZ29" s="96"/>
      <c r="CA29" s="96"/>
      <c r="CB29" s="96"/>
      <c r="CC29" s="96"/>
      <c r="CD29" s="96"/>
      <c r="CE29" s="96"/>
      <c r="CF29" s="96"/>
      <c r="CG29" s="95"/>
      <c r="CH29" s="94"/>
      <c r="CI29" s="94"/>
      <c r="CJ29" s="38">
        <f t="shared" si="0"/>
        <v>0</v>
      </c>
      <c r="CK29" s="76"/>
      <c r="CL29" s="39">
        <f t="shared" si="1"/>
        <v>0</v>
      </c>
      <c r="CM29" s="40">
        <v>2</v>
      </c>
      <c r="CO29" s="43"/>
      <c r="CP29" s="43"/>
      <c r="CQ29" s="43"/>
    </row>
    <row r="30" spans="1:95" s="40" customFormat="1" ht="12.75" customHeight="1" x14ac:dyDescent="0.25">
      <c r="A30" s="96"/>
      <c r="B30" s="96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96"/>
      <c r="S30" s="96"/>
      <c r="T30" s="96"/>
      <c r="U30" s="96"/>
      <c r="V30" s="96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96"/>
      <c r="AI30" s="96"/>
      <c r="AJ30" s="96"/>
      <c r="AK30" s="96"/>
      <c r="AL30" s="96"/>
      <c r="AM30" s="96"/>
      <c r="AN30" s="96"/>
      <c r="AO30" s="96"/>
      <c r="AP30" s="96"/>
      <c r="AQ30" s="96"/>
      <c r="AR30" s="96"/>
      <c r="AS30" s="96"/>
      <c r="AT30" s="96"/>
      <c r="AU30" s="96"/>
      <c r="AV30" s="96"/>
      <c r="AW30" s="96"/>
      <c r="AX30" s="96"/>
      <c r="AY30" s="96"/>
      <c r="AZ30" s="96"/>
      <c r="BA30" s="96"/>
      <c r="BB30" s="96"/>
      <c r="BC30" s="96"/>
      <c r="BD30" s="96"/>
      <c r="BE30" s="96"/>
      <c r="BF30" s="96"/>
      <c r="BG30" s="96"/>
      <c r="BH30" s="96"/>
      <c r="BI30" s="96"/>
      <c r="BJ30" s="96"/>
      <c r="BK30" s="96"/>
      <c r="BL30" s="96"/>
      <c r="BM30" s="96"/>
      <c r="BN30" s="96"/>
      <c r="BO30" s="96"/>
      <c r="BP30" s="96"/>
      <c r="BQ30" s="96"/>
      <c r="BR30" s="96"/>
      <c r="BS30" s="96"/>
      <c r="BT30" s="96"/>
      <c r="BU30" s="96"/>
      <c r="BV30" s="96"/>
      <c r="BW30" s="96"/>
      <c r="BX30" s="96"/>
      <c r="BY30" s="96"/>
      <c r="BZ30" s="96"/>
      <c r="CA30" s="96"/>
      <c r="CB30" s="96"/>
      <c r="CC30" s="96"/>
      <c r="CD30" s="96"/>
      <c r="CE30" s="96"/>
      <c r="CF30" s="96"/>
      <c r="CG30" s="95"/>
      <c r="CH30" s="94"/>
      <c r="CI30" s="94"/>
      <c r="CJ30" s="38">
        <f t="shared" si="0"/>
        <v>0</v>
      </c>
      <c r="CK30" s="76"/>
      <c r="CL30" s="39">
        <f t="shared" si="1"/>
        <v>0</v>
      </c>
      <c r="CM30" s="40">
        <v>1</v>
      </c>
      <c r="CO30" s="43"/>
      <c r="CP30" s="43"/>
      <c r="CQ30" s="43"/>
    </row>
    <row r="31" spans="1:95" s="40" customFormat="1" ht="12.75" customHeight="1" x14ac:dyDescent="0.25">
      <c r="A31" s="96"/>
      <c r="B31" s="96"/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96"/>
      <c r="S31" s="96"/>
      <c r="T31" s="96"/>
      <c r="U31" s="96"/>
      <c r="V31" s="96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96"/>
      <c r="AI31" s="96"/>
      <c r="AJ31" s="96"/>
      <c r="AK31" s="96"/>
      <c r="AL31" s="96"/>
      <c r="AM31" s="96"/>
      <c r="AN31" s="96"/>
      <c r="AO31" s="96"/>
      <c r="AP31" s="96"/>
      <c r="AQ31" s="96"/>
      <c r="AR31" s="96"/>
      <c r="AS31" s="96"/>
      <c r="AT31" s="96"/>
      <c r="AU31" s="96"/>
      <c r="AV31" s="96"/>
      <c r="AW31" s="96"/>
      <c r="AX31" s="96"/>
      <c r="AY31" s="96"/>
      <c r="AZ31" s="96"/>
      <c r="BA31" s="96"/>
      <c r="BB31" s="96"/>
      <c r="BC31" s="96"/>
      <c r="BD31" s="96"/>
      <c r="BE31" s="96"/>
      <c r="BF31" s="96"/>
      <c r="BG31" s="96"/>
      <c r="BH31" s="96"/>
      <c r="BI31" s="96"/>
      <c r="BJ31" s="96"/>
      <c r="BK31" s="96"/>
      <c r="BL31" s="96"/>
      <c r="BM31" s="96"/>
      <c r="BN31" s="96"/>
      <c r="BO31" s="96"/>
      <c r="BP31" s="96"/>
      <c r="BQ31" s="96"/>
      <c r="BR31" s="96"/>
      <c r="BS31" s="96"/>
      <c r="BT31" s="96"/>
      <c r="BU31" s="96"/>
      <c r="BV31" s="96"/>
      <c r="BW31" s="96"/>
      <c r="BX31" s="96"/>
      <c r="BY31" s="96"/>
      <c r="BZ31" s="96"/>
      <c r="CA31" s="96"/>
      <c r="CB31" s="96"/>
      <c r="CC31" s="96"/>
      <c r="CD31" s="96"/>
      <c r="CE31" s="96"/>
      <c r="CF31" s="96"/>
      <c r="CG31" s="95"/>
      <c r="CH31" s="94"/>
      <c r="CI31" s="94"/>
      <c r="CJ31" s="38">
        <f t="shared" si="0"/>
        <v>0</v>
      </c>
      <c r="CK31" s="76"/>
      <c r="CL31" s="39">
        <f t="shared" si="1"/>
        <v>0</v>
      </c>
      <c r="CM31" s="40">
        <v>2</v>
      </c>
      <c r="CO31" s="43"/>
      <c r="CP31" s="43"/>
      <c r="CQ31" s="43"/>
    </row>
    <row r="32" spans="1:95" s="40" customFormat="1" ht="12.75" customHeight="1" x14ac:dyDescent="0.25">
      <c r="A32" s="96"/>
      <c r="B32" s="96"/>
      <c r="C32" s="96"/>
      <c r="D32" s="96"/>
      <c r="E32" s="96"/>
      <c r="F32" s="96"/>
      <c r="G32" s="96"/>
      <c r="H32" s="96"/>
      <c r="I32" s="96"/>
      <c r="J32" s="96"/>
      <c r="K32" s="96"/>
      <c r="L32" s="96"/>
      <c r="M32" s="96"/>
      <c r="N32" s="96"/>
      <c r="O32" s="96"/>
      <c r="P32" s="96"/>
      <c r="Q32" s="96"/>
      <c r="R32" s="96"/>
      <c r="S32" s="96"/>
      <c r="T32" s="96"/>
      <c r="U32" s="96"/>
      <c r="V32" s="96"/>
      <c r="W32" s="96"/>
      <c r="X32" s="96"/>
      <c r="Y32" s="96"/>
      <c r="Z32" s="96"/>
      <c r="AA32" s="96"/>
      <c r="AB32" s="96"/>
      <c r="AC32" s="96"/>
      <c r="AD32" s="96"/>
      <c r="AE32" s="96"/>
      <c r="AF32" s="96"/>
      <c r="AG32" s="96"/>
      <c r="AH32" s="96"/>
      <c r="AI32" s="96"/>
      <c r="AJ32" s="96"/>
      <c r="AK32" s="96"/>
      <c r="AL32" s="96"/>
      <c r="AM32" s="96"/>
      <c r="AN32" s="96"/>
      <c r="AO32" s="96"/>
      <c r="AP32" s="96"/>
      <c r="AQ32" s="96"/>
      <c r="AR32" s="96"/>
      <c r="AS32" s="96"/>
      <c r="AT32" s="96"/>
      <c r="AU32" s="96"/>
      <c r="AV32" s="96"/>
      <c r="AW32" s="96"/>
      <c r="AX32" s="96"/>
      <c r="AY32" s="96"/>
      <c r="AZ32" s="96"/>
      <c r="BA32" s="96"/>
      <c r="BB32" s="96"/>
      <c r="BC32" s="96"/>
      <c r="BD32" s="96"/>
      <c r="BE32" s="96"/>
      <c r="BF32" s="96"/>
      <c r="BG32" s="96"/>
      <c r="BH32" s="96"/>
      <c r="BI32" s="96"/>
      <c r="BJ32" s="96"/>
      <c r="BK32" s="96"/>
      <c r="BL32" s="96"/>
      <c r="BM32" s="96"/>
      <c r="BN32" s="96"/>
      <c r="BO32" s="96"/>
      <c r="BP32" s="96"/>
      <c r="BQ32" s="96"/>
      <c r="BR32" s="96"/>
      <c r="BS32" s="96"/>
      <c r="BT32" s="96"/>
      <c r="BU32" s="96"/>
      <c r="BV32" s="96"/>
      <c r="BW32" s="96"/>
      <c r="BX32" s="96"/>
      <c r="BY32" s="96"/>
      <c r="BZ32" s="96"/>
      <c r="CA32" s="96"/>
      <c r="CB32" s="96"/>
      <c r="CC32" s="96"/>
      <c r="CD32" s="96"/>
      <c r="CE32" s="96"/>
      <c r="CF32" s="96"/>
      <c r="CG32" s="95"/>
      <c r="CH32" s="94"/>
      <c r="CI32" s="94"/>
      <c r="CJ32" s="38">
        <f t="shared" si="0"/>
        <v>0</v>
      </c>
      <c r="CK32" s="76"/>
      <c r="CL32" s="39">
        <f t="shared" si="1"/>
        <v>0</v>
      </c>
      <c r="CM32" s="40">
        <v>1</v>
      </c>
      <c r="CO32" s="43"/>
      <c r="CP32" s="43"/>
      <c r="CQ32" s="43"/>
    </row>
    <row r="33" spans="1:95" s="40" customFormat="1" ht="12.75" customHeight="1" x14ac:dyDescent="0.25">
      <c r="A33" s="96"/>
      <c r="B33" s="96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6"/>
      <c r="AQ33" s="96"/>
      <c r="AR33" s="96"/>
      <c r="AS33" s="96"/>
      <c r="AT33" s="96"/>
      <c r="AU33" s="96"/>
      <c r="AV33" s="96"/>
      <c r="AW33" s="96"/>
      <c r="AX33" s="96"/>
      <c r="AY33" s="96"/>
      <c r="AZ33" s="96"/>
      <c r="BA33" s="96"/>
      <c r="BB33" s="96"/>
      <c r="BC33" s="96"/>
      <c r="BD33" s="96"/>
      <c r="BE33" s="96"/>
      <c r="BF33" s="96"/>
      <c r="BG33" s="96"/>
      <c r="BH33" s="96"/>
      <c r="BI33" s="96"/>
      <c r="BJ33" s="96"/>
      <c r="BK33" s="96"/>
      <c r="BL33" s="96"/>
      <c r="BM33" s="96"/>
      <c r="BN33" s="96"/>
      <c r="BO33" s="96"/>
      <c r="BP33" s="96"/>
      <c r="BQ33" s="96"/>
      <c r="BR33" s="96"/>
      <c r="BS33" s="96"/>
      <c r="BT33" s="96"/>
      <c r="BU33" s="96"/>
      <c r="BV33" s="96"/>
      <c r="BW33" s="96"/>
      <c r="BX33" s="96"/>
      <c r="BY33" s="96"/>
      <c r="BZ33" s="96"/>
      <c r="CA33" s="96"/>
      <c r="CB33" s="96"/>
      <c r="CC33" s="96"/>
      <c r="CD33" s="96"/>
      <c r="CE33" s="96"/>
      <c r="CF33" s="96"/>
      <c r="CG33" s="95"/>
      <c r="CH33" s="94"/>
      <c r="CI33" s="94"/>
      <c r="CJ33" s="38">
        <f t="shared" si="0"/>
        <v>0</v>
      </c>
      <c r="CK33" s="76"/>
      <c r="CL33" s="39">
        <f t="shared" si="1"/>
        <v>0</v>
      </c>
      <c r="CM33" s="40">
        <v>2</v>
      </c>
      <c r="CO33" s="43"/>
      <c r="CP33" s="43"/>
      <c r="CQ33" s="43"/>
    </row>
    <row r="34" spans="1:95" s="40" customFormat="1" ht="12.75" customHeight="1" x14ac:dyDescent="0.25">
      <c r="A34" s="96"/>
      <c r="B34" s="96"/>
      <c r="C34" s="96"/>
      <c r="D34" s="96"/>
      <c r="E34" s="96"/>
      <c r="F34" s="96"/>
      <c r="G34" s="96"/>
      <c r="H34" s="96"/>
      <c r="I34" s="96"/>
      <c r="J34" s="96"/>
      <c r="K34" s="96"/>
      <c r="L34" s="96"/>
      <c r="M34" s="96"/>
      <c r="N34" s="96"/>
      <c r="O34" s="96"/>
      <c r="P34" s="96"/>
      <c r="Q34" s="96"/>
      <c r="R34" s="96"/>
      <c r="S34" s="96"/>
      <c r="T34" s="96"/>
      <c r="U34" s="96"/>
      <c r="V34" s="96"/>
      <c r="W34" s="96"/>
      <c r="X34" s="96"/>
      <c r="Y34" s="96"/>
      <c r="Z34" s="96"/>
      <c r="AA34" s="96"/>
      <c r="AB34" s="96"/>
      <c r="AC34" s="96"/>
      <c r="AD34" s="96"/>
      <c r="AE34" s="96"/>
      <c r="AF34" s="96"/>
      <c r="AG34" s="96"/>
      <c r="AH34" s="96"/>
      <c r="AI34" s="96"/>
      <c r="AJ34" s="96"/>
      <c r="AK34" s="96"/>
      <c r="AL34" s="96"/>
      <c r="AM34" s="96"/>
      <c r="AN34" s="96"/>
      <c r="AO34" s="96"/>
      <c r="AP34" s="96"/>
      <c r="AQ34" s="96"/>
      <c r="AR34" s="96"/>
      <c r="AS34" s="96"/>
      <c r="AT34" s="96"/>
      <c r="AU34" s="96"/>
      <c r="AV34" s="96"/>
      <c r="AW34" s="96"/>
      <c r="AX34" s="96"/>
      <c r="AY34" s="96"/>
      <c r="AZ34" s="96"/>
      <c r="BA34" s="96"/>
      <c r="BB34" s="96"/>
      <c r="BC34" s="96"/>
      <c r="BD34" s="96"/>
      <c r="BE34" s="96"/>
      <c r="BF34" s="96"/>
      <c r="BG34" s="96"/>
      <c r="BH34" s="96"/>
      <c r="BI34" s="96"/>
      <c r="BJ34" s="96"/>
      <c r="BK34" s="96"/>
      <c r="BL34" s="96"/>
      <c r="BM34" s="96"/>
      <c r="BN34" s="96"/>
      <c r="BO34" s="96"/>
      <c r="BP34" s="96"/>
      <c r="BQ34" s="96"/>
      <c r="BR34" s="96"/>
      <c r="BS34" s="96"/>
      <c r="BT34" s="96"/>
      <c r="BU34" s="96"/>
      <c r="BV34" s="96"/>
      <c r="BW34" s="96"/>
      <c r="BX34" s="96"/>
      <c r="BY34" s="96"/>
      <c r="BZ34" s="96"/>
      <c r="CA34" s="96"/>
      <c r="CB34" s="96"/>
      <c r="CC34" s="96"/>
      <c r="CD34" s="96"/>
      <c r="CE34" s="96"/>
      <c r="CF34" s="96"/>
      <c r="CG34" s="95"/>
      <c r="CH34" s="94"/>
      <c r="CI34" s="94"/>
      <c r="CJ34" s="38">
        <f t="shared" si="0"/>
        <v>0</v>
      </c>
      <c r="CK34" s="76"/>
      <c r="CL34" s="39">
        <f t="shared" si="1"/>
        <v>0</v>
      </c>
      <c r="CM34" s="40">
        <v>1</v>
      </c>
      <c r="CO34" s="43"/>
      <c r="CP34" s="43"/>
      <c r="CQ34" s="43"/>
    </row>
    <row r="35" spans="1:95" s="40" customFormat="1" ht="12.75" customHeight="1" thickBot="1" x14ac:dyDescent="0.3">
      <c r="A35" s="96"/>
      <c r="B35" s="96"/>
      <c r="C35" s="96"/>
      <c r="D35" s="96"/>
      <c r="E35" s="96"/>
      <c r="F35" s="96"/>
      <c r="G35" s="96"/>
      <c r="H35" s="96"/>
      <c r="I35" s="96"/>
      <c r="J35" s="96"/>
      <c r="K35" s="96"/>
      <c r="L35" s="96"/>
      <c r="M35" s="96"/>
      <c r="N35" s="96"/>
      <c r="O35" s="96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96"/>
      <c r="AQ35" s="96"/>
      <c r="AR35" s="96"/>
      <c r="AS35" s="96"/>
      <c r="AT35" s="96"/>
      <c r="AU35" s="96"/>
      <c r="AV35" s="96"/>
      <c r="AW35" s="96"/>
      <c r="AX35" s="96"/>
      <c r="AY35" s="96"/>
      <c r="AZ35" s="96"/>
      <c r="BA35" s="96"/>
      <c r="BB35" s="96"/>
      <c r="BC35" s="96"/>
      <c r="BD35" s="96"/>
      <c r="BE35" s="96"/>
      <c r="BF35" s="96"/>
      <c r="BG35" s="96"/>
      <c r="BH35" s="96"/>
      <c r="BI35" s="96"/>
      <c r="BJ35" s="96"/>
      <c r="BK35" s="96"/>
      <c r="BL35" s="96"/>
      <c r="BM35" s="96"/>
      <c r="BN35" s="96"/>
      <c r="BO35" s="96"/>
      <c r="BP35" s="96"/>
      <c r="BQ35" s="96"/>
      <c r="BR35" s="96"/>
      <c r="BS35" s="96"/>
      <c r="BT35" s="96"/>
      <c r="BU35" s="96"/>
      <c r="BV35" s="96"/>
      <c r="BW35" s="96"/>
      <c r="BX35" s="96"/>
      <c r="BY35" s="96"/>
      <c r="BZ35" s="96"/>
      <c r="CA35" s="96"/>
      <c r="CB35" s="96"/>
      <c r="CC35" s="96"/>
      <c r="CD35" s="96"/>
      <c r="CE35" s="96"/>
      <c r="CF35" s="96"/>
      <c r="CG35" s="95"/>
      <c r="CH35" s="94"/>
      <c r="CI35" s="94"/>
      <c r="CJ35" s="38">
        <f t="shared" si="0"/>
        <v>0</v>
      </c>
      <c r="CK35" s="76"/>
      <c r="CL35" s="39">
        <f t="shared" si="1"/>
        <v>0</v>
      </c>
      <c r="CM35" s="40">
        <v>2</v>
      </c>
      <c r="CO35" s="43"/>
      <c r="CP35" s="43"/>
      <c r="CQ35" s="43"/>
    </row>
    <row r="36" spans="1:95" s="36" customFormat="1" ht="12.75" customHeight="1" thickBot="1" x14ac:dyDescent="0.3">
      <c r="A36" s="83" t="str">
        <f>IF($G$38="Mandag","m",IF($G$38="Tirsdag","t",IF($G$38="Onsdag","o",IF($G$38="Torsdag","t",IF($G$38="Fredag","f",IF($G$38="Lørdag","l",IF($G$38="Søndag","s","N/A")))))))</f>
        <v>m</v>
      </c>
      <c r="B36" s="84" t="str">
        <f>IF($G$38="Mandag","t",IF($G$38="Tirsdag","o",IF($G$38="Onsdag","t",IF($G$38="Torsdag","f",IF($G$38="Fredag","l",IF($G$38="Lørdag","s",IF($G$38="Søndag","m","N/A")))))))</f>
        <v>t</v>
      </c>
      <c r="C36" s="84" t="str">
        <f>IF($G$38="Mandag","o",IF($G$38="Tirsdag","t",IF($G$38="Onsdag","f",IF($G$38="Torsdag","l",IF($G$38="Fredag","s",IF($G$38="Lørdag","m",IF($G$38="Søndag","t","N/A")))))))</f>
        <v>o</v>
      </c>
      <c r="D36" s="84" t="str">
        <f>IF($G$38="Mandag","t",IF($G$38="Tirsdag","f",IF($G$38="Onsdag","l",IF($G$38="Torsdag","s",IF($G$38="Fredag","m",IF($G$38="Lørdag","t",IF($G$38="Søndag","o","N/A")))))))</f>
        <v>t</v>
      </c>
      <c r="E36" s="84" t="str">
        <f>IF($G$38="Mandag","f",IF($G$38="Tirsdag","l",IF($G$38="Onsdag","s",IF($G$38="Torsdag","m",IF($G$38="Fredag","t",IF($G$38="Lørdag","o",IF($G$38="Søndag","t","N/A")))))))</f>
        <v>f</v>
      </c>
      <c r="F36" s="84" t="str">
        <f>IF($G$38="Mandag","l",IF($G$38="Tirsdag","s",IF($G$38="Onsdag","m",IF($G$38="Torsdag","t",IF($G$38="Fredag","o",IF($G$38="Lørdag","t",IF($G$38="Søndag","f","N/A")))))))</f>
        <v>l</v>
      </c>
      <c r="G36" s="85" t="str">
        <f>IF($G$38="Mandag","s",IF($G$38="Tirsdag","m",IF($G$38="Onsdag","t",IF($G$38="Torsdag","o",IF($G$38="Fredag","t",IF($G$38="Lørdag","f",IF($G$38="Søndag","l","N/A")))))))</f>
        <v>s</v>
      </c>
      <c r="H36" s="45" t="str">
        <f>IF($G$38="Mandag","m",IF($G$38="Tirsdag","t",IF($G$38="Onsdag","o",IF($G$38="Torsdag","t",IF($G$38="Fredag","f",IF($G$38="Lørdag","l",IF($G$38="Søndag","s","N/A")))))))</f>
        <v>m</v>
      </c>
      <c r="I36" s="46" t="str">
        <f>IF($G$38="Mandag","t",IF($G$38="Tirsdag","o",IF($G$38="Onsdag","t",IF($G$38="Torsdag","f",IF($G$38="Fredag","l",IF($G$38="Lørdag","s",IF($G$38="Søndag","m","N/A")))))))</f>
        <v>t</v>
      </c>
      <c r="J36" s="46" t="str">
        <f>IF($G$38="Mandag","o",IF($G$38="Tirsdag","t",IF($G$38="Onsdag","f",IF($G$38="Torsdag","l",IF($G$38="Fredag","s",IF($G$38="Lørdag","m",IF($G$38="Søndag","t","N/A")))))))</f>
        <v>o</v>
      </c>
      <c r="K36" s="46" t="str">
        <f>IF($G$38="Mandag","t",IF($G$38="Tirsdag","f",IF($G$38="Onsdag","l",IF($G$38="Torsdag","s",IF($G$38="Fredag","m",IF($G$38="Lørdag","t",IF($G$38="Søndag","o","N/A")))))))</f>
        <v>t</v>
      </c>
      <c r="L36" s="46" t="str">
        <f>IF($G$38="Mandag","f",IF($G$38="Tirsdag","l",IF($G$38="Onsdag","s",IF($G$38="Torsdag","m",IF($G$38="Fredag","t",IF($G$38="Lørdag","o",IF($G$38="Søndag","t","N/A")))))))</f>
        <v>f</v>
      </c>
      <c r="M36" s="46" t="str">
        <f>IF($G$38="Mandag","l",IF($G$38="Tirsdag","s",IF($G$38="Onsdag","m",IF($G$38="Torsdag","t",IF($G$38="Fredag","o",IF($G$38="Lørdag","t",IF($G$38="Søndag","f","N/A")))))))</f>
        <v>l</v>
      </c>
      <c r="N36" s="47" t="str">
        <f>IF($G$38="Mandag","s",IF($G$38="Tirsdag","m",IF($G$38="Onsdag","t",IF($G$38="Torsdag","o",IF($G$38="Fredag","t",IF($G$38="Lørdag","f",IF($G$38="Søndag","l","N/A")))))))</f>
        <v>s</v>
      </c>
      <c r="O36" s="83" t="str">
        <f>IF($G$38="Mandag","m",IF($G$38="Tirsdag","t",IF($G$38="Onsdag","o",IF($G$38="Torsdag","t",IF($G$38="Fredag","f",IF($G$38="Lørdag","l",IF($G$38="Søndag","s","N/A")))))))</f>
        <v>m</v>
      </c>
      <c r="P36" s="84" t="str">
        <f>IF($G$38="Mandag","t",IF($G$38="Tirsdag","o",IF($G$38="Onsdag","t",IF($G$38="Torsdag","f",IF($G$38="Fredag","l",IF($G$38="Lørdag","s",IF($G$38="Søndag","m","N/A")))))))</f>
        <v>t</v>
      </c>
      <c r="Q36" s="84" t="str">
        <f>IF($G$38="Mandag","o",IF($G$38="Tirsdag","t",IF($G$38="Onsdag","f",IF($G$38="Torsdag","l",IF($G$38="Fredag","s",IF($G$38="Lørdag","m",IF($G$38="Søndag","t","N/A")))))))</f>
        <v>o</v>
      </c>
      <c r="R36" s="84" t="str">
        <f>IF($G$38="Mandag","t",IF($G$38="Tirsdag","f",IF($G$38="Onsdag","l",IF($G$38="Torsdag","s",IF($G$38="Fredag","m",IF($G$38="Lørdag","t",IF($G$38="Søndag","o","N/A")))))))</f>
        <v>t</v>
      </c>
      <c r="S36" s="84" t="str">
        <f>IF($G$38="Mandag","f",IF($G$38="Tirsdag","l",IF($G$38="Onsdag","s",IF($G$38="Torsdag","m",IF($G$38="Fredag","t",IF($G$38="Lørdag","o",IF($G$38="Søndag","t","N/A")))))))</f>
        <v>f</v>
      </c>
      <c r="T36" s="84" t="str">
        <f>IF($G$38="Mandag","l",IF($G$38="Tirsdag","s",IF($G$38="Onsdag","m",IF($G$38="Torsdag","t",IF($G$38="Fredag","o",IF($G$38="Lørdag","t",IF($G$38="Søndag","f","N/A")))))))</f>
        <v>l</v>
      </c>
      <c r="U36" s="85" t="str">
        <f>IF($G$38="Mandag","s",IF($G$38="Tirsdag","m",IF($G$38="Onsdag","t",IF($G$38="Torsdag","o",IF($G$38="Fredag","t",IF($G$38="Lørdag","f",IF($G$38="Søndag","l","N/A")))))))</f>
        <v>s</v>
      </c>
      <c r="V36" s="45" t="str">
        <f>IF($G$38="Mandag","m",IF($G$38="Tirsdag","t",IF($G$38="Onsdag","o",IF($G$38="Torsdag","t",IF($G$38="Fredag","f",IF($G$38="Lørdag","l",IF($G$38="Søndag","s","N/A")))))))</f>
        <v>m</v>
      </c>
      <c r="W36" s="46" t="str">
        <f>IF($G$38="Mandag","t",IF($G$38="Tirsdag","o",IF($G$38="Onsdag","t",IF($G$38="Torsdag","f",IF($G$38="Fredag","l",IF($G$38="Lørdag","s",IF($G$38="Søndag","m","N/A")))))))</f>
        <v>t</v>
      </c>
      <c r="X36" s="46" t="str">
        <f>IF($G$38="Mandag","o",IF($G$38="Tirsdag","t",IF($G$38="Onsdag","f",IF($G$38="Torsdag","l",IF($G$38="Fredag","s",IF($G$38="Lørdag","m",IF($G$38="Søndag","t","N/A")))))))</f>
        <v>o</v>
      </c>
      <c r="Y36" s="46" t="str">
        <f>IF($G$38="Mandag","t",IF($G$38="Tirsdag","f",IF($G$38="Onsdag","l",IF($G$38="Torsdag","s",IF($G$38="Fredag","m",IF($G$38="Lørdag","t",IF($G$38="Søndag","o","N/A")))))))</f>
        <v>t</v>
      </c>
      <c r="Z36" s="46" t="str">
        <f>IF($G$38="Mandag","f",IF($G$38="Tirsdag","l",IF($G$38="Onsdag","s",IF($G$38="Torsdag","m",IF($G$38="Fredag","t",IF($G$38="Lørdag","o",IF($G$38="Søndag","t","N/A")))))))</f>
        <v>f</v>
      </c>
      <c r="AA36" s="46" t="str">
        <f>IF($G$38="Mandag","l",IF($G$38="Tirsdag","s",IF($G$38="Onsdag","m",IF($G$38="Torsdag","t",IF($G$38="Fredag","o",IF($G$38="Lørdag","t",IF($G$38="Søndag","f","N/A")))))))</f>
        <v>l</v>
      </c>
      <c r="AB36" s="47" t="str">
        <f>IF($G$38="Mandag","s",IF($G$38="Tirsdag","m",IF($G$38="Onsdag","t",IF($G$38="Torsdag","o",IF($G$38="Fredag","t",IF($G$38="Lørdag","f",IF($G$38="Søndag","l","N/A")))))))</f>
        <v>s</v>
      </c>
      <c r="AC36" s="83" t="str">
        <f>IF($G$38="Mandag","m",IF($G$38="Tirsdag","t",IF($G$38="Onsdag","o",IF($G$38="Torsdag","t",IF($G$38="Fredag","f",IF($G$38="Lørdag","l",IF($G$38="Søndag","s","N/A")))))))</f>
        <v>m</v>
      </c>
      <c r="AD36" s="84" t="str">
        <f>IF($G$38="Mandag","t",IF($G$38="Tirsdag","o",IF($G$38="Onsdag","t",IF($G$38="Torsdag","f",IF($G$38="Fredag","l",IF($G$38="Lørdag","s",IF($G$38="Søndag","m","N/A")))))))</f>
        <v>t</v>
      </c>
      <c r="AE36" s="84" t="str">
        <f>IF($G$38="Mandag","o",IF($G$38="Tirsdag","t",IF($G$38="Onsdag","f",IF($G$38="Torsdag","l",IF($G$38="Fredag","s",IF($G$38="Lørdag","m",IF($G$38="Søndag","t","N/A")))))))</f>
        <v>o</v>
      </c>
      <c r="AF36" s="84" t="str">
        <f>IF($G$38="Mandag","t",IF($G$38="Tirsdag","f",IF($G$38="Onsdag","l",IF($G$38="Torsdag","s",IF($G$38="Fredag","m",IF($G$38="Lørdag","t",IF($G$38="Søndag","o","N/A")))))))</f>
        <v>t</v>
      </c>
      <c r="AG36" s="84" t="str">
        <f>IF($G$38="Mandag","f",IF($G$38="Tirsdag","l",IF($G$38="Onsdag","s",IF($G$38="Torsdag","m",IF($G$38="Fredag","t",IF($G$38="Lørdag","o",IF($G$38="Søndag","t","N/A")))))))</f>
        <v>f</v>
      </c>
      <c r="AH36" s="84" t="str">
        <f>IF($G$38="Mandag","l",IF($G$38="Tirsdag","s",IF($G$38="Onsdag","m",IF($G$38="Torsdag","t",IF($G$38="Fredag","o",IF($G$38="Lørdag","t",IF($G$38="Søndag","f","N/A")))))))</f>
        <v>l</v>
      </c>
      <c r="AI36" s="85" t="str">
        <f>IF($G$38="Mandag","s",IF($G$38="Tirsdag","m",IF($G$38="Onsdag","t",IF($G$38="Torsdag","o",IF($G$38="Fredag","t",IF($G$38="Lørdag","f",IF($G$38="Søndag","l","N/A")))))))</f>
        <v>s</v>
      </c>
      <c r="AJ36" s="45" t="str">
        <f>IF($G$38="Mandag","m",IF($G$38="Tirsdag","t",IF($G$38="Onsdag","o",IF($G$38="Torsdag","t",IF($G$38="Fredag","f",IF($G$38="Lørdag","l",IF($G$38="Søndag","s","N/A")))))))</f>
        <v>m</v>
      </c>
      <c r="AK36" s="46" t="str">
        <f>IF($G$38="Mandag","t",IF($G$38="Tirsdag","o",IF($G$38="Onsdag","t",IF($G$38="Torsdag","f",IF($G$38="Fredag","l",IF($G$38="Lørdag","s",IF($G$38="Søndag","m","N/A")))))))</f>
        <v>t</v>
      </c>
      <c r="AL36" s="46" t="str">
        <f>IF($G$38="Mandag","o",IF($G$38="Tirsdag","t",IF($G$38="Onsdag","f",IF($G$38="Torsdag","l",IF($G$38="Fredag","s",IF($G$38="Lørdag","m",IF($G$38="Søndag","t","N/A")))))))</f>
        <v>o</v>
      </c>
      <c r="AM36" s="46" t="str">
        <f>IF($G$38="Mandag","t",IF($G$38="Tirsdag","f",IF($G$38="Onsdag","l",IF($G$38="Torsdag","s",IF($G$38="Fredag","m",IF($G$38="Lørdag","t",IF($G$38="Søndag","o","N/A")))))))</f>
        <v>t</v>
      </c>
      <c r="AN36" s="46" t="str">
        <f>IF($G$38="Mandag","f",IF($G$38="Tirsdag","l",IF($G$38="Onsdag","s",IF($G$38="Torsdag","m",IF($G$38="Fredag","t",IF($G$38="Lørdag","o",IF($G$38="Søndag","t","N/A")))))))</f>
        <v>f</v>
      </c>
      <c r="AO36" s="46" t="str">
        <f>IF($G$38="Mandag","l",IF($G$38="Tirsdag","s",IF($G$38="Onsdag","m",IF($G$38="Torsdag","t",IF($G$38="Fredag","o",IF($G$38="Lørdag","t",IF($G$38="Søndag","f","N/A")))))))</f>
        <v>l</v>
      </c>
      <c r="AP36" s="47" t="str">
        <f>IF($G$38="Mandag","s",IF($G$38="Tirsdag","m",IF($G$38="Onsdag","t",IF($G$38="Torsdag","o",IF($G$38="Fredag","t",IF($G$38="Lørdag","f",IF($G$38="Søndag","l","N/A")))))))</f>
        <v>s</v>
      </c>
      <c r="AQ36" s="83" t="str">
        <f>IF($G$38="Mandag","m",IF($G$38="Tirsdag","t",IF($G$38="Onsdag","o",IF($G$38="Torsdag","t",IF($G$38="Fredag","f",IF($G$38="Lørdag","l",IF($G$38="Søndag","s","N/A")))))))</f>
        <v>m</v>
      </c>
      <c r="AR36" s="84" t="str">
        <f>IF($G$38="Mandag","t",IF($G$38="Tirsdag","o",IF($G$38="Onsdag","t",IF($G$38="Torsdag","f",IF($G$38="Fredag","l",IF($G$38="Lørdag","s",IF($G$38="Søndag","m","N/A")))))))</f>
        <v>t</v>
      </c>
      <c r="AS36" s="84" t="str">
        <f>IF($G$38="Mandag","o",IF($G$38="Tirsdag","t",IF($G$38="Onsdag","f",IF($G$38="Torsdag","l",IF($G$38="Fredag","s",IF($G$38="Lørdag","m",IF($G$38="Søndag","t","N/A")))))))</f>
        <v>o</v>
      </c>
      <c r="AT36" s="84" t="str">
        <f>IF($G$38="Mandag","t",IF($G$38="Tirsdag","f",IF($G$38="Onsdag","l",IF($G$38="Torsdag","s",IF($G$38="Fredag","m",IF($G$38="Lørdag","t",IF($G$38="Søndag","o","N/A")))))))</f>
        <v>t</v>
      </c>
      <c r="AU36" s="84" t="str">
        <f>IF($G$38="Mandag","f",IF($G$38="Tirsdag","l",IF($G$38="Onsdag","s",IF($G$38="Torsdag","m",IF($G$38="Fredag","t",IF($G$38="Lørdag","o",IF($G$38="Søndag","t","N/A")))))))</f>
        <v>f</v>
      </c>
      <c r="AV36" s="84" t="str">
        <f>IF($G$38="Mandag","l",IF($G$38="Tirsdag","s",IF($G$38="Onsdag","m",IF($G$38="Torsdag","t",IF($G$38="Fredag","o",IF($G$38="Lørdag","t",IF($G$38="Søndag","f","N/A")))))))</f>
        <v>l</v>
      </c>
      <c r="AW36" s="85" t="str">
        <f>IF($G$38="Mandag","s",IF($G$38="Tirsdag","m",IF($G$38="Onsdag","t",IF($G$38="Torsdag","o",IF($G$38="Fredag","t",IF($G$38="Lørdag","f",IF($G$38="Søndag","l","N/A")))))))</f>
        <v>s</v>
      </c>
      <c r="AX36" s="45" t="str">
        <f>IF($G$38="Mandag","m",IF($G$38="Tirsdag","t",IF($G$38="Onsdag","o",IF($G$38="Torsdag","t",IF($G$38="Fredag","f",IF($G$38="Lørdag","l",IF($G$38="Søndag","s","N/A")))))))</f>
        <v>m</v>
      </c>
      <c r="AY36" s="46" t="str">
        <f>IF($G$38="Mandag","t",IF($G$38="Tirsdag","o",IF($G$38="Onsdag","t",IF($G$38="Torsdag","f",IF($G$38="Fredag","l",IF($G$38="Lørdag","s",IF($G$38="Søndag","m","N/A")))))))</f>
        <v>t</v>
      </c>
      <c r="AZ36" s="46" t="str">
        <f>IF($G$38="Mandag","o",IF($G$38="Tirsdag","t",IF($G$38="Onsdag","f",IF($G$38="Torsdag","l",IF($G$38="Fredag","s",IF($G$38="Lørdag","m",IF($G$38="Søndag","t","N/A")))))))</f>
        <v>o</v>
      </c>
      <c r="BA36" s="46" t="str">
        <f>IF($G$38="Mandag","t",IF($G$38="Tirsdag","f",IF($G$38="Onsdag","l",IF($G$38="Torsdag","s",IF($G$38="Fredag","m",IF($G$38="Lørdag","t",IF($G$38="Søndag","o","N/A")))))))</f>
        <v>t</v>
      </c>
      <c r="BB36" s="46" t="str">
        <f>IF($G$38="Mandag","f",IF($G$38="Tirsdag","l",IF($G$38="Onsdag","s",IF($G$38="Torsdag","m",IF($G$38="Fredag","t",IF($G$38="Lørdag","o",IF($G$38="Søndag","t","N/A")))))))</f>
        <v>f</v>
      </c>
      <c r="BC36" s="46" t="str">
        <f>IF($G$38="Mandag","l",IF($G$38="Tirsdag","s",IF($G$38="Onsdag","m",IF($G$38="Torsdag","t",IF($G$38="Fredag","o",IF($G$38="Lørdag","t",IF($G$38="Søndag","f","N/A")))))))</f>
        <v>l</v>
      </c>
      <c r="BD36" s="47" t="str">
        <f>IF($G$38="Mandag","s",IF($G$38="Tirsdag","m",IF($G$38="Onsdag","t",IF($G$38="Torsdag","o",IF($G$38="Fredag","t",IF($G$38="Lørdag","f",IF($G$38="Søndag","l","N/A")))))))</f>
        <v>s</v>
      </c>
      <c r="BE36" s="83" t="str">
        <f>IF($G$38="Mandag","m",IF($G$38="Tirsdag","t",IF($G$38="Onsdag","o",IF($G$38="Torsdag","t",IF($G$38="Fredag","f",IF($G$38="Lørdag","l",IF($G$38="Søndag","s","N/A")))))))</f>
        <v>m</v>
      </c>
      <c r="BF36" s="84" t="str">
        <f>IF($G$38="Mandag","t",IF($G$38="Tirsdag","o",IF($G$38="Onsdag","t",IF($G$38="Torsdag","f",IF($G$38="Fredag","l",IF($G$38="Lørdag","s",IF($G$38="Søndag","m","N/A")))))))</f>
        <v>t</v>
      </c>
      <c r="BG36" s="84" t="str">
        <f>IF($G$38="Mandag","o",IF($G$38="Tirsdag","t",IF($G$38="Onsdag","f",IF($G$38="Torsdag","l",IF($G$38="Fredag","s",IF($G$38="Lørdag","m",IF($G$38="Søndag","t","N/A")))))))</f>
        <v>o</v>
      </c>
      <c r="BH36" s="84" t="str">
        <f>IF($G$38="Mandag","t",IF($G$38="Tirsdag","f",IF($G$38="Onsdag","l",IF($G$38="Torsdag","s",IF($G$38="Fredag","m",IF($G$38="Lørdag","t",IF($G$38="Søndag","o","N/A")))))))</f>
        <v>t</v>
      </c>
      <c r="BI36" s="84" t="str">
        <f>IF($G$38="Mandag","f",IF($G$38="Tirsdag","l",IF($G$38="Onsdag","s",IF($G$38="Torsdag","m",IF($G$38="Fredag","t",IF($G$38="Lørdag","o",IF($G$38="Søndag","t","N/A")))))))</f>
        <v>f</v>
      </c>
      <c r="BJ36" s="84" t="str">
        <f>IF($G$38="Mandag","l",IF($G$38="Tirsdag","s",IF($G$38="Onsdag","m",IF($G$38="Torsdag","t",IF($G$38="Fredag","o",IF($G$38="Lørdag","t",IF($G$38="Søndag","f","N/A")))))))</f>
        <v>l</v>
      </c>
      <c r="BK36" s="85" t="str">
        <f>IF($G$38="Mandag","s",IF($G$38="Tirsdag","m",IF($G$38="Onsdag","t",IF($G$38="Torsdag","o",IF($G$38="Fredag","t",IF($G$38="Lørdag","f",IF($G$38="Søndag","l","N/A")))))))</f>
        <v>s</v>
      </c>
      <c r="BL36" s="45" t="str">
        <f>IF($G$38="Mandag","m",IF($G$38="Tirsdag","t",IF($G$38="Onsdag","o",IF($G$38="Torsdag","t",IF($G$38="Fredag","f",IF($G$38="Lørdag","l",IF($G$38="Søndag","s","N/A")))))))</f>
        <v>m</v>
      </c>
      <c r="BM36" s="46" t="str">
        <f>IF($G$38="Mandag","t",IF($G$38="Tirsdag","o",IF($G$38="Onsdag","t",IF($G$38="Torsdag","f",IF($G$38="Fredag","l",IF($G$38="Lørdag","s",IF($G$38="Søndag","m","N/A")))))))</f>
        <v>t</v>
      </c>
      <c r="BN36" s="46" t="str">
        <f>IF($G$38="Mandag","o",IF($G$38="Tirsdag","t",IF($G$38="Onsdag","f",IF($G$38="Torsdag","l",IF($G$38="Fredag","s",IF($G$38="Lørdag","m",IF($G$38="Søndag","t","N/A")))))))</f>
        <v>o</v>
      </c>
      <c r="BO36" s="46" t="str">
        <f>IF($G$38="Mandag","t",IF($G$38="Tirsdag","f",IF($G$38="Onsdag","l",IF($G$38="Torsdag","s",IF($G$38="Fredag","m",IF($G$38="Lørdag","t",IF($G$38="Søndag","o","N/A")))))))</f>
        <v>t</v>
      </c>
      <c r="BP36" s="46" t="str">
        <f>IF($G$38="Mandag","f",IF($G$38="Tirsdag","l",IF($G$38="Onsdag","s",IF($G$38="Torsdag","m",IF($G$38="Fredag","t",IF($G$38="Lørdag","o",IF($G$38="Søndag","t","N/A")))))))</f>
        <v>f</v>
      </c>
      <c r="BQ36" s="46" t="str">
        <f>IF($G$38="Mandag","l",IF($G$38="Tirsdag","s",IF($G$38="Onsdag","m",IF($G$38="Torsdag","t",IF($G$38="Fredag","o",IF($G$38="Lørdag","t",IF($G$38="Søndag","f","N/A")))))))</f>
        <v>l</v>
      </c>
      <c r="BR36" s="47" t="str">
        <f>IF($G$38="Mandag","s",IF($G$38="Tirsdag","m",IF($G$38="Onsdag","t",IF($G$38="Torsdag","o",IF($G$38="Fredag","t",IF($G$38="Lørdag","f",IF($G$38="Søndag","l","N/A")))))))</f>
        <v>s</v>
      </c>
      <c r="BS36" s="83" t="str">
        <f>IF($G$38="Mandag","m",IF($G$38="Tirsdag","t",IF($G$38="Onsdag","o",IF($G$38="Torsdag","t",IF($G$38="Fredag","f",IF($G$38="Lørdag","l",IF($G$38="Søndag","s","N/A")))))))</f>
        <v>m</v>
      </c>
      <c r="BT36" s="84" t="str">
        <f>IF($G$38="Mandag","t",IF($G$38="Tirsdag","o",IF($G$38="Onsdag","t",IF($G$38="Torsdag","f",IF($G$38="Fredag","l",IF($G$38="Lørdag","s",IF($G$38="Søndag","m","N/A")))))))</f>
        <v>t</v>
      </c>
      <c r="BU36" s="84" t="str">
        <f>IF($G$38="Mandag","o",IF($G$38="Tirsdag","t",IF($G$38="Onsdag","f",IF($G$38="Torsdag","l",IF($G$38="Fredag","s",IF($G$38="Lørdag","m",IF($G$38="Søndag","t","N/A")))))))</f>
        <v>o</v>
      </c>
      <c r="BV36" s="84" t="str">
        <f>IF($G$38="Mandag","t",IF($G$38="Tirsdag","f",IF($G$38="Onsdag","l",IF($G$38="Torsdag","s",IF($G$38="Fredag","m",IF($G$38="Lørdag","t",IF($G$38="Søndag","o","N/A")))))))</f>
        <v>t</v>
      </c>
      <c r="BW36" s="84" t="str">
        <f>IF($G$38="Mandag","f",IF($G$38="Tirsdag","l",IF($G$38="Onsdag","s",IF($G$38="Torsdag","m",IF($G$38="Fredag","t",IF($G$38="Lørdag","o",IF($G$38="Søndag","t","N/A")))))))</f>
        <v>f</v>
      </c>
      <c r="BX36" s="84" t="str">
        <f>IF($G$38="Mandag","l",IF($G$38="Tirsdag","s",IF($G$38="Onsdag","m",IF($G$38="Torsdag","t",IF($G$38="Fredag","o",IF($G$38="Lørdag","t",IF($G$38="Søndag","f","N/A")))))))</f>
        <v>l</v>
      </c>
      <c r="BY36" s="85" t="str">
        <f>IF($G$38="Mandag","s",IF($G$38="Tirsdag","m",IF($G$38="Onsdag","t",IF($G$38="Torsdag","o",IF($G$38="Fredag","t",IF($G$38="Lørdag","f",IF($G$38="Søndag","l","N/A")))))))</f>
        <v>s</v>
      </c>
      <c r="BZ36" s="45" t="str">
        <f>IF($G$38="Mandag","m",IF($G$38="Tirsdag","t",IF($G$38="Onsdag","o",IF($G$38="Torsdag","t",IF($G$38="Fredag","f",IF($G$38="Lørdag","l",IF($G$38="Søndag","s","N/A")))))))</f>
        <v>m</v>
      </c>
      <c r="CA36" s="46" t="str">
        <f>IF($G$38="Mandag","t",IF($G$38="Tirsdag","o",IF($G$38="Onsdag","t",IF($G$38="Torsdag","f",IF($G$38="Fredag","l",IF($G$38="Lørdag","s",IF($G$38="Søndag","m","N/A")))))))</f>
        <v>t</v>
      </c>
      <c r="CB36" s="46" t="str">
        <f>IF($G$38="Mandag","o",IF($G$38="Tirsdag","t",IF($G$38="Onsdag","f",IF($G$38="Torsdag","l",IF($G$38="Fredag","s",IF($G$38="Lørdag","m",IF($G$38="Søndag","t","N/A")))))))</f>
        <v>o</v>
      </c>
      <c r="CC36" s="46" t="str">
        <f>IF($G$38="Mandag","t",IF($G$38="Tirsdag","f",IF($G$38="Onsdag","l",IF($G$38="Torsdag","s",IF($G$38="Fredag","m",IF($G$38="Lørdag","t",IF($G$38="Søndag","o","N/A")))))))</f>
        <v>t</v>
      </c>
      <c r="CD36" s="46" t="str">
        <f>IF($G$38="Mandag","f",IF($G$38="Tirsdag","l",IF($G$38="Onsdag","s",IF($G$38="Torsdag","m",IF($G$38="Fredag","t",IF($G$38="Lørdag","o",IF($G$38="Søndag","t","N/A")))))))</f>
        <v>f</v>
      </c>
      <c r="CE36" s="46" t="str">
        <f>IF($G$38="Mandag","l",IF($G$38="Tirsdag","s",IF($G$38="Onsdag","m",IF($G$38="Torsdag","t",IF($G$38="Fredag","o",IF($G$38="Lørdag","t",IF($G$38="Søndag","f","N/A")))))))</f>
        <v>l</v>
      </c>
      <c r="CF36" s="47" t="str">
        <f>IF($G$38="Mandag","s",IF($G$38="Tirsdag","m",IF($G$38="Onsdag","t",IF($G$38="Torsdag","o",IF($G$38="Fredag","t",IF($G$38="Lørdag","f",IF($G$38="Søndag","l","N/A")))))))</f>
        <v>s</v>
      </c>
      <c r="CG36" s="32" t="s">
        <v>3</v>
      </c>
      <c r="CH36" s="33" t="s">
        <v>4</v>
      </c>
      <c r="CI36" s="33" t="s">
        <v>5</v>
      </c>
      <c r="CJ36" s="34" t="s">
        <v>6</v>
      </c>
      <c r="CK36" s="35"/>
      <c r="CL36" s="48">
        <f>SUM(CL4:CL35)</f>
        <v>123.00000000000001</v>
      </c>
      <c r="CO36" s="43"/>
      <c r="CP36" s="43"/>
      <c r="CQ36" s="43"/>
    </row>
    <row r="37" spans="1:95" s="50" customFormat="1" ht="31.5" customHeight="1" x14ac:dyDescent="0.4">
      <c r="A37" s="49" t="s">
        <v>17</v>
      </c>
      <c r="H37" s="51"/>
    </row>
    <row r="38" spans="1:95" s="40" customFormat="1" ht="14.5" thickBot="1" x14ac:dyDescent="0.35">
      <c r="A38" s="52" t="s">
        <v>18</v>
      </c>
      <c r="B38" s="51"/>
      <c r="C38" s="53"/>
      <c r="D38" s="51"/>
      <c r="G38" s="113" t="s">
        <v>129</v>
      </c>
      <c r="H38" s="113"/>
      <c r="I38" s="113"/>
      <c r="L38" s="97" t="s">
        <v>130</v>
      </c>
      <c r="S38" s="113"/>
      <c r="T38" s="113"/>
      <c r="U38" s="113"/>
      <c r="AP38" s="43"/>
      <c r="AQ38" s="43"/>
      <c r="AR38" s="43"/>
      <c r="AS38" s="43"/>
      <c r="AT38" s="43"/>
      <c r="AU38" s="43"/>
      <c r="AV38" s="43"/>
      <c r="AW38" s="43"/>
      <c r="AX38" s="43"/>
      <c r="AY38" s="43"/>
      <c r="AZ38" s="43"/>
      <c r="BA38" s="43"/>
      <c r="BB38" s="43"/>
      <c r="BC38" s="43"/>
      <c r="BD38" s="43"/>
      <c r="BE38" s="43"/>
      <c r="BF38" s="43"/>
      <c r="BG38" s="43"/>
      <c r="BH38" s="43"/>
      <c r="BI38" s="43"/>
      <c r="BJ38" s="43"/>
      <c r="BK38" s="43"/>
      <c r="BL38" s="43"/>
      <c r="BM38" s="43"/>
      <c r="BN38" s="43"/>
      <c r="BO38" s="43"/>
      <c r="BP38" s="43"/>
      <c r="BQ38" s="43"/>
      <c r="BR38" s="43"/>
      <c r="BS38" s="43"/>
      <c r="BT38" s="43"/>
      <c r="BU38" s="43"/>
      <c r="BV38" s="43"/>
      <c r="BW38" s="43"/>
      <c r="BX38" s="43"/>
      <c r="BY38" s="43"/>
      <c r="BZ38" s="43"/>
      <c r="CA38" s="43"/>
      <c r="CB38" s="43"/>
      <c r="CC38" s="43"/>
      <c r="CD38" s="43"/>
      <c r="CE38" s="43"/>
      <c r="CF38" s="43"/>
      <c r="CG38" s="43"/>
      <c r="CH38" s="43"/>
      <c r="CI38" s="43"/>
      <c r="CJ38" s="43"/>
      <c r="CK38" s="43"/>
      <c r="CL38" s="43"/>
      <c r="CM38" s="43"/>
      <c r="CN38" s="43"/>
      <c r="CO38" s="43"/>
      <c r="CP38" s="43"/>
      <c r="CQ38" s="43"/>
    </row>
    <row r="39" spans="1:95" s="40" customFormat="1" ht="13.5" customHeight="1" thickBot="1" x14ac:dyDescent="0.3">
      <c r="A39" s="54" t="s">
        <v>19</v>
      </c>
      <c r="B39" s="110" t="s">
        <v>20</v>
      </c>
      <c r="C39" s="111"/>
      <c r="D39" s="111"/>
      <c r="E39" s="112"/>
      <c r="F39" s="110" t="s">
        <v>21</v>
      </c>
      <c r="G39" s="112"/>
      <c r="H39" s="110" t="s">
        <v>22</v>
      </c>
      <c r="I39" s="112"/>
      <c r="J39" s="110" t="s">
        <v>23</v>
      </c>
      <c r="K39" s="112"/>
      <c r="L39" s="110" t="s">
        <v>24</v>
      </c>
      <c r="M39" s="112"/>
      <c r="N39" s="110" t="s">
        <v>25</v>
      </c>
      <c r="O39" s="112"/>
      <c r="P39" s="110" t="s">
        <v>26</v>
      </c>
      <c r="Q39" s="112"/>
      <c r="R39" s="110" t="s">
        <v>27</v>
      </c>
      <c r="S39" s="112"/>
      <c r="T39" s="110" t="s">
        <v>28</v>
      </c>
      <c r="U39" s="112"/>
      <c r="V39" s="110" t="s">
        <v>29</v>
      </c>
      <c r="W39" s="112"/>
      <c r="X39" s="110" t="s">
        <v>30</v>
      </c>
      <c r="Y39" s="112"/>
      <c r="Z39" s="110" t="s">
        <v>31</v>
      </c>
      <c r="AA39" s="112"/>
      <c r="AB39" s="110" t="s">
        <v>32</v>
      </c>
      <c r="AC39" s="112"/>
      <c r="AD39" s="110" t="s">
        <v>33</v>
      </c>
      <c r="AE39" s="111"/>
      <c r="AF39" s="112"/>
      <c r="AG39" s="110" t="s">
        <v>34</v>
      </c>
      <c r="AH39" s="111"/>
      <c r="AI39" s="112"/>
      <c r="AJ39" s="110" t="s">
        <v>35</v>
      </c>
      <c r="AK39" s="111"/>
      <c r="AL39" s="111"/>
      <c r="AM39" s="110" t="s">
        <v>36</v>
      </c>
      <c r="AN39" s="111"/>
      <c r="AO39" s="111"/>
      <c r="AP39" s="112"/>
      <c r="AQ39" s="110" t="s">
        <v>37</v>
      </c>
      <c r="AR39" s="111"/>
      <c r="AS39" s="111"/>
      <c r="AT39" s="112"/>
      <c r="AU39" s="111" t="s">
        <v>38</v>
      </c>
      <c r="AV39" s="111"/>
      <c r="AW39" s="111"/>
      <c r="AX39" s="110" t="s">
        <v>39</v>
      </c>
      <c r="AY39" s="111"/>
      <c r="AZ39" s="111"/>
      <c r="BA39" s="112"/>
      <c r="BC39" s="155" t="s">
        <v>135</v>
      </c>
      <c r="BD39" s="155"/>
      <c r="BE39" s="155"/>
      <c r="BF39" s="155"/>
      <c r="BG39" s="155"/>
      <c r="BH39" s="155"/>
      <c r="BI39" s="155"/>
      <c r="BJ39" s="155"/>
      <c r="BK39" s="155"/>
      <c r="BL39" s="155"/>
      <c r="BM39" s="155"/>
      <c r="BN39" s="155"/>
      <c r="BO39" s="155"/>
      <c r="BP39" s="155"/>
      <c r="BQ39" s="155"/>
      <c r="BR39" s="155"/>
      <c r="BS39" s="155"/>
      <c r="BT39" s="155"/>
      <c r="BU39" s="155"/>
      <c r="BV39" s="155"/>
      <c r="BW39" s="155"/>
      <c r="BX39" s="155"/>
      <c r="BY39" s="155"/>
      <c r="BZ39" s="155"/>
      <c r="CA39" s="155"/>
      <c r="CB39" s="155"/>
      <c r="CC39" s="155"/>
      <c r="CD39" s="155"/>
      <c r="CE39" s="155"/>
      <c r="CF39" s="155"/>
      <c r="CG39" s="155"/>
    </row>
    <row r="40" spans="1:95" s="40" customFormat="1" ht="13.5" customHeight="1" x14ac:dyDescent="0.25">
      <c r="A40" s="56" t="s">
        <v>40</v>
      </c>
      <c r="B40" s="135" t="s">
        <v>132</v>
      </c>
      <c r="C40" s="136"/>
      <c r="D40" s="136"/>
      <c r="E40" s="137"/>
      <c r="F40" s="140">
        <f>'Ansatt A'!$AK$6</f>
        <v>75.000000000000014</v>
      </c>
      <c r="G40" s="120"/>
      <c r="H40" s="133">
        <f>'Ansatt A'!$AK$7</f>
        <v>0</v>
      </c>
      <c r="I40" s="134"/>
      <c r="J40" s="133">
        <f>'Ansatt A'!$AK$8</f>
        <v>0</v>
      </c>
      <c r="K40" s="134"/>
      <c r="L40" s="133">
        <f>'Ansatt A'!$AK$9</f>
        <v>0</v>
      </c>
      <c r="M40" s="134"/>
      <c r="N40" s="133">
        <f>'Ansatt A'!$AK$10</f>
        <v>0</v>
      </c>
      <c r="O40" s="134"/>
      <c r="P40" s="133">
        <f>'Ansatt A'!$AK$11</f>
        <v>0</v>
      </c>
      <c r="Q40" s="134"/>
      <c r="R40" s="133">
        <f>'Ansatt A'!$AK$12</f>
        <v>0</v>
      </c>
      <c r="S40" s="134"/>
      <c r="T40" s="133">
        <f>'Ansatt A'!$AK$13</f>
        <v>0</v>
      </c>
      <c r="U40" s="134"/>
      <c r="V40" s="133">
        <f>'Ansatt A'!$AK$14</f>
        <v>0</v>
      </c>
      <c r="W40" s="134"/>
      <c r="X40" s="133">
        <f>'Ansatt A'!$AK$15</f>
        <v>0</v>
      </c>
      <c r="Y40" s="134"/>
      <c r="Z40" s="133">
        <f>'Ansatt A'!$AK$16</f>
        <v>0</v>
      </c>
      <c r="AA40" s="134"/>
      <c r="AB40" s="133">
        <f>'Ansatt A'!$AK$17</f>
        <v>0</v>
      </c>
      <c r="AC40" s="134"/>
      <c r="AD40" s="152">
        <f>F40+H40+J40+L40+N40+P40+R40+T40+V40+X40+Z40+AB40</f>
        <v>75.000000000000014</v>
      </c>
      <c r="AE40" s="153"/>
      <c r="AF40" s="154"/>
      <c r="AG40" s="145">
        <f t="shared" ref="AG40:AG65" si="2">IFERROR(SUM(F40:AC40)/AJ40,0)</f>
        <v>18.750000000000004</v>
      </c>
      <c r="AH40" s="146"/>
      <c r="AI40" s="147"/>
      <c r="AJ40" s="113">
        <v>4</v>
      </c>
      <c r="AK40" s="113"/>
      <c r="AL40" s="113"/>
      <c r="AM40" s="151">
        <v>1</v>
      </c>
      <c r="AN40" s="149"/>
      <c r="AO40" s="149"/>
      <c r="AP40" s="150"/>
      <c r="AQ40" s="148"/>
      <c r="AR40" s="149"/>
      <c r="AS40" s="149"/>
      <c r="AT40" s="150"/>
      <c r="AU40" s="113" t="s">
        <v>124</v>
      </c>
      <c r="AV40" s="113"/>
      <c r="AW40" s="114"/>
      <c r="AX40" s="107" t="str">
        <f>IF(OR('Ansatt A'!$B$45&gt;0,'Ansatt A'!$B$67&gt;0,'Ansatt A'!$B$70&gt;0),"Ja","Nei")</f>
        <v>Ja</v>
      </c>
      <c r="AY40" s="108"/>
      <c r="AZ40" s="108"/>
      <c r="BA40" s="109"/>
      <c r="BC40" s="155" t="s">
        <v>136</v>
      </c>
      <c r="BD40" s="155"/>
      <c r="BE40" s="155"/>
      <c r="BF40" s="155"/>
      <c r="BG40" s="155"/>
      <c r="BH40" s="155"/>
      <c r="BI40" s="155"/>
      <c r="BJ40" s="155"/>
      <c r="BK40" s="155"/>
      <c r="BL40" s="155"/>
      <c r="BM40" s="155"/>
      <c r="BN40" s="155"/>
      <c r="BO40" s="155"/>
      <c r="BP40" s="155"/>
      <c r="BQ40" s="155"/>
      <c r="BR40" s="155"/>
      <c r="BS40" s="155"/>
      <c r="BT40" s="155"/>
      <c r="BU40" s="155"/>
      <c r="BV40" s="155"/>
      <c r="BW40" s="155"/>
      <c r="BX40" s="155"/>
      <c r="BY40" s="155"/>
      <c r="BZ40" s="155"/>
      <c r="CA40" s="155"/>
      <c r="CB40" s="155"/>
      <c r="CC40" s="155"/>
      <c r="CD40" s="155"/>
      <c r="CE40" s="155"/>
      <c r="CF40" s="155"/>
      <c r="CG40" s="155"/>
    </row>
    <row r="41" spans="1:95" s="40" customFormat="1" ht="13.5" customHeight="1" x14ac:dyDescent="0.25">
      <c r="A41" s="57" t="s">
        <v>41</v>
      </c>
      <c r="B41" s="124" t="s">
        <v>134</v>
      </c>
      <c r="C41" s="125"/>
      <c r="D41" s="125"/>
      <c r="E41" s="126"/>
      <c r="F41" s="140">
        <f>'Ansatt B'!$AK$6</f>
        <v>48</v>
      </c>
      <c r="G41" s="120"/>
      <c r="H41" s="119">
        <f>'Ansatt B'!$AK$7</f>
        <v>0</v>
      </c>
      <c r="I41" s="120"/>
      <c r="J41" s="119">
        <f>'Ansatt B'!$AK$8</f>
        <v>0</v>
      </c>
      <c r="K41" s="120"/>
      <c r="L41" s="119">
        <f>'Ansatt B'!$AK$9</f>
        <v>0</v>
      </c>
      <c r="M41" s="120"/>
      <c r="N41" s="119">
        <f>'Ansatt B'!$AK$10</f>
        <v>0</v>
      </c>
      <c r="O41" s="120"/>
      <c r="P41" s="119">
        <f>'Ansatt B'!$AK$11</f>
        <v>0</v>
      </c>
      <c r="Q41" s="120"/>
      <c r="R41" s="119">
        <f>'Ansatt B'!$AK$12</f>
        <v>0</v>
      </c>
      <c r="S41" s="120"/>
      <c r="T41" s="119">
        <f>'Ansatt B'!$AK$13</f>
        <v>0</v>
      </c>
      <c r="U41" s="120"/>
      <c r="V41" s="119">
        <f>'Ansatt B'!$AK$14</f>
        <v>0</v>
      </c>
      <c r="W41" s="120"/>
      <c r="X41" s="119">
        <f>'Ansatt B'!$AK$15</f>
        <v>0</v>
      </c>
      <c r="Y41" s="120"/>
      <c r="Z41" s="119">
        <f>'Ansatt B'!$AK$16</f>
        <v>0</v>
      </c>
      <c r="AA41" s="120"/>
      <c r="AB41" s="119">
        <f>'Ansatt B'!$AK$17</f>
        <v>0</v>
      </c>
      <c r="AC41" s="120"/>
      <c r="AD41" s="130">
        <f t="shared" ref="AD41:AD65" si="3">F41+H41+J41+L41+N41+P41+R41+T41+V41+X41+Z41+AB41</f>
        <v>48</v>
      </c>
      <c r="AE41" s="131"/>
      <c r="AF41" s="132"/>
      <c r="AG41" s="142">
        <f t="shared" si="2"/>
        <v>12</v>
      </c>
      <c r="AH41" s="143"/>
      <c r="AI41" s="144"/>
      <c r="AJ41" s="113">
        <v>4</v>
      </c>
      <c r="AK41" s="113"/>
      <c r="AL41" s="113"/>
      <c r="AM41" s="151">
        <v>1</v>
      </c>
      <c r="AN41" s="149"/>
      <c r="AO41" s="149"/>
      <c r="AP41" s="150"/>
      <c r="AQ41" s="148"/>
      <c r="AR41" s="149"/>
      <c r="AS41" s="149"/>
      <c r="AT41" s="150"/>
      <c r="AU41" s="113" t="s">
        <v>103</v>
      </c>
      <c r="AV41" s="113"/>
      <c r="AW41" s="114"/>
      <c r="AX41" s="107" t="str">
        <f>IF(OR('Ansatt B'!$B$45&gt;0,'Ansatt B'!$B$67&gt;0,'Ansatt B'!$B$70&gt;0),"Ja","Nei")</f>
        <v>Ja</v>
      </c>
      <c r="AY41" s="108"/>
      <c r="AZ41" s="108"/>
      <c r="BA41" s="109"/>
      <c r="BC41" s="155" t="s">
        <v>137</v>
      </c>
      <c r="BD41" s="155"/>
      <c r="BE41" s="155"/>
      <c r="BF41" s="155"/>
      <c r="BG41" s="155"/>
      <c r="BH41" s="155"/>
      <c r="BI41" s="155"/>
      <c r="BJ41" s="155"/>
      <c r="BK41" s="155"/>
      <c r="BL41" s="155"/>
      <c r="BM41" s="155"/>
      <c r="BN41" s="155"/>
      <c r="BO41" s="155"/>
      <c r="BP41" s="155"/>
      <c r="BQ41" s="155"/>
      <c r="BR41" s="155"/>
      <c r="BS41" s="155"/>
      <c r="BT41" s="155"/>
      <c r="BU41" s="155"/>
      <c r="BV41" s="155"/>
      <c r="BW41" s="155"/>
      <c r="BX41" s="155"/>
      <c r="BY41" s="155"/>
      <c r="BZ41" s="155"/>
      <c r="CA41" s="155"/>
      <c r="CB41" s="155"/>
      <c r="CC41" s="155"/>
      <c r="CD41" s="155"/>
      <c r="CE41" s="155"/>
      <c r="CF41" s="155"/>
      <c r="CG41" s="155"/>
    </row>
    <row r="42" spans="1:95" s="40" customFormat="1" ht="13.5" customHeight="1" x14ac:dyDescent="0.25">
      <c r="A42" s="57" t="s">
        <v>42</v>
      </c>
      <c r="B42" s="124"/>
      <c r="C42" s="125"/>
      <c r="D42" s="125"/>
      <c r="E42" s="126"/>
      <c r="F42" s="140">
        <f>'Ansatt C'!$AK$6</f>
        <v>0</v>
      </c>
      <c r="G42" s="120"/>
      <c r="H42" s="119">
        <f>'Ansatt C'!$AK$7</f>
        <v>0</v>
      </c>
      <c r="I42" s="120"/>
      <c r="J42" s="119">
        <f>'Ansatt C'!$AK$8</f>
        <v>0</v>
      </c>
      <c r="K42" s="120"/>
      <c r="L42" s="119">
        <f>'Ansatt C'!$AK$9</f>
        <v>0</v>
      </c>
      <c r="M42" s="120"/>
      <c r="N42" s="119">
        <f>'Ansatt C'!$AK$10</f>
        <v>0</v>
      </c>
      <c r="O42" s="120"/>
      <c r="P42" s="119">
        <f>'Ansatt C'!$AK$11</f>
        <v>0</v>
      </c>
      <c r="Q42" s="120"/>
      <c r="R42" s="119">
        <f>'Ansatt C'!$AK$12</f>
        <v>0</v>
      </c>
      <c r="S42" s="120"/>
      <c r="T42" s="119">
        <f>'Ansatt C'!$AK$13</f>
        <v>0</v>
      </c>
      <c r="U42" s="120"/>
      <c r="V42" s="119">
        <f>'Ansatt C'!$AK$14</f>
        <v>0</v>
      </c>
      <c r="W42" s="120"/>
      <c r="X42" s="119">
        <f>'Ansatt C'!$AK$15</f>
        <v>0</v>
      </c>
      <c r="Y42" s="120"/>
      <c r="Z42" s="119">
        <f>'Ansatt C'!$AK$16</f>
        <v>0</v>
      </c>
      <c r="AA42" s="120"/>
      <c r="AB42" s="119">
        <f>'Ansatt C'!$AK$17</f>
        <v>0</v>
      </c>
      <c r="AC42" s="120"/>
      <c r="AD42" s="130">
        <f t="shared" si="3"/>
        <v>0</v>
      </c>
      <c r="AE42" s="131"/>
      <c r="AF42" s="132"/>
      <c r="AG42" s="142">
        <f t="shared" si="2"/>
        <v>0</v>
      </c>
      <c r="AH42" s="143"/>
      <c r="AI42" s="144"/>
      <c r="AJ42" s="113">
        <v>12</v>
      </c>
      <c r="AK42" s="113"/>
      <c r="AL42" s="113"/>
      <c r="AM42" s="151"/>
      <c r="AN42" s="149"/>
      <c r="AO42" s="149"/>
      <c r="AP42" s="150"/>
      <c r="AQ42" s="148"/>
      <c r="AR42" s="149"/>
      <c r="AS42" s="149"/>
      <c r="AT42" s="150"/>
      <c r="AU42" s="113"/>
      <c r="AV42" s="113"/>
      <c r="AW42" s="114"/>
      <c r="AX42" s="107" t="str">
        <f>IF(OR('Ansatt C'!$B$45&gt;0,'Ansatt C'!$B$67&gt;0,'Ansatt C'!$B$70&gt;0),"Ja","Nei")</f>
        <v>Nei</v>
      </c>
      <c r="AY42" s="108"/>
      <c r="AZ42" s="108"/>
      <c r="BA42" s="109"/>
      <c r="BC42" s="155"/>
      <c r="BD42" s="155"/>
      <c r="BE42" s="155"/>
      <c r="BF42" s="155"/>
      <c r="BG42" s="155"/>
      <c r="BH42" s="155"/>
      <c r="BI42" s="155"/>
      <c r="BJ42" s="155"/>
      <c r="BK42" s="155"/>
      <c r="BL42" s="155"/>
      <c r="BM42" s="155"/>
      <c r="BN42" s="155"/>
      <c r="BO42" s="155"/>
      <c r="BP42" s="155"/>
      <c r="BQ42" s="155"/>
      <c r="BR42" s="155"/>
      <c r="BS42" s="155"/>
      <c r="BT42" s="155"/>
      <c r="BU42" s="155"/>
      <c r="BV42" s="155"/>
      <c r="BW42" s="155"/>
      <c r="BX42" s="155"/>
      <c r="BY42" s="155"/>
      <c r="BZ42" s="155"/>
      <c r="CA42" s="155"/>
      <c r="CB42" s="155"/>
      <c r="CC42" s="155"/>
      <c r="CD42" s="155"/>
      <c r="CE42" s="155"/>
      <c r="CF42" s="155"/>
      <c r="CG42" s="155"/>
    </row>
    <row r="43" spans="1:95" s="40" customFormat="1" ht="13.5" customHeight="1" x14ac:dyDescent="0.25">
      <c r="A43" s="57" t="s">
        <v>43</v>
      </c>
      <c r="B43" s="124"/>
      <c r="C43" s="125"/>
      <c r="D43" s="125"/>
      <c r="E43" s="126"/>
      <c r="F43" s="140">
        <f>'Ansatt D'!$AK$6</f>
        <v>0</v>
      </c>
      <c r="G43" s="120"/>
      <c r="H43" s="119">
        <f>'Ansatt D'!$AK$7</f>
        <v>0</v>
      </c>
      <c r="I43" s="120"/>
      <c r="J43" s="119">
        <f>'Ansatt D'!$AK$8</f>
        <v>0</v>
      </c>
      <c r="K43" s="120"/>
      <c r="L43" s="119">
        <f>'Ansatt D'!$AK$9</f>
        <v>0</v>
      </c>
      <c r="M43" s="120"/>
      <c r="N43" s="119">
        <f>'Ansatt D'!$AK$10</f>
        <v>0</v>
      </c>
      <c r="O43" s="120"/>
      <c r="P43" s="119">
        <f>'Ansatt D'!$AK$11</f>
        <v>0</v>
      </c>
      <c r="Q43" s="120"/>
      <c r="R43" s="119">
        <f>'Ansatt D'!$AK$12</f>
        <v>0</v>
      </c>
      <c r="S43" s="120"/>
      <c r="T43" s="119">
        <f>'Ansatt D'!$AK$13</f>
        <v>0</v>
      </c>
      <c r="U43" s="120"/>
      <c r="V43" s="119">
        <f>'Ansatt D'!$AK$14</f>
        <v>0</v>
      </c>
      <c r="W43" s="120"/>
      <c r="X43" s="119">
        <f>'Ansatt D'!$AK$15</f>
        <v>0</v>
      </c>
      <c r="Y43" s="120"/>
      <c r="Z43" s="119">
        <f>'Ansatt D'!$AK$16</f>
        <v>0</v>
      </c>
      <c r="AA43" s="120"/>
      <c r="AB43" s="119">
        <f>'Ansatt D'!$AK$17</f>
        <v>0</v>
      </c>
      <c r="AC43" s="120"/>
      <c r="AD43" s="130">
        <f t="shared" si="3"/>
        <v>0</v>
      </c>
      <c r="AE43" s="131"/>
      <c r="AF43" s="132"/>
      <c r="AG43" s="142">
        <f t="shared" si="2"/>
        <v>0</v>
      </c>
      <c r="AH43" s="143"/>
      <c r="AI43" s="144"/>
      <c r="AJ43" s="113">
        <v>12</v>
      </c>
      <c r="AK43" s="113"/>
      <c r="AL43" s="113"/>
      <c r="AM43" s="151"/>
      <c r="AN43" s="149"/>
      <c r="AO43" s="149"/>
      <c r="AP43" s="150"/>
      <c r="AQ43" s="148"/>
      <c r="AR43" s="149"/>
      <c r="AS43" s="149"/>
      <c r="AT43" s="150"/>
      <c r="AU43" s="113"/>
      <c r="AV43" s="113"/>
      <c r="AW43" s="114"/>
      <c r="AX43" s="107" t="str">
        <f>IF(OR('Ansatt D'!$B$45&gt;0,'Ansatt D'!$B$67&gt;0,'Ansatt D'!$B$70&gt;0),"Ja","Nei")</f>
        <v>Nei</v>
      </c>
      <c r="AY43" s="108"/>
      <c r="AZ43" s="108"/>
      <c r="BA43" s="109"/>
      <c r="BC43" s="155" t="s">
        <v>138</v>
      </c>
      <c r="BD43" s="155"/>
      <c r="BE43" s="155"/>
      <c r="BF43" s="155"/>
      <c r="BG43" s="155"/>
      <c r="BH43" s="155"/>
      <c r="BI43" s="155"/>
      <c r="BJ43" s="155"/>
      <c r="BK43" s="155"/>
      <c r="BL43" s="155"/>
      <c r="BM43" s="155"/>
      <c r="BN43" s="155"/>
      <c r="BO43" s="155"/>
      <c r="BP43" s="155"/>
      <c r="BQ43" s="155"/>
      <c r="BR43" s="155"/>
      <c r="BS43" s="155"/>
      <c r="BT43" s="155"/>
      <c r="BU43" s="155"/>
      <c r="BV43" s="155"/>
      <c r="BW43" s="155"/>
      <c r="BX43" s="155"/>
      <c r="BY43" s="155"/>
      <c r="BZ43" s="155"/>
      <c r="CA43" s="155"/>
      <c r="CB43" s="155"/>
      <c r="CC43" s="155"/>
      <c r="CD43" s="155"/>
      <c r="CE43" s="155"/>
      <c r="CF43" s="155"/>
      <c r="CG43" s="155"/>
    </row>
    <row r="44" spans="1:95" s="40" customFormat="1" ht="13.5" customHeight="1" x14ac:dyDescent="0.25">
      <c r="A44" s="57" t="s">
        <v>44</v>
      </c>
      <c r="B44" s="124"/>
      <c r="C44" s="125"/>
      <c r="D44" s="125"/>
      <c r="E44" s="126"/>
      <c r="F44" s="140">
        <f>'Ansatt E'!$AK$6</f>
        <v>0</v>
      </c>
      <c r="G44" s="120"/>
      <c r="H44" s="119">
        <f>'Ansatt E'!$AK$7</f>
        <v>0</v>
      </c>
      <c r="I44" s="120"/>
      <c r="J44" s="119">
        <f>'Ansatt E'!$AK$8</f>
        <v>0</v>
      </c>
      <c r="K44" s="120"/>
      <c r="L44" s="119">
        <f>'Ansatt E'!$AK$9</f>
        <v>0</v>
      </c>
      <c r="M44" s="120"/>
      <c r="N44" s="119">
        <f>'Ansatt E'!$AK$10</f>
        <v>0</v>
      </c>
      <c r="O44" s="120"/>
      <c r="P44" s="119">
        <f>'Ansatt E'!$AK$11</f>
        <v>0</v>
      </c>
      <c r="Q44" s="120"/>
      <c r="R44" s="119">
        <f>'Ansatt E'!$AK$12</f>
        <v>0</v>
      </c>
      <c r="S44" s="120"/>
      <c r="T44" s="119">
        <f>'Ansatt E'!$AK$13</f>
        <v>0</v>
      </c>
      <c r="U44" s="120"/>
      <c r="V44" s="119">
        <f>'Ansatt E'!$AK$14</f>
        <v>0</v>
      </c>
      <c r="W44" s="120"/>
      <c r="X44" s="119">
        <f>'Ansatt E'!$AK$15</f>
        <v>0</v>
      </c>
      <c r="Y44" s="120"/>
      <c r="Z44" s="119">
        <f>'Ansatt E'!$AK$16</f>
        <v>0</v>
      </c>
      <c r="AA44" s="120"/>
      <c r="AB44" s="119">
        <f>'Ansatt E'!$AK$17</f>
        <v>0</v>
      </c>
      <c r="AC44" s="120"/>
      <c r="AD44" s="130">
        <f t="shared" si="3"/>
        <v>0</v>
      </c>
      <c r="AE44" s="131"/>
      <c r="AF44" s="132"/>
      <c r="AG44" s="142">
        <f t="shared" si="2"/>
        <v>0</v>
      </c>
      <c r="AH44" s="143"/>
      <c r="AI44" s="144"/>
      <c r="AJ44" s="113">
        <v>12</v>
      </c>
      <c r="AK44" s="113"/>
      <c r="AL44" s="113"/>
      <c r="AM44" s="151"/>
      <c r="AN44" s="149"/>
      <c r="AO44" s="149"/>
      <c r="AP44" s="150"/>
      <c r="AQ44" s="148"/>
      <c r="AR44" s="149"/>
      <c r="AS44" s="149"/>
      <c r="AT44" s="150"/>
      <c r="AU44" s="113"/>
      <c r="AV44" s="113"/>
      <c r="AW44" s="114"/>
      <c r="AX44" s="107" t="str">
        <f>IF(OR('Ansatt E'!$B$45&gt;0,'Ansatt E'!$B$67&gt;0,'Ansatt E'!$B$70&gt;0),"Ja","Nei")</f>
        <v>Nei</v>
      </c>
      <c r="AY44" s="108"/>
      <c r="AZ44" s="108"/>
      <c r="BA44" s="109"/>
      <c r="BC44" s="155" t="s">
        <v>139</v>
      </c>
      <c r="BD44" s="155"/>
      <c r="BE44" s="155"/>
      <c r="BF44" s="155"/>
      <c r="BG44" s="155"/>
      <c r="BH44" s="155"/>
      <c r="BI44" s="155"/>
      <c r="BJ44" s="155"/>
      <c r="BK44" s="155"/>
      <c r="BL44" s="155"/>
      <c r="BM44" s="155"/>
      <c r="BN44" s="155"/>
      <c r="BO44" s="155"/>
      <c r="BP44" s="155"/>
      <c r="BQ44" s="155"/>
      <c r="BR44" s="155"/>
      <c r="BS44" s="155"/>
      <c r="BT44" s="155"/>
      <c r="BU44" s="155"/>
      <c r="BV44" s="155"/>
      <c r="BW44" s="155"/>
      <c r="BX44" s="155"/>
      <c r="BY44" s="155"/>
      <c r="BZ44" s="155"/>
      <c r="CA44" s="155"/>
      <c r="CB44" s="155"/>
      <c r="CC44" s="155"/>
      <c r="CD44" s="155"/>
      <c r="CE44" s="155"/>
      <c r="CF44" s="155"/>
      <c r="CG44" s="155"/>
    </row>
    <row r="45" spans="1:95" s="40" customFormat="1" ht="13.5" customHeight="1" x14ac:dyDescent="0.25">
      <c r="A45" s="57" t="s">
        <v>45</v>
      </c>
      <c r="B45" s="124"/>
      <c r="C45" s="125"/>
      <c r="D45" s="125"/>
      <c r="E45" s="126"/>
      <c r="F45" s="140">
        <f>'Ansatt F'!$AK$6</f>
        <v>0</v>
      </c>
      <c r="G45" s="120"/>
      <c r="H45" s="119">
        <f>'Ansatt F'!$AK$7</f>
        <v>0</v>
      </c>
      <c r="I45" s="120"/>
      <c r="J45" s="119">
        <f>'Ansatt F'!$AK$8</f>
        <v>0</v>
      </c>
      <c r="K45" s="120"/>
      <c r="L45" s="119">
        <f>'Ansatt F'!$AK$9</f>
        <v>0</v>
      </c>
      <c r="M45" s="120"/>
      <c r="N45" s="119">
        <f>'Ansatt F'!$AK$10</f>
        <v>0</v>
      </c>
      <c r="O45" s="120"/>
      <c r="P45" s="119">
        <f>'Ansatt F'!$AK$11</f>
        <v>0</v>
      </c>
      <c r="Q45" s="120"/>
      <c r="R45" s="119">
        <f>'Ansatt F'!$AK$12</f>
        <v>0</v>
      </c>
      <c r="S45" s="120"/>
      <c r="T45" s="119">
        <f>'Ansatt F'!$AK$13</f>
        <v>0</v>
      </c>
      <c r="U45" s="120"/>
      <c r="V45" s="119">
        <f>'Ansatt F'!$AK$14</f>
        <v>0</v>
      </c>
      <c r="W45" s="120"/>
      <c r="X45" s="119">
        <f>'Ansatt F'!$AK$15</f>
        <v>0</v>
      </c>
      <c r="Y45" s="120"/>
      <c r="Z45" s="119">
        <f>'Ansatt F'!$AK$16</f>
        <v>0</v>
      </c>
      <c r="AA45" s="120"/>
      <c r="AB45" s="119">
        <f>'Ansatt F'!$AK$17</f>
        <v>0</v>
      </c>
      <c r="AC45" s="120"/>
      <c r="AD45" s="130">
        <f t="shared" si="3"/>
        <v>0</v>
      </c>
      <c r="AE45" s="131"/>
      <c r="AF45" s="132"/>
      <c r="AG45" s="142">
        <f t="shared" si="2"/>
        <v>0</v>
      </c>
      <c r="AH45" s="143"/>
      <c r="AI45" s="144"/>
      <c r="AJ45" s="113">
        <v>12</v>
      </c>
      <c r="AK45" s="113"/>
      <c r="AL45" s="113"/>
      <c r="AM45" s="151"/>
      <c r="AN45" s="149"/>
      <c r="AO45" s="149"/>
      <c r="AP45" s="150"/>
      <c r="AQ45" s="148"/>
      <c r="AR45" s="149"/>
      <c r="AS45" s="149"/>
      <c r="AT45" s="150"/>
      <c r="AU45" s="113"/>
      <c r="AV45" s="113"/>
      <c r="AW45" s="114"/>
      <c r="AX45" s="107" t="str">
        <f>IF(OR('Ansatt F'!$B$45&gt;0,'Ansatt F'!$B$67&gt;0,'Ansatt F'!$B$70&gt;0),"Ja","Nei")</f>
        <v>Nei</v>
      </c>
      <c r="AY45" s="108"/>
      <c r="AZ45" s="108"/>
      <c r="BA45" s="109"/>
      <c r="BC45" s="155"/>
      <c r="BD45" s="155"/>
      <c r="BE45" s="155"/>
      <c r="BF45" s="155"/>
      <c r="BG45" s="155"/>
      <c r="BH45" s="155"/>
      <c r="BI45" s="155"/>
      <c r="BJ45" s="155"/>
      <c r="BK45" s="155"/>
      <c r="BL45" s="155"/>
      <c r="BM45" s="155"/>
      <c r="BN45" s="155"/>
      <c r="BO45" s="155"/>
      <c r="BP45" s="155"/>
      <c r="BQ45" s="155"/>
      <c r="BR45" s="155"/>
      <c r="BS45" s="155"/>
      <c r="BT45" s="155"/>
      <c r="BU45" s="155"/>
      <c r="BV45" s="155"/>
      <c r="BW45" s="155"/>
      <c r="BX45" s="155"/>
      <c r="BY45" s="155"/>
      <c r="BZ45" s="155"/>
      <c r="CA45" s="155"/>
      <c r="CB45" s="155"/>
      <c r="CC45" s="155"/>
      <c r="CD45" s="155"/>
      <c r="CE45" s="155"/>
      <c r="CF45" s="155"/>
      <c r="CG45" s="155"/>
    </row>
    <row r="46" spans="1:95" s="40" customFormat="1" ht="13.5" customHeight="1" x14ac:dyDescent="0.25">
      <c r="A46" s="57" t="s">
        <v>46</v>
      </c>
      <c r="B46" s="124"/>
      <c r="C46" s="125"/>
      <c r="D46" s="125"/>
      <c r="E46" s="126"/>
      <c r="F46" s="140">
        <f>'Ansatt G'!$AK$6</f>
        <v>0</v>
      </c>
      <c r="G46" s="120"/>
      <c r="H46" s="119">
        <f>'Ansatt G'!$AK$7</f>
        <v>0</v>
      </c>
      <c r="I46" s="120"/>
      <c r="J46" s="119">
        <f>'Ansatt G'!$AK$8</f>
        <v>0</v>
      </c>
      <c r="K46" s="120"/>
      <c r="L46" s="119">
        <f>'Ansatt G'!$AK$9</f>
        <v>0</v>
      </c>
      <c r="M46" s="120"/>
      <c r="N46" s="119">
        <f>'Ansatt G'!$AK$10</f>
        <v>0</v>
      </c>
      <c r="O46" s="120"/>
      <c r="P46" s="119">
        <f>'Ansatt G'!$AK$11</f>
        <v>0</v>
      </c>
      <c r="Q46" s="120"/>
      <c r="R46" s="119">
        <f>'Ansatt G'!$AK$12</f>
        <v>0</v>
      </c>
      <c r="S46" s="120"/>
      <c r="T46" s="119">
        <f>'Ansatt G'!$AK$13</f>
        <v>0</v>
      </c>
      <c r="U46" s="120"/>
      <c r="V46" s="119">
        <f>'Ansatt G'!$AK$14</f>
        <v>0</v>
      </c>
      <c r="W46" s="120"/>
      <c r="X46" s="119">
        <f>'Ansatt G'!$AK$15</f>
        <v>0</v>
      </c>
      <c r="Y46" s="120"/>
      <c r="Z46" s="119">
        <f>'Ansatt G'!$AK$16</f>
        <v>0</v>
      </c>
      <c r="AA46" s="120"/>
      <c r="AB46" s="119">
        <f>'Ansatt G'!$AK$17</f>
        <v>0</v>
      </c>
      <c r="AC46" s="120"/>
      <c r="AD46" s="130">
        <f t="shared" si="3"/>
        <v>0</v>
      </c>
      <c r="AE46" s="131"/>
      <c r="AF46" s="132"/>
      <c r="AG46" s="142">
        <f t="shared" si="2"/>
        <v>0</v>
      </c>
      <c r="AH46" s="143"/>
      <c r="AI46" s="144"/>
      <c r="AJ46" s="113">
        <v>12</v>
      </c>
      <c r="AK46" s="113"/>
      <c r="AL46" s="113"/>
      <c r="AM46" s="151"/>
      <c r="AN46" s="149"/>
      <c r="AO46" s="149"/>
      <c r="AP46" s="150"/>
      <c r="AQ46" s="148"/>
      <c r="AR46" s="149"/>
      <c r="AS46" s="149"/>
      <c r="AT46" s="150"/>
      <c r="AU46" s="113"/>
      <c r="AV46" s="113"/>
      <c r="AW46" s="114"/>
      <c r="AX46" s="107" t="str">
        <f>IF(OR('Ansatt G'!$B$45&gt;0,'Ansatt G'!$B$67&gt;0,'Ansatt G'!$B$70&gt;0),"Ja","Nei")</f>
        <v>Nei</v>
      </c>
      <c r="AY46" s="108"/>
      <c r="AZ46" s="108"/>
      <c r="BA46" s="109"/>
      <c r="BC46" s="155"/>
      <c r="BD46" s="155"/>
      <c r="BE46" s="155"/>
      <c r="BF46" s="155"/>
      <c r="BG46" s="155"/>
      <c r="BH46" s="155"/>
      <c r="BI46" s="155"/>
      <c r="BJ46" s="155"/>
      <c r="BK46" s="155"/>
      <c r="BL46" s="155"/>
      <c r="BM46" s="155"/>
      <c r="BN46" s="155"/>
      <c r="BO46" s="155"/>
      <c r="BP46" s="155"/>
      <c r="BQ46" s="155"/>
      <c r="BR46" s="155"/>
      <c r="BS46" s="155"/>
      <c r="BT46" s="155"/>
      <c r="BU46" s="155"/>
      <c r="BV46" s="155"/>
      <c r="BW46" s="155"/>
      <c r="BX46" s="155"/>
      <c r="BY46" s="155"/>
      <c r="BZ46" s="155"/>
      <c r="CA46" s="155"/>
      <c r="CB46" s="155"/>
      <c r="CC46" s="155"/>
      <c r="CD46" s="155"/>
      <c r="CE46" s="155"/>
      <c r="CF46" s="155"/>
      <c r="CG46" s="155"/>
    </row>
    <row r="47" spans="1:95" s="40" customFormat="1" ht="13.5" customHeight="1" x14ac:dyDescent="0.25">
      <c r="A47" s="57" t="s">
        <v>47</v>
      </c>
      <c r="B47" s="124"/>
      <c r="C47" s="125"/>
      <c r="D47" s="125"/>
      <c r="E47" s="126"/>
      <c r="F47" s="140">
        <f>'Ansatt H'!$AK$6</f>
        <v>0</v>
      </c>
      <c r="G47" s="120"/>
      <c r="H47" s="119">
        <f>'Ansatt H'!$AK$7</f>
        <v>0</v>
      </c>
      <c r="I47" s="120"/>
      <c r="J47" s="119">
        <f>'Ansatt H'!$AK$8</f>
        <v>0</v>
      </c>
      <c r="K47" s="120"/>
      <c r="L47" s="119">
        <f>'Ansatt H'!$AK$9</f>
        <v>0</v>
      </c>
      <c r="M47" s="120"/>
      <c r="N47" s="119">
        <f>'Ansatt H'!$AK$10</f>
        <v>0</v>
      </c>
      <c r="O47" s="120"/>
      <c r="P47" s="119">
        <f>'Ansatt H'!$AK$11</f>
        <v>0</v>
      </c>
      <c r="Q47" s="120"/>
      <c r="R47" s="119">
        <f>'Ansatt H'!$AK$12</f>
        <v>0</v>
      </c>
      <c r="S47" s="120"/>
      <c r="T47" s="119">
        <f>'Ansatt H'!$AK$13</f>
        <v>0</v>
      </c>
      <c r="U47" s="120"/>
      <c r="V47" s="119">
        <f>'Ansatt H'!$AK$14</f>
        <v>0</v>
      </c>
      <c r="W47" s="120"/>
      <c r="X47" s="119">
        <f>'Ansatt H'!$AK$15</f>
        <v>0</v>
      </c>
      <c r="Y47" s="120"/>
      <c r="Z47" s="119">
        <f>'Ansatt H'!$AK$16</f>
        <v>0</v>
      </c>
      <c r="AA47" s="120"/>
      <c r="AB47" s="119">
        <f>'Ansatt H'!$AK$17</f>
        <v>0</v>
      </c>
      <c r="AC47" s="120"/>
      <c r="AD47" s="130">
        <f t="shared" si="3"/>
        <v>0</v>
      </c>
      <c r="AE47" s="131"/>
      <c r="AF47" s="132"/>
      <c r="AG47" s="142">
        <f t="shared" si="2"/>
        <v>0</v>
      </c>
      <c r="AH47" s="143"/>
      <c r="AI47" s="144"/>
      <c r="AJ47" s="113">
        <v>12</v>
      </c>
      <c r="AK47" s="113"/>
      <c r="AL47" s="113"/>
      <c r="AM47" s="151"/>
      <c r="AN47" s="149"/>
      <c r="AO47" s="149"/>
      <c r="AP47" s="150"/>
      <c r="AQ47" s="148"/>
      <c r="AR47" s="149"/>
      <c r="AS47" s="149"/>
      <c r="AT47" s="150"/>
      <c r="AU47" s="113"/>
      <c r="AV47" s="113"/>
      <c r="AW47" s="114"/>
      <c r="AX47" s="107" t="str">
        <f>IF(OR('Ansatt H'!$B$45&gt;0,'Ansatt H'!$B$67&gt;0,'Ansatt H'!$B$70&gt;0),"Ja","Nei")</f>
        <v>Nei</v>
      </c>
      <c r="AY47" s="108"/>
      <c r="AZ47" s="108"/>
      <c r="BA47" s="109"/>
      <c r="BC47" s="155"/>
      <c r="BD47" s="155"/>
      <c r="BE47" s="155"/>
      <c r="BF47" s="155"/>
      <c r="BG47" s="155"/>
      <c r="BH47" s="155"/>
      <c r="BI47" s="155"/>
      <c r="BJ47" s="155"/>
      <c r="BK47" s="155"/>
      <c r="BL47" s="155"/>
      <c r="BM47" s="155"/>
      <c r="BN47" s="155"/>
      <c r="BO47" s="155"/>
      <c r="BP47" s="155"/>
      <c r="BQ47" s="155"/>
      <c r="BR47" s="155"/>
      <c r="BS47" s="155"/>
      <c r="BT47" s="155"/>
      <c r="BU47" s="155"/>
      <c r="BV47" s="155"/>
      <c r="BW47" s="155"/>
      <c r="BX47" s="155"/>
      <c r="BY47" s="155"/>
      <c r="BZ47" s="155"/>
      <c r="CA47" s="155"/>
      <c r="CB47" s="155"/>
      <c r="CC47" s="155"/>
      <c r="CD47" s="155"/>
      <c r="CE47" s="155"/>
      <c r="CF47" s="155"/>
      <c r="CG47" s="155"/>
    </row>
    <row r="48" spans="1:95" s="40" customFormat="1" ht="13.5" customHeight="1" x14ac:dyDescent="0.25">
      <c r="A48" s="57" t="s">
        <v>48</v>
      </c>
      <c r="B48" s="124"/>
      <c r="C48" s="125"/>
      <c r="D48" s="125"/>
      <c r="E48" s="126"/>
      <c r="F48" s="140">
        <f>'Ansatt I'!$AK$6</f>
        <v>0</v>
      </c>
      <c r="G48" s="120"/>
      <c r="H48" s="119">
        <f>'Ansatt I'!$AK$7</f>
        <v>0</v>
      </c>
      <c r="I48" s="120"/>
      <c r="J48" s="119">
        <f>'Ansatt I'!$AK$8</f>
        <v>0</v>
      </c>
      <c r="K48" s="120"/>
      <c r="L48" s="119">
        <f>'Ansatt I'!$AK$9</f>
        <v>0</v>
      </c>
      <c r="M48" s="120"/>
      <c r="N48" s="119">
        <f>'Ansatt I'!$AK$10</f>
        <v>0</v>
      </c>
      <c r="O48" s="120"/>
      <c r="P48" s="119">
        <f>'Ansatt I'!$AK$11</f>
        <v>0</v>
      </c>
      <c r="Q48" s="120"/>
      <c r="R48" s="119">
        <f>'Ansatt I'!$AK$12</f>
        <v>0</v>
      </c>
      <c r="S48" s="120"/>
      <c r="T48" s="119">
        <f>'Ansatt I'!$AK$13</f>
        <v>0</v>
      </c>
      <c r="U48" s="120"/>
      <c r="V48" s="119">
        <f>'Ansatt I'!$AK$14</f>
        <v>0</v>
      </c>
      <c r="W48" s="120"/>
      <c r="X48" s="119">
        <f>'Ansatt I'!$AK$15</f>
        <v>0</v>
      </c>
      <c r="Y48" s="120"/>
      <c r="Z48" s="119">
        <f>'Ansatt I'!$AK$16</f>
        <v>0</v>
      </c>
      <c r="AA48" s="120"/>
      <c r="AB48" s="119">
        <f>'Ansatt I'!$AK$17</f>
        <v>0</v>
      </c>
      <c r="AC48" s="120"/>
      <c r="AD48" s="130">
        <f t="shared" si="3"/>
        <v>0</v>
      </c>
      <c r="AE48" s="131"/>
      <c r="AF48" s="132"/>
      <c r="AG48" s="142">
        <f t="shared" si="2"/>
        <v>0</v>
      </c>
      <c r="AH48" s="143"/>
      <c r="AI48" s="144"/>
      <c r="AJ48" s="113">
        <v>12</v>
      </c>
      <c r="AK48" s="113"/>
      <c r="AL48" s="113"/>
      <c r="AM48" s="151"/>
      <c r="AN48" s="149"/>
      <c r="AO48" s="149"/>
      <c r="AP48" s="150"/>
      <c r="AQ48" s="148"/>
      <c r="AR48" s="149"/>
      <c r="AS48" s="149"/>
      <c r="AT48" s="150"/>
      <c r="AU48" s="115"/>
      <c r="AV48" s="113"/>
      <c r="AW48" s="114"/>
      <c r="AX48" s="107" t="str">
        <f>IF(OR('Ansatt I'!$B$45&gt;0,'Ansatt I'!$B$67&gt;0,'Ansatt I'!$B$70&gt;0),"Ja","Nei")</f>
        <v>Nei</v>
      </c>
      <c r="AY48" s="108"/>
      <c r="AZ48" s="108"/>
      <c r="BA48" s="109"/>
      <c r="BC48" s="155"/>
      <c r="BD48" s="155"/>
      <c r="BE48" s="155"/>
      <c r="BF48" s="155"/>
      <c r="BG48" s="155"/>
      <c r="BH48" s="155"/>
      <c r="BI48" s="155"/>
      <c r="BJ48" s="155"/>
      <c r="BK48" s="155"/>
      <c r="BL48" s="155"/>
      <c r="BM48" s="155"/>
      <c r="BN48" s="155"/>
      <c r="BO48" s="155"/>
      <c r="BP48" s="155"/>
      <c r="BQ48" s="155"/>
      <c r="BR48" s="155"/>
      <c r="BS48" s="155"/>
      <c r="BT48" s="155"/>
      <c r="BU48" s="155"/>
      <c r="BV48" s="155"/>
      <c r="BW48" s="155"/>
      <c r="BX48" s="155"/>
      <c r="BY48" s="155"/>
      <c r="BZ48" s="155"/>
      <c r="CA48" s="155"/>
      <c r="CB48" s="155"/>
      <c r="CC48" s="155"/>
      <c r="CD48" s="155"/>
      <c r="CE48" s="155"/>
      <c r="CF48" s="155"/>
      <c r="CG48" s="155"/>
    </row>
    <row r="49" spans="1:85" s="40" customFormat="1" ht="13.5" customHeight="1" x14ac:dyDescent="0.25">
      <c r="A49" s="57" t="s">
        <v>49</v>
      </c>
      <c r="B49" s="124"/>
      <c r="C49" s="125"/>
      <c r="D49" s="125"/>
      <c r="E49" s="126"/>
      <c r="F49" s="140">
        <f>'Ansatt J'!$AK$6</f>
        <v>0</v>
      </c>
      <c r="G49" s="120"/>
      <c r="H49" s="119">
        <f>'Ansatt J'!$AK$7</f>
        <v>0</v>
      </c>
      <c r="I49" s="120"/>
      <c r="J49" s="119">
        <f>'Ansatt J'!$AK$8</f>
        <v>0</v>
      </c>
      <c r="K49" s="120"/>
      <c r="L49" s="119">
        <f>'Ansatt J'!$AK$9</f>
        <v>0</v>
      </c>
      <c r="M49" s="120"/>
      <c r="N49" s="119">
        <f>'Ansatt J'!$AK$10</f>
        <v>0</v>
      </c>
      <c r="O49" s="120"/>
      <c r="P49" s="119">
        <f>'Ansatt J'!$AK$11</f>
        <v>0</v>
      </c>
      <c r="Q49" s="120"/>
      <c r="R49" s="119">
        <f>'Ansatt J'!$AK$12</f>
        <v>0</v>
      </c>
      <c r="S49" s="120"/>
      <c r="T49" s="119">
        <f>'Ansatt J'!$AK$13</f>
        <v>0</v>
      </c>
      <c r="U49" s="120"/>
      <c r="V49" s="119">
        <f>'Ansatt J'!$AK$14</f>
        <v>0</v>
      </c>
      <c r="W49" s="120"/>
      <c r="X49" s="119">
        <f>'Ansatt J'!$AK$15</f>
        <v>0</v>
      </c>
      <c r="Y49" s="120"/>
      <c r="Z49" s="119">
        <f>'Ansatt J'!$AK$16</f>
        <v>0</v>
      </c>
      <c r="AA49" s="120"/>
      <c r="AB49" s="119">
        <f>'Ansatt J'!$AK$17</f>
        <v>0</v>
      </c>
      <c r="AC49" s="120"/>
      <c r="AD49" s="130">
        <f t="shared" si="3"/>
        <v>0</v>
      </c>
      <c r="AE49" s="131"/>
      <c r="AF49" s="132"/>
      <c r="AG49" s="142">
        <f t="shared" si="2"/>
        <v>0</v>
      </c>
      <c r="AH49" s="143"/>
      <c r="AI49" s="144"/>
      <c r="AJ49" s="113">
        <v>12</v>
      </c>
      <c r="AK49" s="113"/>
      <c r="AL49" s="113"/>
      <c r="AM49" s="151"/>
      <c r="AN49" s="149"/>
      <c r="AO49" s="149"/>
      <c r="AP49" s="150"/>
      <c r="AQ49" s="148"/>
      <c r="AR49" s="149"/>
      <c r="AS49" s="149"/>
      <c r="AT49" s="150"/>
      <c r="AU49" s="113"/>
      <c r="AV49" s="113"/>
      <c r="AW49" s="114"/>
      <c r="AX49" s="107" t="str">
        <f>IF(OR('Ansatt J'!$B$45&gt;0,'Ansatt J'!$B$67&gt;0,'Ansatt J'!$B$70&gt;0),"Ja","Nei")</f>
        <v>Nei</v>
      </c>
      <c r="AY49" s="108"/>
      <c r="AZ49" s="108"/>
      <c r="BA49" s="109"/>
      <c r="BC49" s="155"/>
      <c r="BD49" s="155"/>
      <c r="BE49" s="155"/>
      <c r="BF49" s="155"/>
      <c r="BG49" s="155"/>
      <c r="BH49" s="155"/>
      <c r="BI49" s="155"/>
      <c r="BJ49" s="155"/>
      <c r="BK49" s="155"/>
      <c r="BL49" s="155"/>
      <c r="BM49" s="155"/>
      <c r="BN49" s="155"/>
      <c r="BO49" s="155"/>
      <c r="BP49" s="155"/>
      <c r="BQ49" s="155"/>
      <c r="BR49" s="155"/>
      <c r="BS49" s="155"/>
      <c r="BT49" s="155"/>
      <c r="BU49" s="155"/>
      <c r="BV49" s="155"/>
      <c r="BW49" s="155"/>
      <c r="BX49" s="155"/>
      <c r="BY49" s="155"/>
      <c r="BZ49" s="155"/>
      <c r="CA49" s="155"/>
      <c r="CB49" s="155"/>
      <c r="CC49" s="155"/>
      <c r="CD49" s="155"/>
      <c r="CE49" s="155"/>
      <c r="CF49" s="155"/>
      <c r="CG49" s="155"/>
    </row>
    <row r="50" spans="1:85" s="40" customFormat="1" ht="13.5" customHeight="1" x14ac:dyDescent="0.25">
      <c r="A50" s="57" t="s">
        <v>50</v>
      </c>
      <c r="B50" s="124"/>
      <c r="C50" s="125"/>
      <c r="D50" s="125"/>
      <c r="E50" s="126"/>
      <c r="F50" s="140">
        <f>'Ansatt K'!$AK$6</f>
        <v>0</v>
      </c>
      <c r="G50" s="120"/>
      <c r="H50" s="119">
        <f>'Ansatt K'!$AK$7</f>
        <v>0</v>
      </c>
      <c r="I50" s="120"/>
      <c r="J50" s="119">
        <f>'Ansatt K'!$AK$8</f>
        <v>0</v>
      </c>
      <c r="K50" s="120"/>
      <c r="L50" s="119">
        <f>'Ansatt K'!$AK$9</f>
        <v>0</v>
      </c>
      <c r="M50" s="120"/>
      <c r="N50" s="119">
        <f>'Ansatt K'!$AK$10</f>
        <v>0</v>
      </c>
      <c r="O50" s="120"/>
      <c r="P50" s="119">
        <f>'Ansatt K'!$AK$11</f>
        <v>0</v>
      </c>
      <c r="Q50" s="120"/>
      <c r="R50" s="119">
        <f>'Ansatt K'!$AK$12</f>
        <v>0</v>
      </c>
      <c r="S50" s="120"/>
      <c r="T50" s="119">
        <f>'Ansatt K'!$AK$13</f>
        <v>0</v>
      </c>
      <c r="U50" s="120"/>
      <c r="V50" s="119">
        <f>'Ansatt K'!$AK$14</f>
        <v>0</v>
      </c>
      <c r="W50" s="120"/>
      <c r="X50" s="119">
        <f>'Ansatt K'!$AK$15</f>
        <v>0</v>
      </c>
      <c r="Y50" s="120"/>
      <c r="Z50" s="119">
        <f>'Ansatt K'!$AK$16</f>
        <v>0</v>
      </c>
      <c r="AA50" s="120"/>
      <c r="AB50" s="119">
        <f>'Ansatt K'!$AK$17</f>
        <v>0</v>
      </c>
      <c r="AC50" s="120"/>
      <c r="AD50" s="130">
        <f t="shared" si="3"/>
        <v>0</v>
      </c>
      <c r="AE50" s="131"/>
      <c r="AF50" s="132"/>
      <c r="AG50" s="142">
        <f t="shared" si="2"/>
        <v>0</v>
      </c>
      <c r="AH50" s="143"/>
      <c r="AI50" s="144"/>
      <c r="AJ50" s="113">
        <v>12</v>
      </c>
      <c r="AK50" s="113"/>
      <c r="AL50" s="113"/>
      <c r="AM50" s="151"/>
      <c r="AN50" s="149"/>
      <c r="AO50" s="149"/>
      <c r="AP50" s="150"/>
      <c r="AQ50" s="148"/>
      <c r="AR50" s="149"/>
      <c r="AS50" s="149"/>
      <c r="AT50" s="150"/>
      <c r="AU50" s="113"/>
      <c r="AV50" s="113"/>
      <c r="AW50" s="114"/>
      <c r="AX50" s="107" t="str">
        <f>IF(OR('Ansatt K'!$B$45&gt;0,'Ansatt K'!$B$67&gt;0,'Ansatt K'!$B$70&gt;0),"Ja","Nei")</f>
        <v>Nei</v>
      </c>
      <c r="AY50" s="108"/>
      <c r="AZ50" s="108"/>
      <c r="BA50" s="109"/>
      <c r="BC50" s="155"/>
      <c r="BD50" s="155"/>
      <c r="BE50" s="155"/>
      <c r="BF50" s="155"/>
      <c r="BG50" s="155"/>
      <c r="BH50" s="155"/>
      <c r="BI50" s="155"/>
      <c r="BJ50" s="155"/>
      <c r="BK50" s="155"/>
      <c r="BL50" s="155"/>
      <c r="BM50" s="155"/>
      <c r="BN50" s="155"/>
      <c r="BO50" s="155"/>
      <c r="BP50" s="155"/>
      <c r="BQ50" s="155"/>
      <c r="BR50" s="155"/>
      <c r="BS50" s="155"/>
      <c r="BT50" s="155"/>
      <c r="BU50" s="155"/>
      <c r="BV50" s="155"/>
      <c r="BW50" s="155"/>
      <c r="BX50" s="155"/>
      <c r="BY50" s="155"/>
      <c r="BZ50" s="155"/>
      <c r="CA50" s="155"/>
      <c r="CB50" s="155"/>
      <c r="CC50" s="155"/>
      <c r="CD50" s="155"/>
      <c r="CE50" s="155"/>
      <c r="CF50" s="155"/>
      <c r="CG50" s="155"/>
    </row>
    <row r="51" spans="1:85" s="40" customFormat="1" ht="13.5" customHeight="1" x14ac:dyDescent="0.25">
      <c r="A51" s="57" t="s">
        <v>51</v>
      </c>
      <c r="B51" s="124"/>
      <c r="C51" s="125"/>
      <c r="D51" s="125"/>
      <c r="E51" s="126"/>
      <c r="F51" s="140">
        <f>'Ansatt L'!$AK$6</f>
        <v>0</v>
      </c>
      <c r="G51" s="120"/>
      <c r="H51" s="119">
        <f>'Ansatt L'!$AK$7</f>
        <v>0</v>
      </c>
      <c r="I51" s="120"/>
      <c r="J51" s="119">
        <f>'Ansatt L'!$AK$8</f>
        <v>0</v>
      </c>
      <c r="K51" s="120"/>
      <c r="L51" s="119">
        <f>'Ansatt L'!$AK$9</f>
        <v>0</v>
      </c>
      <c r="M51" s="120"/>
      <c r="N51" s="119">
        <f>'Ansatt L'!$AK$10</f>
        <v>0</v>
      </c>
      <c r="O51" s="120"/>
      <c r="P51" s="119">
        <f>'Ansatt L'!$AK$11</f>
        <v>0</v>
      </c>
      <c r="Q51" s="120"/>
      <c r="R51" s="119">
        <f>'Ansatt L'!$AK$12</f>
        <v>0</v>
      </c>
      <c r="S51" s="120"/>
      <c r="T51" s="119">
        <f>'Ansatt L'!$AK$13</f>
        <v>0</v>
      </c>
      <c r="U51" s="120"/>
      <c r="V51" s="119">
        <f>'Ansatt L'!$AK$14</f>
        <v>0</v>
      </c>
      <c r="W51" s="120"/>
      <c r="X51" s="119">
        <f>'Ansatt L'!$AK$15</f>
        <v>0</v>
      </c>
      <c r="Y51" s="120"/>
      <c r="Z51" s="119">
        <f>'Ansatt L'!$AK$16</f>
        <v>0</v>
      </c>
      <c r="AA51" s="120"/>
      <c r="AB51" s="119">
        <f>'Ansatt L'!$AK$17</f>
        <v>0</v>
      </c>
      <c r="AC51" s="120"/>
      <c r="AD51" s="130">
        <f t="shared" si="3"/>
        <v>0</v>
      </c>
      <c r="AE51" s="131"/>
      <c r="AF51" s="132"/>
      <c r="AG51" s="142">
        <f t="shared" si="2"/>
        <v>0</v>
      </c>
      <c r="AH51" s="143"/>
      <c r="AI51" s="144"/>
      <c r="AJ51" s="113">
        <v>12</v>
      </c>
      <c r="AK51" s="113"/>
      <c r="AL51" s="113"/>
      <c r="AM51" s="151"/>
      <c r="AN51" s="149"/>
      <c r="AO51" s="149"/>
      <c r="AP51" s="150"/>
      <c r="AQ51" s="148"/>
      <c r="AR51" s="149"/>
      <c r="AS51" s="149"/>
      <c r="AT51" s="150"/>
      <c r="AU51" s="113"/>
      <c r="AV51" s="113"/>
      <c r="AW51" s="114"/>
      <c r="AX51" s="107" t="str">
        <f>IF(OR('Ansatt L'!$B$45&gt;0,'Ansatt L'!$B$67&gt;0,'Ansatt L'!$B$70&gt;0),"Ja","Nei")</f>
        <v>Nei</v>
      </c>
      <c r="AY51" s="108"/>
      <c r="AZ51" s="108"/>
      <c r="BA51" s="109"/>
      <c r="BC51" s="155"/>
      <c r="BD51" s="155"/>
      <c r="BE51" s="155"/>
      <c r="BF51" s="155"/>
      <c r="BG51" s="155"/>
      <c r="BH51" s="155"/>
      <c r="BI51" s="155"/>
      <c r="BJ51" s="155"/>
      <c r="BK51" s="155"/>
      <c r="BL51" s="155"/>
      <c r="BM51" s="155"/>
      <c r="BN51" s="155"/>
      <c r="BO51" s="155"/>
      <c r="BP51" s="155"/>
      <c r="BQ51" s="155"/>
      <c r="BR51" s="155"/>
      <c r="BS51" s="155"/>
      <c r="BT51" s="155"/>
      <c r="BU51" s="155"/>
      <c r="BV51" s="155"/>
      <c r="BW51" s="155"/>
      <c r="BX51" s="155"/>
      <c r="BY51" s="155"/>
      <c r="BZ51" s="155"/>
      <c r="CA51" s="155"/>
      <c r="CB51" s="155"/>
      <c r="CC51" s="155"/>
      <c r="CD51" s="155"/>
      <c r="CE51" s="155"/>
      <c r="CF51" s="155"/>
      <c r="CG51" s="155"/>
    </row>
    <row r="52" spans="1:85" s="40" customFormat="1" ht="13.5" customHeight="1" x14ac:dyDescent="0.25">
      <c r="A52" s="57" t="s">
        <v>52</v>
      </c>
      <c r="B52" s="124"/>
      <c r="C52" s="125"/>
      <c r="D52" s="125"/>
      <c r="E52" s="126"/>
      <c r="F52" s="140">
        <f>'Ansatt M'!$AK$6</f>
        <v>0</v>
      </c>
      <c r="G52" s="120"/>
      <c r="H52" s="119">
        <f>'Ansatt M'!$AK$7</f>
        <v>0</v>
      </c>
      <c r="I52" s="120"/>
      <c r="J52" s="119">
        <f>'Ansatt M'!$AK$8</f>
        <v>0</v>
      </c>
      <c r="K52" s="120"/>
      <c r="L52" s="119">
        <f>'Ansatt M'!$AK$9</f>
        <v>0</v>
      </c>
      <c r="M52" s="120"/>
      <c r="N52" s="119">
        <f>'Ansatt M'!$AK$10</f>
        <v>0</v>
      </c>
      <c r="O52" s="120"/>
      <c r="P52" s="119">
        <f>'Ansatt M'!$AK$11</f>
        <v>0</v>
      </c>
      <c r="Q52" s="120"/>
      <c r="R52" s="119">
        <f>'Ansatt M'!$AK$12</f>
        <v>0</v>
      </c>
      <c r="S52" s="120"/>
      <c r="T52" s="119">
        <f>'Ansatt M'!$AK$13</f>
        <v>0</v>
      </c>
      <c r="U52" s="120"/>
      <c r="V52" s="119">
        <f>'Ansatt M'!$AK$14</f>
        <v>0</v>
      </c>
      <c r="W52" s="120"/>
      <c r="X52" s="119">
        <f>'Ansatt M'!$AK$15</f>
        <v>0</v>
      </c>
      <c r="Y52" s="120"/>
      <c r="Z52" s="119">
        <f>'Ansatt M'!$AK$16</f>
        <v>0</v>
      </c>
      <c r="AA52" s="120"/>
      <c r="AB52" s="119">
        <f>'Ansatt M'!$AK$17</f>
        <v>0</v>
      </c>
      <c r="AC52" s="120"/>
      <c r="AD52" s="130">
        <f t="shared" si="3"/>
        <v>0</v>
      </c>
      <c r="AE52" s="131"/>
      <c r="AF52" s="132"/>
      <c r="AG52" s="142">
        <f t="shared" si="2"/>
        <v>0</v>
      </c>
      <c r="AH52" s="143"/>
      <c r="AI52" s="144"/>
      <c r="AJ52" s="113">
        <v>12</v>
      </c>
      <c r="AK52" s="113"/>
      <c r="AL52" s="113"/>
      <c r="AM52" s="151"/>
      <c r="AN52" s="149"/>
      <c r="AO52" s="149"/>
      <c r="AP52" s="150"/>
      <c r="AQ52" s="148"/>
      <c r="AR52" s="149"/>
      <c r="AS52" s="149"/>
      <c r="AT52" s="150"/>
      <c r="AU52" s="113"/>
      <c r="AV52" s="113"/>
      <c r="AW52" s="114"/>
      <c r="AX52" s="107" t="str">
        <f>IF(OR('Ansatt M'!$B$45&gt;0,'Ansatt M'!$B$67&gt;0,'Ansatt M'!$B$70&gt;0),"Ja","Nei")</f>
        <v>Nei</v>
      </c>
      <c r="AY52" s="108"/>
      <c r="AZ52" s="108"/>
      <c r="BA52" s="109"/>
      <c r="BC52" s="155"/>
      <c r="BD52" s="155"/>
      <c r="BE52" s="155"/>
      <c r="BF52" s="155"/>
      <c r="BG52" s="155"/>
      <c r="BH52" s="155"/>
      <c r="BI52" s="155"/>
      <c r="BJ52" s="155"/>
      <c r="BK52" s="155"/>
      <c r="BL52" s="155"/>
      <c r="BM52" s="155"/>
      <c r="BN52" s="155"/>
      <c r="BO52" s="155"/>
      <c r="BP52" s="155"/>
      <c r="BQ52" s="155"/>
      <c r="BR52" s="155"/>
      <c r="BS52" s="155"/>
      <c r="BT52" s="155"/>
      <c r="BU52" s="155"/>
      <c r="BV52" s="155"/>
      <c r="BW52" s="155"/>
      <c r="BX52" s="155"/>
      <c r="BY52" s="155"/>
      <c r="BZ52" s="155"/>
      <c r="CA52" s="155"/>
      <c r="CB52" s="155"/>
      <c r="CC52" s="155"/>
      <c r="CD52" s="155"/>
      <c r="CE52" s="155"/>
      <c r="CF52" s="155"/>
      <c r="CG52" s="155"/>
    </row>
    <row r="53" spans="1:85" s="40" customFormat="1" ht="13.5" customHeight="1" x14ac:dyDescent="0.25">
      <c r="A53" s="57" t="s">
        <v>53</v>
      </c>
      <c r="B53" s="124"/>
      <c r="C53" s="125"/>
      <c r="D53" s="125"/>
      <c r="E53" s="126"/>
      <c r="F53" s="140">
        <f>'Ansatt N'!$AK$6</f>
        <v>0</v>
      </c>
      <c r="G53" s="120"/>
      <c r="H53" s="119">
        <f>'Ansatt N'!$AK$7</f>
        <v>0</v>
      </c>
      <c r="I53" s="120"/>
      <c r="J53" s="119">
        <f>'Ansatt N'!$AK$8</f>
        <v>0</v>
      </c>
      <c r="K53" s="120"/>
      <c r="L53" s="119">
        <f>'Ansatt N'!$AK$9</f>
        <v>0</v>
      </c>
      <c r="M53" s="120"/>
      <c r="N53" s="119">
        <f>'Ansatt N'!$AK$10</f>
        <v>0</v>
      </c>
      <c r="O53" s="120"/>
      <c r="P53" s="119">
        <f>'Ansatt N'!$AK$11</f>
        <v>0</v>
      </c>
      <c r="Q53" s="120"/>
      <c r="R53" s="119">
        <f>'Ansatt N'!$AK$12</f>
        <v>0</v>
      </c>
      <c r="S53" s="120"/>
      <c r="T53" s="119">
        <f>'Ansatt N'!$AK$13</f>
        <v>0</v>
      </c>
      <c r="U53" s="120"/>
      <c r="V53" s="119">
        <f>'Ansatt N'!$AK$14</f>
        <v>0</v>
      </c>
      <c r="W53" s="120"/>
      <c r="X53" s="119">
        <f>'Ansatt N'!$AK$15</f>
        <v>0</v>
      </c>
      <c r="Y53" s="120"/>
      <c r="Z53" s="119">
        <f>'Ansatt N'!$AK$16</f>
        <v>0</v>
      </c>
      <c r="AA53" s="120"/>
      <c r="AB53" s="119">
        <f>'Ansatt N'!$AK$17</f>
        <v>0</v>
      </c>
      <c r="AC53" s="120"/>
      <c r="AD53" s="130">
        <f t="shared" si="3"/>
        <v>0</v>
      </c>
      <c r="AE53" s="131"/>
      <c r="AF53" s="132"/>
      <c r="AG53" s="142">
        <f t="shared" si="2"/>
        <v>0</v>
      </c>
      <c r="AH53" s="143"/>
      <c r="AI53" s="144"/>
      <c r="AJ53" s="113">
        <v>12</v>
      </c>
      <c r="AK53" s="113"/>
      <c r="AL53" s="113"/>
      <c r="AM53" s="151"/>
      <c r="AN53" s="149"/>
      <c r="AO53" s="149"/>
      <c r="AP53" s="150"/>
      <c r="AQ53" s="148"/>
      <c r="AR53" s="149"/>
      <c r="AS53" s="149"/>
      <c r="AT53" s="150"/>
      <c r="AU53" s="113"/>
      <c r="AV53" s="113"/>
      <c r="AW53" s="114"/>
      <c r="AX53" s="107" t="str">
        <f>IF(OR('Ansatt N'!$B$45&gt;0,'Ansatt N'!$B$67&gt;0,'Ansatt N'!$B$70&gt;0),"Ja","Nei")</f>
        <v>Nei</v>
      </c>
      <c r="AY53" s="108"/>
      <c r="AZ53" s="108"/>
      <c r="BA53" s="109"/>
      <c r="BC53" s="155"/>
      <c r="BD53" s="155"/>
      <c r="BE53" s="155"/>
      <c r="BF53" s="155"/>
      <c r="BG53" s="155"/>
      <c r="BH53" s="155"/>
      <c r="BI53" s="155"/>
      <c r="BJ53" s="155"/>
      <c r="BK53" s="155"/>
      <c r="BL53" s="155"/>
      <c r="BM53" s="155"/>
      <c r="BN53" s="155"/>
      <c r="BO53" s="155"/>
      <c r="BP53" s="155"/>
      <c r="BQ53" s="155"/>
      <c r="BR53" s="155"/>
      <c r="BS53" s="155"/>
      <c r="BT53" s="155"/>
      <c r="BU53" s="155"/>
      <c r="BV53" s="155"/>
      <c r="BW53" s="155"/>
      <c r="BX53" s="155"/>
      <c r="BY53" s="155"/>
      <c r="BZ53" s="155"/>
      <c r="CA53" s="155"/>
      <c r="CB53" s="155"/>
      <c r="CC53" s="155"/>
      <c r="CD53" s="155"/>
      <c r="CE53" s="155"/>
      <c r="CF53" s="155"/>
      <c r="CG53" s="155"/>
    </row>
    <row r="54" spans="1:85" s="40" customFormat="1" ht="13.5" customHeight="1" x14ac:dyDescent="0.25">
      <c r="A54" s="57" t="s">
        <v>54</v>
      </c>
      <c r="B54" s="124"/>
      <c r="C54" s="125"/>
      <c r="D54" s="125"/>
      <c r="E54" s="126"/>
      <c r="F54" s="140">
        <f>'Ansatt O'!$AK$6</f>
        <v>0</v>
      </c>
      <c r="G54" s="120"/>
      <c r="H54" s="119">
        <f>'Ansatt O'!$AK$7</f>
        <v>0</v>
      </c>
      <c r="I54" s="120"/>
      <c r="J54" s="119">
        <f>'Ansatt O'!$AK$8</f>
        <v>0</v>
      </c>
      <c r="K54" s="120"/>
      <c r="L54" s="119">
        <f>'Ansatt O'!$AK$9</f>
        <v>0</v>
      </c>
      <c r="M54" s="120"/>
      <c r="N54" s="119">
        <f>'Ansatt O'!$AK$10</f>
        <v>0</v>
      </c>
      <c r="O54" s="120"/>
      <c r="P54" s="119">
        <f>'Ansatt O'!$AK$11</f>
        <v>0</v>
      </c>
      <c r="Q54" s="120"/>
      <c r="R54" s="119">
        <f>'Ansatt O'!$AK$12</f>
        <v>0</v>
      </c>
      <c r="S54" s="120"/>
      <c r="T54" s="119">
        <f>'Ansatt O'!$AK$13</f>
        <v>0</v>
      </c>
      <c r="U54" s="120"/>
      <c r="V54" s="119">
        <f>'Ansatt O'!$AK$14</f>
        <v>0</v>
      </c>
      <c r="W54" s="120"/>
      <c r="X54" s="119">
        <f>'Ansatt O'!$AK$15</f>
        <v>0</v>
      </c>
      <c r="Y54" s="120"/>
      <c r="Z54" s="119">
        <f>'Ansatt O'!$AK$16</f>
        <v>0</v>
      </c>
      <c r="AA54" s="120"/>
      <c r="AB54" s="119">
        <f>'Ansatt O'!$AK$17</f>
        <v>0</v>
      </c>
      <c r="AC54" s="120"/>
      <c r="AD54" s="130">
        <f t="shared" si="3"/>
        <v>0</v>
      </c>
      <c r="AE54" s="131"/>
      <c r="AF54" s="132"/>
      <c r="AG54" s="142">
        <f t="shared" si="2"/>
        <v>0</v>
      </c>
      <c r="AH54" s="143"/>
      <c r="AI54" s="144"/>
      <c r="AJ54" s="113">
        <v>12</v>
      </c>
      <c r="AK54" s="113"/>
      <c r="AL54" s="113"/>
      <c r="AM54" s="151"/>
      <c r="AN54" s="149"/>
      <c r="AO54" s="149"/>
      <c r="AP54" s="150"/>
      <c r="AQ54" s="148"/>
      <c r="AR54" s="149"/>
      <c r="AS54" s="149"/>
      <c r="AT54" s="150"/>
      <c r="AU54" s="113"/>
      <c r="AV54" s="113"/>
      <c r="AW54" s="114"/>
      <c r="AX54" s="107" t="str">
        <f>IF(OR('Ansatt O'!$B$45&gt;0,'Ansatt O'!$B$67&gt;0,'Ansatt O'!$B$70&gt;0),"Ja","Nei")</f>
        <v>Nei</v>
      </c>
      <c r="AY54" s="108"/>
      <c r="AZ54" s="108"/>
      <c r="BA54" s="109"/>
      <c r="BC54" s="155"/>
      <c r="BD54" s="155"/>
      <c r="BE54" s="155"/>
      <c r="BF54" s="155"/>
      <c r="BG54" s="155"/>
      <c r="BH54" s="155"/>
      <c r="BI54" s="155"/>
      <c r="BJ54" s="155"/>
      <c r="BK54" s="155"/>
      <c r="BL54" s="155"/>
      <c r="BM54" s="155"/>
      <c r="BN54" s="155"/>
      <c r="BO54" s="155"/>
      <c r="BP54" s="155"/>
      <c r="BQ54" s="155"/>
      <c r="BR54" s="155"/>
      <c r="BS54" s="155"/>
      <c r="BT54" s="155"/>
      <c r="BU54" s="155"/>
      <c r="BV54" s="155"/>
      <c r="BW54" s="155"/>
      <c r="BX54" s="155"/>
      <c r="BY54" s="155"/>
      <c r="BZ54" s="155"/>
      <c r="CA54" s="155"/>
      <c r="CB54" s="155"/>
      <c r="CC54" s="155"/>
      <c r="CD54" s="155"/>
      <c r="CE54" s="155"/>
      <c r="CF54" s="155"/>
      <c r="CG54" s="155"/>
    </row>
    <row r="55" spans="1:85" s="40" customFormat="1" ht="13.5" customHeight="1" x14ac:dyDescent="0.25">
      <c r="A55" s="57" t="s">
        <v>55</v>
      </c>
      <c r="B55" s="124"/>
      <c r="C55" s="125"/>
      <c r="D55" s="125"/>
      <c r="E55" s="126"/>
      <c r="F55" s="140">
        <f>'Ansatt P'!$AK$6</f>
        <v>0</v>
      </c>
      <c r="G55" s="120"/>
      <c r="H55" s="119">
        <f>'Ansatt P'!$AK$7</f>
        <v>0</v>
      </c>
      <c r="I55" s="120"/>
      <c r="J55" s="119">
        <f>'Ansatt P'!$AK$8</f>
        <v>0</v>
      </c>
      <c r="K55" s="120"/>
      <c r="L55" s="119">
        <f>'Ansatt P'!$AK$9</f>
        <v>0</v>
      </c>
      <c r="M55" s="120"/>
      <c r="N55" s="119">
        <f>'Ansatt P'!$AK$10</f>
        <v>0</v>
      </c>
      <c r="O55" s="120"/>
      <c r="P55" s="119">
        <f>'Ansatt P'!$AK$11</f>
        <v>0</v>
      </c>
      <c r="Q55" s="120"/>
      <c r="R55" s="119">
        <f>'Ansatt P'!$AK$12</f>
        <v>0</v>
      </c>
      <c r="S55" s="120"/>
      <c r="T55" s="119">
        <f>'Ansatt P'!$AK$13</f>
        <v>0</v>
      </c>
      <c r="U55" s="120"/>
      <c r="V55" s="119">
        <f>'Ansatt P'!$AK$14</f>
        <v>0</v>
      </c>
      <c r="W55" s="120"/>
      <c r="X55" s="119">
        <f>'Ansatt P'!$AK$15</f>
        <v>0</v>
      </c>
      <c r="Y55" s="120"/>
      <c r="Z55" s="119">
        <f>'Ansatt P'!$AK$16</f>
        <v>0</v>
      </c>
      <c r="AA55" s="120"/>
      <c r="AB55" s="119">
        <f>'Ansatt P'!$AK$17</f>
        <v>0</v>
      </c>
      <c r="AC55" s="120"/>
      <c r="AD55" s="130">
        <f t="shared" si="3"/>
        <v>0</v>
      </c>
      <c r="AE55" s="131"/>
      <c r="AF55" s="132"/>
      <c r="AG55" s="142">
        <f t="shared" si="2"/>
        <v>0</v>
      </c>
      <c r="AH55" s="143"/>
      <c r="AI55" s="144"/>
      <c r="AJ55" s="113">
        <v>12</v>
      </c>
      <c r="AK55" s="113"/>
      <c r="AL55" s="113"/>
      <c r="AM55" s="151"/>
      <c r="AN55" s="149"/>
      <c r="AO55" s="149"/>
      <c r="AP55" s="150"/>
      <c r="AQ55" s="148"/>
      <c r="AR55" s="149"/>
      <c r="AS55" s="149"/>
      <c r="AT55" s="150"/>
      <c r="AU55" s="113"/>
      <c r="AV55" s="113"/>
      <c r="AW55" s="114"/>
      <c r="AX55" s="107" t="str">
        <f>IF(OR('Ansatt P'!$B$45&gt;0,'Ansatt P'!$B$67&gt;0,'Ansatt P'!$B$70&gt;0),"Ja","Nei")</f>
        <v>Nei</v>
      </c>
      <c r="AY55" s="108"/>
      <c r="AZ55" s="108"/>
      <c r="BA55" s="109"/>
      <c r="BC55" s="155"/>
      <c r="BD55" s="155"/>
      <c r="BE55" s="155"/>
      <c r="BF55" s="155"/>
      <c r="BG55" s="155"/>
      <c r="BH55" s="155"/>
      <c r="BI55" s="155"/>
      <c r="BJ55" s="155"/>
      <c r="BK55" s="155"/>
      <c r="BL55" s="155"/>
      <c r="BM55" s="155"/>
      <c r="BN55" s="155"/>
      <c r="BO55" s="155"/>
      <c r="BP55" s="155"/>
      <c r="BQ55" s="155"/>
      <c r="BR55" s="155"/>
      <c r="BS55" s="155"/>
      <c r="BT55" s="155"/>
      <c r="BU55" s="155"/>
      <c r="BV55" s="155"/>
      <c r="BW55" s="155"/>
      <c r="BX55" s="155"/>
      <c r="BY55" s="155"/>
      <c r="BZ55" s="155"/>
      <c r="CA55" s="155"/>
      <c r="CB55" s="155"/>
      <c r="CC55" s="155"/>
      <c r="CD55" s="155"/>
      <c r="CE55" s="155"/>
      <c r="CF55" s="155"/>
      <c r="CG55" s="155"/>
    </row>
    <row r="56" spans="1:85" s="40" customFormat="1" ht="13.5" customHeight="1" x14ac:dyDescent="0.25">
      <c r="A56" s="57" t="s">
        <v>56</v>
      </c>
      <c r="B56" s="124"/>
      <c r="C56" s="125"/>
      <c r="D56" s="125"/>
      <c r="E56" s="126"/>
      <c r="F56" s="140">
        <f>'Ansatt Q'!$AK$6</f>
        <v>0</v>
      </c>
      <c r="G56" s="120"/>
      <c r="H56" s="119">
        <f>'Ansatt Q'!$AK$7</f>
        <v>0</v>
      </c>
      <c r="I56" s="120"/>
      <c r="J56" s="119">
        <f>'Ansatt Q'!$AK$8</f>
        <v>0</v>
      </c>
      <c r="K56" s="120"/>
      <c r="L56" s="119">
        <f>'Ansatt Q'!$AK$9</f>
        <v>0</v>
      </c>
      <c r="M56" s="120"/>
      <c r="N56" s="119">
        <f>'Ansatt Q'!$AK$10</f>
        <v>0</v>
      </c>
      <c r="O56" s="120"/>
      <c r="P56" s="119">
        <f>'Ansatt Q'!$AK$11</f>
        <v>0</v>
      </c>
      <c r="Q56" s="120"/>
      <c r="R56" s="119">
        <f>'Ansatt Q'!$AK$12</f>
        <v>0</v>
      </c>
      <c r="S56" s="120"/>
      <c r="T56" s="119">
        <f>'Ansatt Q'!$AK$13</f>
        <v>0</v>
      </c>
      <c r="U56" s="120"/>
      <c r="V56" s="119">
        <f>'Ansatt Q'!$AK$14</f>
        <v>0</v>
      </c>
      <c r="W56" s="120"/>
      <c r="X56" s="119">
        <f>'Ansatt Q'!$AK$15</f>
        <v>0</v>
      </c>
      <c r="Y56" s="120"/>
      <c r="Z56" s="119">
        <f>'Ansatt Q'!$AK$16</f>
        <v>0</v>
      </c>
      <c r="AA56" s="120"/>
      <c r="AB56" s="119">
        <f>'Ansatt Q'!$AK$17</f>
        <v>0</v>
      </c>
      <c r="AC56" s="120"/>
      <c r="AD56" s="130">
        <f t="shared" si="3"/>
        <v>0</v>
      </c>
      <c r="AE56" s="131"/>
      <c r="AF56" s="132"/>
      <c r="AG56" s="142">
        <f t="shared" si="2"/>
        <v>0</v>
      </c>
      <c r="AH56" s="143"/>
      <c r="AI56" s="144"/>
      <c r="AJ56" s="113">
        <v>12</v>
      </c>
      <c r="AK56" s="113"/>
      <c r="AL56" s="113"/>
      <c r="AM56" s="151"/>
      <c r="AN56" s="149"/>
      <c r="AO56" s="149"/>
      <c r="AP56" s="150"/>
      <c r="AQ56" s="148"/>
      <c r="AR56" s="149"/>
      <c r="AS56" s="149"/>
      <c r="AT56" s="150"/>
      <c r="AU56" s="113"/>
      <c r="AV56" s="113"/>
      <c r="AW56" s="114"/>
      <c r="AX56" s="107" t="str">
        <f>IF(OR('Ansatt Q'!$B$45&gt;0,'Ansatt Q'!$B$67&gt;0,'Ansatt Q'!$B$70&gt;0),"Ja","Nei")</f>
        <v>Nei</v>
      </c>
      <c r="AY56" s="108"/>
      <c r="AZ56" s="108"/>
      <c r="BA56" s="109"/>
      <c r="BC56" s="155"/>
      <c r="BD56" s="155"/>
      <c r="BE56" s="155"/>
      <c r="BF56" s="155"/>
      <c r="BG56" s="155"/>
      <c r="BH56" s="155"/>
      <c r="BI56" s="155"/>
      <c r="BJ56" s="155"/>
      <c r="BK56" s="155"/>
      <c r="BL56" s="155"/>
      <c r="BM56" s="155"/>
      <c r="BN56" s="155"/>
      <c r="BO56" s="155"/>
      <c r="BP56" s="155"/>
      <c r="BQ56" s="155"/>
      <c r="BR56" s="155"/>
      <c r="BS56" s="155"/>
      <c r="BT56" s="155"/>
      <c r="BU56" s="155"/>
      <c r="BV56" s="155"/>
      <c r="BW56" s="155"/>
      <c r="BX56" s="155"/>
      <c r="BY56" s="155"/>
      <c r="BZ56" s="155"/>
      <c r="CA56" s="155"/>
      <c r="CB56" s="155"/>
      <c r="CC56" s="155"/>
      <c r="CD56" s="155"/>
      <c r="CE56" s="155"/>
      <c r="CF56" s="155"/>
      <c r="CG56" s="155"/>
    </row>
    <row r="57" spans="1:85" s="40" customFormat="1" ht="13.5" customHeight="1" x14ac:dyDescent="0.25">
      <c r="A57" s="56" t="s">
        <v>57</v>
      </c>
      <c r="B57" s="124"/>
      <c r="C57" s="125"/>
      <c r="D57" s="125"/>
      <c r="E57" s="126"/>
      <c r="F57" s="140">
        <f>'Ansatt R'!$AK$6</f>
        <v>0</v>
      </c>
      <c r="G57" s="120"/>
      <c r="H57" s="119">
        <f>'Ansatt R'!$AK$7</f>
        <v>0</v>
      </c>
      <c r="I57" s="120"/>
      <c r="J57" s="119">
        <f>'Ansatt R'!$AK$8</f>
        <v>0</v>
      </c>
      <c r="K57" s="120"/>
      <c r="L57" s="119">
        <f>'Ansatt R'!$AK$9</f>
        <v>0</v>
      </c>
      <c r="M57" s="120"/>
      <c r="N57" s="119">
        <f>'Ansatt R'!$AK$10</f>
        <v>0</v>
      </c>
      <c r="O57" s="120"/>
      <c r="P57" s="119">
        <f>'Ansatt R'!$AK$11</f>
        <v>0</v>
      </c>
      <c r="Q57" s="120"/>
      <c r="R57" s="119">
        <f>'Ansatt R'!$AK$12</f>
        <v>0</v>
      </c>
      <c r="S57" s="120"/>
      <c r="T57" s="119">
        <f>'Ansatt R'!$AK$13</f>
        <v>0</v>
      </c>
      <c r="U57" s="120"/>
      <c r="V57" s="119">
        <f>'Ansatt R'!$AK$14</f>
        <v>0</v>
      </c>
      <c r="W57" s="120"/>
      <c r="X57" s="119">
        <f>'Ansatt R'!$AK$15</f>
        <v>0</v>
      </c>
      <c r="Y57" s="120"/>
      <c r="Z57" s="119">
        <f>'Ansatt R'!$AK$16</f>
        <v>0</v>
      </c>
      <c r="AA57" s="120"/>
      <c r="AB57" s="119">
        <f>'Ansatt R'!$AK$17</f>
        <v>0</v>
      </c>
      <c r="AC57" s="120"/>
      <c r="AD57" s="130">
        <f t="shared" si="3"/>
        <v>0</v>
      </c>
      <c r="AE57" s="131"/>
      <c r="AF57" s="132"/>
      <c r="AG57" s="142">
        <f t="shared" si="2"/>
        <v>0</v>
      </c>
      <c r="AH57" s="143"/>
      <c r="AI57" s="144"/>
      <c r="AJ57" s="113">
        <v>12</v>
      </c>
      <c r="AK57" s="113"/>
      <c r="AL57" s="113"/>
      <c r="AM57" s="151"/>
      <c r="AN57" s="149"/>
      <c r="AO57" s="149"/>
      <c r="AP57" s="150"/>
      <c r="AQ57" s="148"/>
      <c r="AR57" s="149"/>
      <c r="AS57" s="149"/>
      <c r="AT57" s="150"/>
      <c r="AU57" s="113"/>
      <c r="AV57" s="113"/>
      <c r="AW57" s="114"/>
      <c r="AX57" s="107" t="str">
        <f>IF(OR('Ansatt R'!$B$45&gt;0,'Ansatt R'!$B$67&gt;0,'Ansatt R'!$B$70&gt;0),"Ja","Nei")</f>
        <v>Nei</v>
      </c>
      <c r="AY57" s="108"/>
      <c r="AZ57" s="108"/>
      <c r="BA57" s="109"/>
      <c r="BC57" s="155"/>
      <c r="BD57" s="155"/>
      <c r="BE57" s="155"/>
      <c r="BF57" s="155"/>
      <c r="BG57" s="155"/>
      <c r="BH57" s="155"/>
      <c r="BI57" s="155"/>
      <c r="BJ57" s="155"/>
      <c r="BK57" s="155"/>
      <c r="BL57" s="155"/>
      <c r="BM57" s="155"/>
      <c r="BN57" s="155"/>
      <c r="BO57" s="155"/>
      <c r="BP57" s="155"/>
      <c r="BQ57" s="155"/>
      <c r="BR57" s="155"/>
      <c r="BS57" s="155"/>
      <c r="BT57" s="155"/>
      <c r="BU57" s="155"/>
      <c r="BV57" s="155"/>
      <c r="BW57" s="155"/>
      <c r="BX57" s="155"/>
      <c r="BY57" s="155"/>
      <c r="BZ57" s="155"/>
      <c r="CA57" s="155"/>
      <c r="CB57" s="155"/>
      <c r="CC57" s="155"/>
      <c r="CD57" s="155"/>
      <c r="CE57" s="155"/>
      <c r="CF57" s="155"/>
      <c r="CG57" s="155"/>
    </row>
    <row r="58" spans="1:85" s="40" customFormat="1" ht="13.5" customHeight="1" x14ac:dyDescent="0.25">
      <c r="A58" s="57" t="s">
        <v>58</v>
      </c>
      <c r="B58" s="124"/>
      <c r="C58" s="125"/>
      <c r="D58" s="125"/>
      <c r="E58" s="126"/>
      <c r="F58" s="140">
        <f>'Ansatt S'!$AK$6</f>
        <v>0</v>
      </c>
      <c r="G58" s="120"/>
      <c r="H58" s="119">
        <f>'Ansatt S'!$AK$7</f>
        <v>0</v>
      </c>
      <c r="I58" s="120"/>
      <c r="J58" s="119">
        <f>'Ansatt S'!$AK$8</f>
        <v>0</v>
      </c>
      <c r="K58" s="120"/>
      <c r="L58" s="119">
        <f>'Ansatt S'!$AK$9</f>
        <v>0</v>
      </c>
      <c r="M58" s="120"/>
      <c r="N58" s="119">
        <f>'Ansatt S'!$AK$10</f>
        <v>0</v>
      </c>
      <c r="O58" s="120"/>
      <c r="P58" s="119">
        <f>'Ansatt S'!$AK$11</f>
        <v>0</v>
      </c>
      <c r="Q58" s="120"/>
      <c r="R58" s="119">
        <f>'Ansatt S'!$AK$12</f>
        <v>0</v>
      </c>
      <c r="S58" s="120"/>
      <c r="T58" s="119">
        <f>'Ansatt S'!$AK$13</f>
        <v>0</v>
      </c>
      <c r="U58" s="120"/>
      <c r="V58" s="119">
        <f>'Ansatt S'!$AK$14</f>
        <v>0</v>
      </c>
      <c r="W58" s="120"/>
      <c r="X58" s="119">
        <f>'Ansatt S'!$AK$15</f>
        <v>0</v>
      </c>
      <c r="Y58" s="120"/>
      <c r="Z58" s="119">
        <f>'Ansatt S'!$AK$16</f>
        <v>0</v>
      </c>
      <c r="AA58" s="120"/>
      <c r="AB58" s="119">
        <f>'Ansatt S'!$AK$17</f>
        <v>0</v>
      </c>
      <c r="AC58" s="120"/>
      <c r="AD58" s="130">
        <f t="shared" si="3"/>
        <v>0</v>
      </c>
      <c r="AE58" s="131"/>
      <c r="AF58" s="132"/>
      <c r="AG58" s="142">
        <f t="shared" si="2"/>
        <v>0</v>
      </c>
      <c r="AH58" s="143"/>
      <c r="AI58" s="144"/>
      <c r="AJ58" s="113">
        <v>12</v>
      </c>
      <c r="AK58" s="113"/>
      <c r="AL58" s="113"/>
      <c r="AM58" s="151"/>
      <c r="AN58" s="149"/>
      <c r="AO58" s="149"/>
      <c r="AP58" s="150"/>
      <c r="AQ58" s="148"/>
      <c r="AR58" s="149"/>
      <c r="AS58" s="149"/>
      <c r="AT58" s="150"/>
      <c r="AU58" s="113"/>
      <c r="AV58" s="113"/>
      <c r="AW58" s="114"/>
      <c r="AX58" s="107" t="str">
        <f>IF(OR('Ansatt S'!$B$45&gt;0,'Ansatt S'!$B$67&gt;0,'Ansatt S'!$B$70&gt;0),"Ja","Nei")</f>
        <v>Nei</v>
      </c>
      <c r="AY58" s="108"/>
      <c r="AZ58" s="108"/>
      <c r="BA58" s="109"/>
      <c r="BC58" s="155"/>
      <c r="BD58" s="155"/>
      <c r="BE58" s="155"/>
      <c r="BF58" s="155"/>
      <c r="BG58" s="155"/>
      <c r="BH58" s="155"/>
      <c r="BI58" s="155"/>
      <c r="BJ58" s="155"/>
      <c r="BK58" s="155"/>
      <c r="BL58" s="155"/>
      <c r="BM58" s="155"/>
      <c r="BN58" s="155"/>
      <c r="BO58" s="155"/>
      <c r="BP58" s="155"/>
      <c r="BQ58" s="155"/>
      <c r="BR58" s="155"/>
      <c r="BS58" s="155"/>
      <c r="BT58" s="155"/>
      <c r="BU58" s="155"/>
      <c r="BV58" s="155"/>
      <c r="BW58" s="155"/>
      <c r="BX58" s="155"/>
      <c r="BY58" s="155"/>
      <c r="BZ58" s="155"/>
      <c r="CA58" s="155"/>
      <c r="CB58" s="155"/>
      <c r="CC58" s="155"/>
      <c r="CD58" s="155"/>
      <c r="CE58" s="155"/>
      <c r="CF58" s="155"/>
      <c r="CG58" s="155"/>
    </row>
    <row r="59" spans="1:85" s="40" customFormat="1" ht="13.5" customHeight="1" x14ac:dyDescent="0.25">
      <c r="A59" s="57" t="s">
        <v>59</v>
      </c>
      <c r="B59" s="124"/>
      <c r="C59" s="125"/>
      <c r="D59" s="125"/>
      <c r="E59" s="126"/>
      <c r="F59" s="140">
        <f>'Ansatt T'!$AK$6</f>
        <v>0</v>
      </c>
      <c r="G59" s="120"/>
      <c r="H59" s="119">
        <f>'Ansatt T'!$AK$7</f>
        <v>0</v>
      </c>
      <c r="I59" s="120"/>
      <c r="J59" s="119">
        <f>'Ansatt T'!$AK$8</f>
        <v>0</v>
      </c>
      <c r="K59" s="120"/>
      <c r="L59" s="119">
        <f>'Ansatt T'!$AK$9</f>
        <v>0</v>
      </c>
      <c r="M59" s="120"/>
      <c r="N59" s="119">
        <f>'Ansatt T'!$AK$10</f>
        <v>0</v>
      </c>
      <c r="O59" s="120"/>
      <c r="P59" s="119">
        <f>'Ansatt T'!$AK$11</f>
        <v>0</v>
      </c>
      <c r="Q59" s="120"/>
      <c r="R59" s="119">
        <f>'Ansatt T'!$AK$12</f>
        <v>0</v>
      </c>
      <c r="S59" s="120"/>
      <c r="T59" s="119">
        <f>'Ansatt T'!$AK$13</f>
        <v>0</v>
      </c>
      <c r="U59" s="120"/>
      <c r="V59" s="119">
        <f>'Ansatt T'!$AK$14</f>
        <v>0</v>
      </c>
      <c r="W59" s="120"/>
      <c r="X59" s="119">
        <f>'Ansatt T'!$AK$15</f>
        <v>0</v>
      </c>
      <c r="Y59" s="120"/>
      <c r="Z59" s="119">
        <f>'Ansatt T'!$AK$16</f>
        <v>0</v>
      </c>
      <c r="AA59" s="120"/>
      <c r="AB59" s="119">
        <f>'Ansatt T'!$AK$17</f>
        <v>0</v>
      </c>
      <c r="AC59" s="120"/>
      <c r="AD59" s="130">
        <f t="shared" si="3"/>
        <v>0</v>
      </c>
      <c r="AE59" s="131"/>
      <c r="AF59" s="132"/>
      <c r="AG59" s="142">
        <f t="shared" si="2"/>
        <v>0</v>
      </c>
      <c r="AH59" s="143"/>
      <c r="AI59" s="144"/>
      <c r="AJ59" s="113">
        <v>12</v>
      </c>
      <c r="AK59" s="113"/>
      <c r="AL59" s="113"/>
      <c r="AM59" s="151"/>
      <c r="AN59" s="149"/>
      <c r="AO59" s="149"/>
      <c r="AP59" s="150"/>
      <c r="AQ59" s="148"/>
      <c r="AR59" s="149"/>
      <c r="AS59" s="149"/>
      <c r="AT59" s="150"/>
      <c r="AU59" s="113"/>
      <c r="AV59" s="113"/>
      <c r="AW59" s="114"/>
      <c r="AX59" s="107" t="str">
        <f>IF(OR('Ansatt T'!$B$45&gt;0,'Ansatt T'!$B$67&gt;0,'Ansatt T'!$B$70&gt;0),"Ja","Nei")</f>
        <v>Nei</v>
      </c>
      <c r="AY59" s="108"/>
      <c r="AZ59" s="108"/>
      <c r="BA59" s="109"/>
      <c r="BC59" s="155"/>
      <c r="BD59" s="155"/>
      <c r="BE59" s="155"/>
      <c r="BF59" s="155"/>
      <c r="BG59" s="155"/>
      <c r="BH59" s="155"/>
      <c r="BI59" s="155"/>
      <c r="BJ59" s="155"/>
      <c r="BK59" s="155"/>
      <c r="BL59" s="155"/>
      <c r="BM59" s="155"/>
      <c r="BN59" s="155"/>
      <c r="BO59" s="155"/>
      <c r="BP59" s="155"/>
      <c r="BQ59" s="155"/>
      <c r="BR59" s="155"/>
      <c r="BS59" s="155"/>
      <c r="BT59" s="155"/>
      <c r="BU59" s="155"/>
      <c r="BV59" s="155"/>
      <c r="BW59" s="155"/>
      <c r="BX59" s="155"/>
      <c r="BY59" s="155"/>
      <c r="BZ59" s="155"/>
      <c r="CA59" s="155"/>
      <c r="CB59" s="155"/>
      <c r="CC59" s="155"/>
      <c r="CD59" s="155"/>
      <c r="CE59" s="155"/>
      <c r="CF59" s="155"/>
      <c r="CG59" s="155"/>
    </row>
    <row r="60" spans="1:85" s="40" customFormat="1" ht="13.5" customHeight="1" x14ac:dyDescent="0.25">
      <c r="A60" s="57" t="s">
        <v>60</v>
      </c>
      <c r="B60" s="124"/>
      <c r="C60" s="125"/>
      <c r="D60" s="125"/>
      <c r="E60" s="126"/>
      <c r="F60" s="140">
        <f>'Ansatt U'!$AK$6</f>
        <v>0</v>
      </c>
      <c r="G60" s="120"/>
      <c r="H60" s="119">
        <f>'Ansatt U'!$AK$7</f>
        <v>0</v>
      </c>
      <c r="I60" s="120"/>
      <c r="J60" s="119">
        <f>'Ansatt U'!$AK$8</f>
        <v>0</v>
      </c>
      <c r="K60" s="120"/>
      <c r="L60" s="119">
        <f>'Ansatt U'!$AK$9</f>
        <v>0</v>
      </c>
      <c r="M60" s="120"/>
      <c r="N60" s="119">
        <f>'Ansatt U'!$AK$10</f>
        <v>0</v>
      </c>
      <c r="O60" s="120"/>
      <c r="P60" s="119">
        <f>'Ansatt U'!$AK$11</f>
        <v>0</v>
      </c>
      <c r="Q60" s="120"/>
      <c r="R60" s="119">
        <f>'Ansatt U'!$AK$12</f>
        <v>0</v>
      </c>
      <c r="S60" s="120"/>
      <c r="T60" s="119">
        <f>'Ansatt U'!$AK$13</f>
        <v>0</v>
      </c>
      <c r="U60" s="120"/>
      <c r="V60" s="119">
        <f>'Ansatt U'!$AK$14</f>
        <v>0</v>
      </c>
      <c r="W60" s="120"/>
      <c r="X60" s="119">
        <f>'Ansatt U'!$AK$15</f>
        <v>0</v>
      </c>
      <c r="Y60" s="120"/>
      <c r="Z60" s="119">
        <f>'Ansatt U'!$AK$16</f>
        <v>0</v>
      </c>
      <c r="AA60" s="120"/>
      <c r="AB60" s="119">
        <f>'Ansatt U'!$AK$17</f>
        <v>0</v>
      </c>
      <c r="AC60" s="120"/>
      <c r="AD60" s="130">
        <f t="shared" si="3"/>
        <v>0</v>
      </c>
      <c r="AE60" s="131"/>
      <c r="AF60" s="132"/>
      <c r="AG60" s="142">
        <f t="shared" si="2"/>
        <v>0</v>
      </c>
      <c r="AH60" s="143"/>
      <c r="AI60" s="144"/>
      <c r="AJ60" s="113">
        <v>12</v>
      </c>
      <c r="AK60" s="113"/>
      <c r="AL60" s="113"/>
      <c r="AM60" s="151"/>
      <c r="AN60" s="149"/>
      <c r="AO60" s="149"/>
      <c r="AP60" s="150"/>
      <c r="AQ60" s="148"/>
      <c r="AR60" s="149"/>
      <c r="AS60" s="149"/>
      <c r="AT60" s="150"/>
      <c r="AU60" s="113"/>
      <c r="AV60" s="113"/>
      <c r="AW60" s="114"/>
      <c r="AX60" s="107" t="str">
        <f>IF(OR('Ansatt U'!$B$45&gt;0,'Ansatt U'!$B$67&gt;0,'Ansatt U'!$B$70&gt;0),"Ja","Nei")</f>
        <v>Nei</v>
      </c>
      <c r="AY60" s="108"/>
      <c r="AZ60" s="108"/>
      <c r="BA60" s="109"/>
      <c r="BC60" s="155"/>
      <c r="BD60" s="155"/>
      <c r="BE60" s="155"/>
      <c r="BF60" s="155"/>
      <c r="BG60" s="155"/>
      <c r="BH60" s="155"/>
      <c r="BI60" s="155"/>
      <c r="BJ60" s="155"/>
      <c r="BK60" s="155"/>
      <c r="BL60" s="155"/>
      <c r="BM60" s="155"/>
      <c r="BN60" s="155"/>
      <c r="BO60" s="155"/>
      <c r="BP60" s="155"/>
      <c r="BQ60" s="155"/>
      <c r="BR60" s="155"/>
      <c r="BS60" s="155"/>
      <c r="BT60" s="155"/>
      <c r="BU60" s="155"/>
      <c r="BV60" s="155"/>
      <c r="BW60" s="155"/>
      <c r="BX60" s="155"/>
      <c r="BY60" s="155"/>
      <c r="BZ60" s="155"/>
      <c r="CA60" s="155"/>
      <c r="CB60" s="155"/>
      <c r="CC60" s="155"/>
      <c r="CD60" s="155"/>
      <c r="CE60" s="155"/>
      <c r="CF60" s="155"/>
      <c r="CG60" s="155"/>
    </row>
    <row r="61" spans="1:85" s="40" customFormat="1" ht="13.5" customHeight="1" x14ac:dyDescent="0.25">
      <c r="A61" s="57" t="s">
        <v>61</v>
      </c>
      <c r="B61" s="124"/>
      <c r="C61" s="125"/>
      <c r="D61" s="125"/>
      <c r="E61" s="126"/>
      <c r="F61" s="140">
        <f>'Ansatt V'!$AK$6</f>
        <v>0</v>
      </c>
      <c r="G61" s="120"/>
      <c r="H61" s="119">
        <f>'Ansatt V'!$AK$7</f>
        <v>0</v>
      </c>
      <c r="I61" s="120"/>
      <c r="J61" s="119">
        <f>'Ansatt V'!$AK$8</f>
        <v>0</v>
      </c>
      <c r="K61" s="120"/>
      <c r="L61" s="119">
        <f>'Ansatt V'!$AK$9</f>
        <v>0</v>
      </c>
      <c r="M61" s="120"/>
      <c r="N61" s="119">
        <f>'Ansatt V'!$AK$10</f>
        <v>0</v>
      </c>
      <c r="O61" s="120"/>
      <c r="P61" s="119">
        <f>'Ansatt V'!$AK$11</f>
        <v>0</v>
      </c>
      <c r="Q61" s="120"/>
      <c r="R61" s="119">
        <f>'Ansatt V'!$AK$12</f>
        <v>0</v>
      </c>
      <c r="S61" s="120"/>
      <c r="T61" s="119">
        <f>'Ansatt V'!$AK$13</f>
        <v>0</v>
      </c>
      <c r="U61" s="120"/>
      <c r="V61" s="119">
        <f>'Ansatt V'!$AK$14</f>
        <v>0</v>
      </c>
      <c r="W61" s="120"/>
      <c r="X61" s="119">
        <f>'Ansatt V'!$AK$15</f>
        <v>0</v>
      </c>
      <c r="Y61" s="120"/>
      <c r="Z61" s="119">
        <f>'Ansatt V'!$AK$16</f>
        <v>0</v>
      </c>
      <c r="AA61" s="120"/>
      <c r="AB61" s="119">
        <f>'Ansatt V'!$AK$17</f>
        <v>0</v>
      </c>
      <c r="AC61" s="120"/>
      <c r="AD61" s="130">
        <f t="shared" si="3"/>
        <v>0</v>
      </c>
      <c r="AE61" s="131"/>
      <c r="AF61" s="132"/>
      <c r="AG61" s="142">
        <f t="shared" si="2"/>
        <v>0</v>
      </c>
      <c r="AH61" s="143"/>
      <c r="AI61" s="144"/>
      <c r="AJ61" s="113">
        <v>12</v>
      </c>
      <c r="AK61" s="113"/>
      <c r="AL61" s="113"/>
      <c r="AM61" s="151"/>
      <c r="AN61" s="149"/>
      <c r="AO61" s="149"/>
      <c r="AP61" s="150"/>
      <c r="AQ61" s="148"/>
      <c r="AR61" s="149"/>
      <c r="AS61" s="149"/>
      <c r="AT61" s="150"/>
      <c r="AU61" s="113"/>
      <c r="AV61" s="113"/>
      <c r="AW61" s="114"/>
      <c r="AX61" s="107" t="str">
        <f>IF(OR('Ansatt V'!$B$45&gt;0,'Ansatt V'!$B$67&gt;0,'Ansatt V'!$B$70&gt;0),"Ja","Nei")</f>
        <v>Nei</v>
      </c>
      <c r="AY61" s="108"/>
      <c r="AZ61" s="108"/>
      <c r="BA61" s="109"/>
      <c r="BC61" s="155"/>
      <c r="BD61" s="155"/>
      <c r="BE61" s="155"/>
      <c r="BF61" s="155"/>
      <c r="BG61" s="155"/>
      <c r="BH61" s="155"/>
      <c r="BI61" s="155"/>
      <c r="BJ61" s="155"/>
      <c r="BK61" s="155"/>
      <c r="BL61" s="155"/>
      <c r="BM61" s="155"/>
      <c r="BN61" s="155"/>
      <c r="BO61" s="155"/>
      <c r="BP61" s="155"/>
      <c r="BQ61" s="155"/>
      <c r="BR61" s="155"/>
      <c r="BS61" s="155"/>
      <c r="BT61" s="155"/>
      <c r="BU61" s="155"/>
      <c r="BV61" s="155"/>
      <c r="BW61" s="155"/>
      <c r="BX61" s="155"/>
      <c r="BY61" s="155"/>
      <c r="BZ61" s="155"/>
      <c r="CA61" s="155"/>
      <c r="CB61" s="155"/>
      <c r="CC61" s="155"/>
      <c r="CD61" s="155"/>
      <c r="CE61" s="155"/>
      <c r="CF61" s="155"/>
      <c r="CG61" s="155"/>
    </row>
    <row r="62" spans="1:85" s="40" customFormat="1" ht="13.5" customHeight="1" x14ac:dyDescent="0.25">
      <c r="A62" s="58" t="s">
        <v>62</v>
      </c>
      <c r="B62" s="124"/>
      <c r="C62" s="125"/>
      <c r="D62" s="125"/>
      <c r="E62" s="126"/>
      <c r="F62" s="140">
        <f>'Ansatt W'!$AK$6</f>
        <v>0</v>
      </c>
      <c r="G62" s="120"/>
      <c r="H62" s="119">
        <f>'Ansatt W'!$AK$7</f>
        <v>0</v>
      </c>
      <c r="I62" s="120"/>
      <c r="J62" s="119">
        <f>'Ansatt W'!$AK$8</f>
        <v>0</v>
      </c>
      <c r="K62" s="120"/>
      <c r="L62" s="119">
        <f>'Ansatt W'!$AK$9</f>
        <v>0</v>
      </c>
      <c r="M62" s="120"/>
      <c r="N62" s="119">
        <f>'Ansatt W'!$AK$10</f>
        <v>0</v>
      </c>
      <c r="O62" s="120"/>
      <c r="P62" s="119">
        <f>'Ansatt W'!$AK$11</f>
        <v>0</v>
      </c>
      <c r="Q62" s="120"/>
      <c r="R62" s="119">
        <f>'Ansatt W'!$AK$12</f>
        <v>0</v>
      </c>
      <c r="S62" s="120"/>
      <c r="T62" s="119">
        <f>'Ansatt W'!$AK$13</f>
        <v>0</v>
      </c>
      <c r="U62" s="120"/>
      <c r="V62" s="119">
        <f>'Ansatt W'!$AK$13</f>
        <v>0</v>
      </c>
      <c r="W62" s="120"/>
      <c r="X62" s="119">
        <f>'Ansatt W'!$AK$15</f>
        <v>0</v>
      </c>
      <c r="Y62" s="120"/>
      <c r="Z62" s="119">
        <f>'Ansatt W'!$AK$16</f>
        <v>0</v>
      </c>
      <c r="AA62" s="120"/>
      <c r="AB62" s="119">
        <f>'Ansatt W'!$AK$17</f>
        <v>0</v>
      </c>
      <c r="AC62" s="120"/>
      <c r="AD62" s="130">
        <f t="shared" si="3"/>
        <v>0</v>
      </c>
      <c r="AE62" s="131"/>
      <c r="AF62" s="132"/>
      <c r="AG62" s="142">
        <f t="shared" si="2"/>
        <v>0</v>
      </c>
      <c r="AH62" s="143"/>
      <c r="AI62" s="144"/>
      <c r="AJ62" s="113">
        <v>12</v>
      </c>
      <c r="AK62" s="113"/>
      <c r="AL62" s="113"/>
      <c r="AM62" s="151"/>
      <c r="AN62" s="149"/>
      <c r="AO62" s="149"/>
      <c r="AP62" s="150"/>
      <c r="AQ62" s="148"/>
      <c r="AR62" s="149"/>
      <c r="AS62" s="149"/>
      <c r="AT62" s="150"/>
      <c r="AU62" s="113"/>
      <c r="AV62" s="113"/>
      <c r="AW62" s="114"/>
      <c r="AX62" s="107" t="str">
        <f>IF(OR('Ansatt W'!$B$45&gt;0,'Ansatt W'!$B$67&gt;0,'Ansatt W'!$B$70&gt;0),"Ja","Nei")</f>
        <v>Nei</v>
      </c>
      <c r="AY62" s="108"/>
      <c r="AZ62" s="108"/>
      <c r="BA62" s="109"/>
      <c r="BC62" s="155"/>
      <c r="BD62" s="155"/>
      <c r="BE62" s="155"/>
      <c r="BF62" s="155"/>
      <c r="BG62" s="155"/>
      <c r="BH62" s="155"/>
      <c r="BI62" s="155"/>
      <c r="BJ62" s="155"/>
      <c r="BK62" s="155"/>
      <c r="BL62" s="155"/>
      <c r="BM62" s="155"/>
      <c r="BN62" s="155"/>
      <c r="BO62" s="155"/>
      <c r="BP62" s="155"/>
      <c r="BQ62" s="155"/>
      <c r="BR62" s="155"/>
      <c r="BS62" s="155"/>
      <c r="BT62" s="155"/>
      <c r="BU62" s="155"/>
      <c r="BV62" s="155"/>
      <c r="BW62" s="155"/>
      <c r="BX62" s="155"/>
      <c r="BY62" s="155"/>
      <c r="BZ62" s="155"/>
      <c r="CA62" s="155"/>
      <c r="CB62" s="155"/>
      <c r="CC62" s="155"/>
      <c r="CD62" s="155"/>
      <c r="CE62" s="155"/>
      <c r="CF62" s="155"/>
      <c r="CG62" s="155"/>
    </row>
    <row r="63" spans="1:85" s="40" customFormat="1" ht="13.5" customHeight="1" x14ac:dyDescent="0.25">
      <c r="A63" s="58" t="s">
        <v>63</v>
      </c>
      <c r="B63" s="124"/>
      <c r="C63" s="125"/>
      <c r="D63" s="125"/>
      <c r="E63" s="126"/>
      <c r="F63" s="140">
        <f>'Ansatt X'!$AK$6</f>
        <v>0</v>
      </c>
      <c r="G63" s="120"/>
      <c r="H63" s="119">
        <f>'Ansatt X'!$AK$7</f>
        <v>0</v>
      </c>
      <c r="I63" s="120"/>
      <c r="J63" s="119">
        <f>'Ansatt X'!$AK$8</f>
        <v>0</v>
      </c>
      <c r="K63" s="120"/>
      <c r="L63" s="119">
        <f>'Ansatt X'!$AK$9</f>
        <v>0</v>
      </c>
      <c r="M63" s="120"/>
      <c r="N63" s="119">
        <f>'Ansatt X'!$AK$10</f>
        <v>0</v>
      </c>
      <c r="O63" s="120"/>
      <c r="P63" s="119">
        <f>'Ansatt X'!$AK$11</f>
        <v>0</v>
      </c>
      <c r="Q63" s="120"/>
      <c r="R63" s="119">
        <f>'Ansatt X'!$AK$12</f>
        <v>0</v>
      </c>
      <c r="S63" s="120"/>
      <c r="T63" s="119">
        <f>'Ansatt X'!$AK$13</f>
        <v>0</v>
      </c>
      <c r="U63" s="120"/>
      <c r="V63" s="119">
        <f>'Ansatt X'!$AK$14</f>
        <v>0</v>
      </c>
      <c r="W63" s="120"/>
      <c r="X63" s="119">
        <f>'Ansatt X'!$AK$15</f>
        <v>0</v>
      </c>
      <c r="Y63" s="120"/>
      <c r="Z63" s="119">
        <f>'Ansatt X'!$AK$16</f>
        <v>0</v>
      </c>
      <c r="AA63" s="120"/>
      <c r="AB63" s="119">
        <f>'Ansatt X'!$AK$17</f>
        <v>0</v>
      </c>
      <c r="AC63" s="120"/>
      <c r="AD63" s="130">
        <f t="shared" si="3"/>
        <v>0</v>
      </c>
      <c r="AE63" s="131"/>
      <c r="AF63" s="132"/>
      <c r="AG63" s="142">
        <f t="shared" si="2"/>
        <v>0</v>
      </c>
      <c r="AH63" s="143"/>
      <c r="AI63" s="144"/>
      <c r="AJ63" s="113">
        <v>12</v>
      </c>
      <c r="AK63" s="113"/>
      <c r="AL63" s="113"/>
      <c r="AM63" s="151"/>
      <c r="AN63" s="149"/>
      <c r="AO63" s="149"/>
      <c r="AP63" s="150"/>
      <c r="AQ63" s="148"/>
      <c r="AR63" s="149"/>
      <c r="AS63" s="149"/>
      <c r="AT63" s="150"/>
      <c r="AU63" s="113"/>
      <c r="AV63" s="113"/>
      <c r="AW63" s="114"/>
      <c r="AX63" s="107" t="str">
        <f>IF(OR('Ansatt X'!$B$45&gt;0,'Ansatt X'!$B$67&gt;0,'Ansatt X'!$B$70&gt;0),"Ja","Nei")</f>
        <v>Nei</v>
      </c>
      <c r="AY63" s="108"/>
      <c r="AZ63" s="108"/>
      <c r="BA63" s="109"/>
      <c r="BC63" s="155"/>
      <c r="BD63" s="155"/>
      <c r="BE63" s="155"/>
      <c r="BF63" s="155"/>
      <c r="BG63" s="155"/>
      <c r="BH63" s="155"/>
      <c r="BI63" s="155"/>
      <c r="BJ63" s="155"/>
      <c r="BK63" s="155"/>
      <c r="BL63" s="155"/>
      <c r="BM63" s="155"/>
      <c r="BN63" s="155"/>
      <c r="BO63" s="155"/>
      <c r="BP63" s="155"/>
      <c r="BQ63" s="155"/>
      <c r="BR63" s="155"/>
      <c r="BS63" s="155"/>
      <c r="BT63" s="155"/>
      <c r="BU63" s="155"/>
      <c r="BV63" s="155"/>
      <c r="BW63" s="155"/>
      <c r="BX63" s="155"/>
      <c r="BY63" s="155"/>
      <c r="BZ63" s="155"/>
      <c r="CA63" s="155"/>
      <c r="CB63" s="155"/>
      <c r="CC63" s="155"/>
      <c r="CD63" s="155"/>
      <c r="CE63" s="155"/>
      <c r="CF63" s="155"/>
      <c r="CG63" s="155"/>
    </row>
    <row r="64" spans="1:85" s="40" customFormat="1" ht="13.5" customHeight="1" x14ac:dyDescent="0.25">
      <c r="A64" s="58" t="s">
        <v>64</v>
      </c>
      <c r="B64" s="124"/>
      <c r="C64" s="125"/>
      <c r="D64" s="125"/>
      <c r="E64" s="126"/>
      <c r="F64" s="140">
        <f>'Ansatt Y'!$AK$6</f>
        <v>0</v>
      </c>
      <c r="G64" s="120"/>
      <c r="H64" s="119">
        <f>'Ansatt Y'!$AK$7</f>
        <v>0</v>
      </c>
      <c r="I64" s="120"/>
      <c r="J64" s="119">
        <f>'Ansatt Y'!$AK$8</f>
        <v>0</v>
      </c>
      <c r="K64" s="120"/>
      <c r="L64" s="119">
        <f>'Ansatt Y'!$AK$9</f>
        <v>0</v>
      </c>
      <c r="M64" s="120"/>
      <c r="N64" s="119">
        <f>'Ansatt Y'!$AK$10</f>
        <v>0</v>
      </c>
      <c r="O64" s="120"/>
      <c r="P64" s="119">
        <f>'Ansatt Y'!$AK$11</f>
        <v>0</v>
      </c>
      <c r="Q64" s="120"/>
      <c r="R64" s="119">
        <f>'Ansatt Y'!$AK$12</f>
        <v>0</v>
      </c>
      <c r="S64" s="120"/>
      <c r="T64" s="119">
        <f>'Ansatt Y'!$AK$13</f>
        <v>0</v>
      </c>
      <c r="U64" s="120"/>
      <c r="V64" s="119">
        <f>'Ansatt Y'!$AK$14</f>
        <v>0</v>
      </c>
      <c r="W64" s="120"/>
      <c r="X64" s="119">
        <f>'Ansatt Y'!$AK$15</f>
        <v>0</v>
      </c>
      <c r="Y64" s="120"/>
      <c r="Z64" s="119">
        <f>'Ansatt Y'!$AK$16</f>
        <v>0</v>
      </c>
      <c r="AA64" s="120"/>
      <c r="AB64" s="119">
        <f>'Ansatt Y'!$AK$17</f>
        <v>0</v>
      </c>
      <c r="AC64" s="120"/>
      <c r="AD64" s="130">
        <f t="shared" si="3"/>
        <v>0</v>
      </c>
      <c r="AE64" s="131"/>
      <c r="AF64" s="132"/>
      <c r="AG64" s="142">
        <f t="shared" si="2"/>
        <v>0</v>
      </c>
      <c r="AH64" s="143"/>
      <c r="AI64" s="144"/>
      <c r="AJ64" s="113">
        <v>12</v>
      </c>
      <c r="AK64" s="113"/>
      <c r="AL64" s="113"/>
      <c r="AM64" s="151"/>
      <c r="AN64" s="149"/>
      <c r="AO64" s="149"/>
      <c r="AP64" s="150"/>
      <c r="AQ64" s="148"/>
      <c r="AR64" s="149"/>
      <c r="AS64" s="149"/>
      <c r="AT64" s="150"/>
      <c r="AU64" s="113"/>
      <c r="AV64" s="113"/>
      <c r="AW64" s="114"/>
      <c r="AX64" s="107" t="str">
        <f>IF(OR('Ansatt Y'!$B$45&gt;0,'Ansatt Y'!$B$67&gt;0,'Ansatt Y'!$B$70&gt;0),"Ja","Nei")</f>
        <v>Nei</v>
      </c>
      <c r="AY64" s="108"/>
      <c r="AZ64" s="108"/>
      <c r="BA64" s="109"/>
      <c r="BC64" s="155"/>
      <c r="BD64" s="155"/>
      <c r="BE64" s="155"/>
      <c r="BF64" s="155"/>
      <c r="BG64" s="155"/>
      <c r="BH64" s="155"/>
      <c r="BI64" s="155"/>
      <c r="BJ64" s="155"/>
      <c r="BK64" s="155"/>
      <c r="BL64" s="155"/>
      <c r="BM64" s="155"/>
      <c r="BN64" s="155"/>
      <c r="BO64" s="155"/>
      <c r="BP64" s="155"/>
      <c r="BQ64" s="155"/>
      <c r="BR64" s="155"/>
      <c r="BS64" s="155"/>
      <c r="BT64" s="155"/>
      <c r="BU64" s="155"/>
      <c r="BV64" s="155"/>
      <c r="BW64" s="155"/>
      <c r="BX64" s="155"/>
      <c r="BY64" s="155"/>
      <c r="BZ64" s="155"/>
      <c r="CA64" s="155"/>
      <c r="CB64" s="155"/>
      <c r="CC64" s="155"/>
      <c r="CD64" s="155"/>
      <c r="CE64" s="155"/>
      <c r="CF64" s="155"/>
      <c r="CG64" s="155"/>
    </row>
    <row r="65" spans="1:95" s="40" customFormat="1" ht="13.5" customHeight="1" thickBot="1" x14ac:dyDescent="0.3">
      <c r="A65" s="61" t="s">
        <v>65</v>
      </c>
      <c r="B65" s="127"/>
      <c r="C65" s="128"/>
      <c r="D65" s="128"/>
      <c r="E65" s="129"/>
      <c r="F65" s="141">
        <f>'Ansatt Z'!$AK$6</f>
        <v>0</v>
      </c>
      <c r="G65" s="139"/>
      <c r="H65" s="138">
        <f>'Ansatt Z'!$AK$7</f>
        <v>0</v>
      </c>
      <c r="I65" s="139"/>
      <c r="J65" s="138">
        <f>'Ansatt Z'!$AK$8</f>
        <v>0</v>
      </c>
      <c r="K65" s="139"/>
      <c r="L65" s="138">
        <f>'Ansatt Z'!$AK$9</f>
        <v>0</v>
      </c>
      <c r="M65" s="139"/>
      <c r="N65" s="138">
        <f>'Ansatt Z'!$AK$10</f>
        <v>0</v>
      </c>
      <c r="O65" s="139"/>
      <c r="P65" s="138">
        <f>'Ansatt Z'!$AK$11</f>
        <v>0</v>
      </c>
      <c r="Q65" s="139"/>
      <c r="R65" s="138">
        <f>'Ansatt Z'!$AK$12</f>
        <v>0</v>
      </c>
      <c r="S65" s="139"/>
      <c r="T65" s="138">
        <f>'Ansatt Z'!$AK$13</f>
        <v>0</v>
      </c>
      <c r="U65" s="139"/>
      <c r="V65" s="138">
        <f>'Ansatt Z'!$AK$14</f>
        <v>0</v>
      </c>
      <c r="W65" s="139"/>
      <c r="X65" s="138">
        <f>'Ansatt Z'!$AK$15</f>
        <v>0</v>
      </c>
      <c r="Y65" s="139"/>
      <c r="Z65" s="138">
        <f>'Ansatt Z'!$AK$16</f>
        <v>0</v>
      </c>
      <c r="AA65" s="139"/>
      <c r="AB65" s="138">
        <f>'Ansatt Z'!$AK$17</f>
        <v>0</v>
      </c>
      <c r="AC65" s="139"/>
      <c r="AD65" s="116">
        <f t="shared" si="3"/>
        <v>0</v>
      </c>
      <c r="AE65" s="117"/>
      <c r="AF65" s="118"/>
      <c r="AG65" s="121">
        <f t="shared" si="2"/>
        <v>0</v>
      </c>
      <c r="AH65" s="122"/>
      <c r="AI65" s="123"/>
      <c r="AJ65" s="113">
        <v>12</v>
      </c>
      <c r="AK65" s="113"/>
      <c r="AL65" s="113"/>
      <c r="AM65" s="151"/>
      <c r="AN65" s="149"/>
      <c r="AO65" s="149"/>
      <c r="AP65" s="150"/>
      <c r="AQ65" s="148"/>
      <c r="AR65" s="149"/>
      <c r="AS65" s="149"/>
      <c r="AT65" s="150"/>
      <c r="AU65" s="113"/>
      <c r="AV65" s="113"/>
      <c r="AW65" s="114"/>
      <c r="AX65" s="107" t="str">
        <f>IF(OR('Ansatt Z'!$B$45&gt;0,'Ansatt Z'!$B$67&gt;0,'Ansatt Z'!$B$70&gt;0),"Ja","Nei")</f>
        <v>Nei</v>
      </c>
      <c r="AY65" s="108"/>
      <c r="AZ65" s="108"/>
      <c r="BA65" s="109"/>
      <c r="BC65" s="155" t="s">
        <v>131</v>
      </c>
      <c r="BD65" s="155"/>
      <c r="BE65" s="155"/>
      <c r="BF65" s="155"/>
      <c r="BG65" s="155"/>
      <c r="BH65" s="155"/>
      <c r="BI65" s="155"/>
      <c r="BJ65" s="155"/>
      <c r="BK65" s="155"/>
      <c r="BL65" s="155"/>
      <c r="BM65" s="155"/>
      <c r="BN65" s="155"/>
      <c r="BO65" s="155"/>
      <c r="BP65" s="155"/>
      <c r="BQ65" s="155"/>
      <c r="BR65" s="155"/>
      <c r="BS65" s="155"/>
      <c r="BT65" s="155"/>
      <c r="BU65" s="155"/>
      <c r="BV65" s="155"/>
      <c r="BW65" s="155"/>
      <c r="BX65" s="155"/>
      <c r="BY65" s="155"/>
      <c r="BZ65" s="155"/>
      <c r="CA65" s="155"/>
      <c r="CB65" s="155"/>
      <c r="CC65" s="155"/>
      <c r="CD65" s="155"/>
      <c r="CE65" s="155"/>
      <c r="CF65" s="155"/>
      <c r="CG65" s="155"/>
    </row>
    <row r="66" spans="1:95" s="40" customFormat="1" ht="13.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AP66" s="43"/>
      <c r="AQ66" s="55"/>
      <c r="AR66" s="55"/>
      <c r="AS66" s="55"/>
      <c r="AT66" s="55"/>
      <c r="AU66" s="55"/>
      <c r="AV66" s="55"/>
      <c r="AW66" s="55"/>
      <c r="AX66" s="55"/>
      <c r="AY66" s="55"/>
      <c r="AZ66" s="55"/>
      <c r="BA66" s="55"/>
      <c r="BB66" s="55"/>
      <c r="BC66" s="55"/>
      <c r="BD66" s="55"/>
      <c r="BE66" s="55"/>
      <c r="BF66" s="55"/>
      <c r="BG66" s="55"/>
      <c r="BH66" s="55"/>
      <c r="BI66" s="55"/>
      <c r="BJ66" s="43"/>
      <c r="BK66" s="55"/>
      <c r="BL66" s="55"/>
      <c r="BM66" s="55"/>
      <c r="BN66" s="55"/>
      <c r="BO66" s="55"/>
      <c r="BP66" s="55"/>
      <c r="BQ66" s="55"/>
      <c r="BR66" s="55"/>
      <c r="BS66" s="55"/>
      <c r="BT66" s="55"/>
      <c r="BU66" s="55"/>
      <c r="BV66" s="55"/>
      <c r="BW66" s="55"/>
      <c r="BX66" s="55"/>
      <c r="BY66" s="55"/>
      <c r="BZ66" s="55"/>
      <c r="CA66" s="55"/>
      <c r="CB66" s="55"/>
      <c r="CC66" s="55"/>
      <c r="CD66" s="55"/>
      <c r="CE66" s="55"/>
      <c r="CF66" s="55"/>
      <c r="CG66" s="55"/>
      <c r="CH66" s="55"/>
      <c r="CI66" s="55"/>
      <c r="CJ66" s="55"/>
      <c r="CK66" s="55"/>
      <c r="CL66" s="60"/>
      <c r="CM66" s="60"/>
      <c r="CN66" s="60"/>
      <c r="CO66" s="60"/>
      <c r="CP66" s="60"/>
      <c r="CQ66" s="60"/>
    </row>
    <row r="67" spans="1:95" s="40" customFormat="1" ht="13.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AP67" s="43"/>
      <c r="AQ67" s="55"/>
      <c r="AR67" s="55"/>
      <c r="AS67" s="55"/>
      <c r="AT67" s="55"/>
      <c r="AU67" s="55"/>
      <c r="AV67" s="55"/>
      <c r="AW67" s="55"/>
      <c r="AX67" s="55"/>
      <c r="AY67" s="55"/>
      <c r="AZ67" s="55"/>
      <c r="BA67" s="55"/>
      <c r="BB67" s="55"/>
      <c r="BC67" s="55"/>
      <c r="BD67" s="55"/>
      <c r="BE67" s="55"/>
      <c r="BF67" s="55"/>
      <c r="BG67" s="55"/>
      <c r="BH67" s="55"/>
      <c r="BI67" s="55"/>
      <c r="BJ67" s="43"/>
      <c r="BK67" s="55"/>
      <c r="BL67" s="55"/>
      <c r="BM67" s="55"/>
      <c r="BN67" s="55"/>
      <c r="BO67" s="55"/>
      <c r="BP67" s="55"/>
      <c r="BQ67" s="55"/>
      <c r="BR67" s="55"/>
      <c r="BS67" s="55"/>
      <c r="BT67" s="55"/>
      <c r="BU67" s="55"/>
      <c r="BV67" s="55"/>
      <c r="BW67" s="55"/>
      <c r="BX67" s="55"/>
      <c r="BY67" s="55"/>
      <c r="BZ67" s="55"/>
      <c r="CA67" s="55"/>
      <c r="CB67" s="55"/>
      <c r="CC67" s="55"/>
      <c r="CD67" s="55"/>
      <c r="CE67" s="55"/>
      <c r="CF67" s="55"/>
      <c r="CG67" s="55"/>
      <c r="CH67" s="55"/>
      <c r="CI67" s="55"/>
      <c r="CJ67" s="55"/>
      <c r="CK67" s="55"/>
      <c r="CL67" s="60"/>
      <c r="CM67" s="60"/>
      <c r="CN67" s="60"/>
      <c r="CO67" s="60"/>
      <c r="CP67" s="60"/>
      <c r="CQ67" s="60"/>
    </row>
    <row r="68" spans="1:95" s="40" customFormat="1" ht="13.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AP68" s="43"/>
      <c r="AQ68" s="55"/>
      <c r="AR68" s="55"/>
      <c r="AS68" s="55"/>
      <c r="AT68" s="55"/>
      <c r="AU68" s="55"/>
      <c r="AV68" s="55"/>
      <c r="AW68" s="55"/>
      <c r="AX68" s="55"/>
      <c r="AY68" s="55"/>
      <c r="AZ68" s="55"/>
      <c r="BA68" s="55"/>
      <c r="BB68" s="55"/>
      <c r="BC68" s="55"/>
      <c r="BD68" s="55"/>
      <c r="BE68" s="55"/>
      <c r="BF68" s="55"/>
      <c r="BG68" s="55"/>
      <c r="BH68" s="55"/>
      <c r="BI68" s="55"/>
      <c r="BJ68" s="43"/>
      <c r="BK68" s="55"/>
      <c r="BL68" s="55"/>
      <c r="BM68" s="55"/>
      <c r="BN68" s="55"/>
      <c r="BO68" s="55"/>
      <c r="BP68" s="55"/>
      <c r="BQ68" s="55"/>
      <c r="BR68" s="55"/>
      <c r="BS68" s="55"/>
      <c r="BT68" s="55"/>
      <c r="BU68" s="55"/>
      <c r="BV68" s="55"/>
      <c r="BW68" s="55"/>
      <c r="BX68" s="55"/>
      <c r="BY68" s="55"/>
      <c r="BZ68" s="55"/>
      <c r="CA68" s="55"/>
      <c r="CB68" s="55"/>
      <c r="CC68" s="55"/>
      <c r="CD68" s="55"/>
      <c r="CE68" s="55"/>
      <c r="CF68" s="55"/>
      <c r="CG68" s="55"/>
      <c r="CH68" s="55"/>
      <c r="CI68" s="55"/>
      <c r="CJ68" s="55"/>
      <c r="CK68" s="55"/>
      <c r="CL68" s="60"/>
      <c r="CM68" s="60"/>
      <c r="CN68" s="60"/>
      <c r="CO68" s="60"/>
      <c r="CP68" s="60"/>
      <c r="CQ68" s="60"/>
    </row>
    <row r="69" spans="1:95" s="40" customFormat="1" ht="13.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AP69" s="43"/>
      <c r="AQ69" s="55"/>
      <c r="AR69" s="55"/>
      <c r="AS69" s="55"/>
      <c r="AT69" s="55"/>
      <c r="AU69" s="55"/>
      <c r="AV69" s="55"/>
      <c r="AW69" s="55"/>
      <c r="AX69" s="55"/>
      <c r="AY69" s="55"/>
      <c r="AZ69" s="55"/>
      <c r="BA69" s="55"/>
      <c r="BB69" s="55"/>
      <c r="BC69" s="55"/>
      <c r="BD69" s="55"/>
      <c r="BE69" s="55"/>
      <c r="BF69" s="55"/>
      <c r="BG69" s="55"/>
      <c r="BH69" s="55"/>
      <c r="BI69" s="55"/>
      <c r="BJ69" s="43"/>
      <c r="BK69" s="55"/>
      <c r="BL69" s="55"/>
      <c r="BM69" s="55"/>
      <c r="BN69" s="55"/>
      <c r="BO69" s="55"/>
      <c r="BP69" s="55"/>
      <c r="BQ69" s="55"/>
      <c r="BR69" s="55"/>
      <c r="BS69" s="55"/>
      <c r="BT69" s="55"/>
      <c r="BU69" s="55"/>
      <c r="BV69" s="55"/>
      <c r="BW69" s="55"/>
      <c r="BX69" s="55"/>
      <c r="BY69" s="55"/>
      <c r="BZ69" s="55"/>
      <c r="CA69" s="55"/>
      <c r="CB69" s="55"/>
      <c r="CC69" s="55"/>
      <c r="CD69" s="55"/>
      <c r="CE69" s="55"/>
      <c r="CF69" s="55"/>
      <c r="CG69" s="55"/>
      <c r="CH69" s="55"/>
      <c r="CI69" s="55"/>
      <c r="CJ69" s="55"/>
      <c r="CK69" s="55"/>
      <c r="CL69" s="60"/>
      <c r="CM69" s="60"/>
      <c r="CN69" s="60"/>
      <c r="CO69" s="60"/>
      <c r="CP69" s="60"/>
      <c r="CQ69" s="60"/>
    </row>
    <row r="70" spans="1:95" s="40" customFormat="1" ht="13.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AP70" s="43"/>
      <c r="AQ70" s="55"/>
      <c r="AR70" s="55"/>
      <c r="AS70" s="55"/>
      <c r="AT70" s="55"/>
      <c r="AU70" s="55"/>
      <c r="AV70" s="55"/>
      <c r="AW70" s="55"/>
      <c r="AX70" s="55"/>
      <c r="AY70" s="55"/>
      <c r="AZ70" s="55"/>
      <c r="BA70" s="55"/>
      <c r="BB70" s="55"/>
      <c r="BC70" s="55"/>
      <c r="BD70" s="55"/>
      <c r="BE70" s="55"/>
      <c r="BF70" s="55"/>
      <c r="BG70" s="55"/>
      <c r="BH70" s="55"/>
      <c r="BI70" s="55"/>
      <c r="BJ70" s="43"/>
      <c r="BK70" s="55"/>
      <c r="BL70" s="55"/>
      <c r="BM70" s="55"/>
      <c r="BN70" s="55"/>
      <c r="BO70" s="55"/>
      <c r="BP70" s="55"/>
      <c r="BQ70" s="55"/>
      <c r="BR70" s="55"/>
      <c r="BS70" s="55"/>
      <c r="BT70" s="55"/>
      <c r="BU70" s="55"/>
      <c r="BV70" s="55"/>
      <c r="BW70" s="55"/>
      <c r="BX70" s="55"/>
      <c r="BY70" s="55"/>
      <c r="BZ70" s="55"/>
      <c r="CA70" s="55"/>
      <c r="CB70" s="55"/>
      <c r="CC70" s="55"/>
      <c r="CD70" s="55"/>
      <c r="CE70" s="55"/>
      <c r="CF70" s="55"/>
      <c r="CG70" s="55"/>
      <c r="CH70" s="55"/>
      <c r="CI70" s="55"/>
      <c r="CJ70" s="55"/>
      <c r="CK70" s="55"/>
      <c r="CL70" s="60"/>
      <c r="CM70" s="60"/>
      <c r="CN70" s="60"/>
      <c r="CO70" s="60"/>
      <c r="CP70" s="60"/>
      <c r="CQ70" s="60"/>
    </row>
    <row r="71" spans="1:95" s="40" customFormat="1" ht="13.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AP71" s="43"/>
      <c r="AQ71" s="55"/>
      <c r="AR71" s="55"/>
      <c r="AS71" s="55"/>
      <c r="AT71" s="55"/>
      <c r="AU71" s="55"/>
      <c r="AV71" s="55"/>
      <c r="AW71" s="55"/>
      <c r="AX71" s="55"/>
      <c r="AY71" s="55"/>
      <c r="AZ71" s="55"/>
      <c r="BA71" s="55"/>
      <c r="BB71" s="55"/>
      <c r="BC71" s="55"/>
      <c r="BD71" s="55"/>
      <c r="BE71" s="55"/>
      <c r="BF71" s="55"/>
      <c r="BG71" s="55"/>
      <c r="BH71" s="55"/>
      <c r="BI71" s="55"/>
      <c r="BJ71" s="55"/>
      <c r="BK71" s="55"/>
      <c r="BL71" s="55"/>
      <c r="BM71" s="55"/>
      <c r="BN71" s="55"/>
      <c r="BO71" s="55"/>
      <c r="BP71" s="55"/>
      <c r="BQ71" s="55"/>
      <c r="BR71" s="55"/>
      <c r="BS71" s="55"/>
      <c r="BT71" s="55"/>
      <c r="BU71" s="55"/>
      <c r="BV71" s="55"/>
      <c r="BW71" s="55"/>
      <c r="BX71" s="55"/>
      <c r="BY71" s="55"/>
      <c r="BZ71" s="55"/>
      <c r="CA71" s="55"/>
      <c r="CB71" s="55"/>
      <c r="CC71" s="55"/>
      <c r="CD71" s="55"/>
      <c r="CE71" s="55"/>
      <c r="CF71" s="55"/>
      <c r="CG71" s="55"/>
      <c r="CH71" s="55"/>
      <c r="CI71" s="55"/>
      <c r="CJ71" s="55"/>
      <c r="CK71" s="55"/>
      <c r="CL71" s="60"/>
      <c r="CM71" s="60"/>
      <c r="CN71" s="60"/>
      <c r="CO71" s="60"/>
      <c r="CP71" s="60"/>
      <c r="CQ71" s="60"/>
    </row>
    <row r="72" spans="1:95" s="40" customFormat="1" ht="13.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AP72" s="43"/>
      <c r="AQ72" s="55"/>
      <c r="AR72" s="55"/>
      <c r="AS72" s="55"/>
      <c r="AT72" s="55"/>
      <c r="AU72" s="55"/>
      <c r="AV72" s="55"/>
      <c r="AW72" s="55"/>
      <c r="AX72" s="55"/>
      <c r="AY72" s="55"/>
      <c r="AZ72" s="55"/>
      <c r="BA72" s="55"/>
      <c r="BB72" s="55"/>
      <c r="BC72" s="55"/>
      <c r="BD72" s="55"/>
      <c r="BE72" s="55"/>
      <c r="BF72" s="55"/>
      <c r="BG72" s="55"/>
      <c r="BH72" s="55"/>
      <c r="BI72" s="55"/>
      <c r="BJ72" s="55"/>
      <c r="BK72" s="55"/>
      <c r="BL72" s="55"/>
      <c r="BM72" s="55"/>
      <c r="BN72" s="55"/>
      <c r="BO72" s="55"/>
      <c r="BP72" s="55"/>
      <c r="BQ72" s="55"/>
      <c r="BR72" s="55"/>
      <c r="BS72" s="55"/>
      <c r="BT72" s="55"/>
      <c r="BU72" s="55"/>
      <c r="BV72" s="55"/>
      <c r="BW72" s="55"/>
      <c r="BX72" s="55"/>
      <c r="BY72" s="55"/>
      <c r="BZ72" s="55"/>
      <c r="CA72" s="55"/>
      <c r="CB72" s="55"/>
      <c r="CC72" s="55"/>
      <c r="CD72" s="55"/>
      <c r="CE72" s="55"/>
      <c r="CF72" s="55"/>
      <c r="CG72" s="55"/>
      <c r="CH72" s="55"/>
      <c r="CI72" s="55"/>
      <c r="CJ72" s="55"/>
      <c r="CK72" s="55"/>
      <c r="CL72" s="60"/>
      <c r="CM72" s="60"/>
      <c r="CN72" s="60"/>
      <c r="CO72" s="60"/>
      <c r="CP72" s="60"/>
      <c r="CQ72" s="60"/>
    </row>
    <row r="73" spans="1:95" s="40" customFormat="1" ht="13.5" customHeight="1" x14ac:dyDescent="0.25">
      <c r="A73" s="3"/>
      <c r="B73" s="3"/>
      <c r="C73" s="3"/>
      <c r="D73" s="3"/>
      <c r="E73" s="3"/>
      <c r="F73" s="3"/>
      <c r="G73" s="3"/>
      <c r="H73" s="3"/>
      <c r="AP73" s="43"/>
      <c r="AQ73" s="55"/>
      <c r="AR73" s="55"/>
      <c r="AS73" s="55"/>
      <c r="AT73" s="55"/>
      <c r="AU73" s="55"/>
      <c r="AV73" s="55"/>
      <c r="AW73" s="55"/>
      <c r="AX73" s="55"/>
      <c r="AY73" s="55"/>
      <c r="AZ73" s="55"/>
      <c r="BA73" s="55"/>
      <c r="BB73" s="55"/>
      <c r="BC73" s="55"/>
      <c r="BD73" s="55"/>
      <c r="BE73" s="55"/>
      <c r="BF73" s="55"/>
      <c r="BG73" s="55"/>
      <c r="BH73" s="55"/>
      <c r="BI73" s="55"/>
      <c r="BJ73" s="55"/>
      <c r="BK73" s="55"/>
      <c r="BL73" s="55"/>
      <c r="BM73" s="55"/>
      <c r="BN73" s="55"/>
      <c r="BO73" s="55"/>
      <c r="BP73" s="55"/>
      <c r="BQ73" s="55"/>
      <c r="BR73" s="55"/>
      <c r="BS73" s="55"/>
      <c r="BT73" s="55"/>
      <c r="BU73" s="55"/>
      <c r="BV73" s="55"/>
      <c r="BW73" s="55"/>
      <c r="BX73" s="55"/>
      <c r="BY73" s="55"/>
      <c r="BZ73" s="55"/>
      <c r="CA73" s="55"/>
      <c r="CB73" s="55"/>
      <c r="CC73" s="55"/>
      <c r="CD73" s="55"/>
      <c r="CE73" s="55"/>
      <c r="CF73" s="55"/>
      <c r="CG73" s="55"/>
      <c r="CH73" s="55"/>
      <c r="CI73" s="55"/>
      <c r="CJ73" s="55"/>
      <c r="CK73" s="55"/>
      <c r="CL73" s="60"/>
      <c r="CM73" s="60"/>
      <c r="CN73" s="60"/>
      <c r="CO73" s="60"/>
      <c r="CP73" s="60"/>
      <c r="CQ73" s="60"/>
    </row>
    <row r="74" spans="1:95" s="40" customFormat="1" ht="13.5" customHeight="1" x14ac:dyDescent="0.25">
      <c r="A74" s="3"/>
      <c r="B74" s="3"/>
      <c r="C74" s="3"/>
      <c r="D74" s="3"/>
      <c r="E74" s="3"/>
      <c r="F74" s="3"/>
      <c r="G74" s="3"/>
      <c r="H74" s="3"/>
      <c r="AP74" s="43"/>
      <c r="AQ74" s="55"/>
      <c r="AR74" s="55"/>
      <c r="AS74" s="55"/>
      <c r="AT74" s="55"/>
      <c r="AU74" s="55"/>
      <c r="AV74" s="55"/>
      <c r="AW74" s="55"/>
      <c r="AX74" s="55"/>
      <c r="AY74" s="55"/>
      <c r="AZ74" s="55"/>
      <c r="BA74" s="55"/>
      <c r="BB74" s="55"/>
      <c r="BC74" s="55"/>
      <c r="BD74" s="55"/>
      <c r="BE74" s="55"/>
      <c r="BF74" s="55"/>
      <c r="BG74" s="55"/>
      <c r="BH74" s="55"/>
      <c r="BI74" s="55"/>
      <c r="BJ74" s="55"/>
      <c r="BK74" s="55"/>
      <c r="BL74" s="55"/>
      <c r="BM74" s="55"/>
      <c r="BN74" s="55"/>
      <c r="BO74" s="55"/>
      <c r="BP74" s="55"/>
      <c r="BQ74" s="55"/>
      <c r="BR74" s="55"/>
      <c r="BS74" s="55"/>
      <c r="BT74" s="55"/>
      <c r="BU74" s="55"/>
      <c r="BV74" s="55"/>
      <c r="BW74" s="55"/>
      <c r="BX74" s="55"/>
      <c r="BY74" s="55"/>
      <c r="BZ74" s="55"/>
      <c r="CA74" s="55"/>
      <c r="CB74" s="55"/>
      <c r="CC74" s="55"/>
      <c r="CD74" s="55"/>
      <c r="CE74" s="55"/>
      <c r="CF74" s="55"/>
      <c r="CG74" s="55"/>
      <c r="CH74" s="55"/>
      <c r="CI74" s="55"/>
      <c r="CJ74" s="55"/>
      <c r="CK74" s="55"/>
      <c r="CL74" s="60"/>
      <c r="CM74" s="60"/>
      <c r="CN74" s="60"/>
      <c r="CO74" s="60"/>
      <c r="CP74" s="60"/>
      <c r="CQ74" s="60"/>
    </row>
    <row r="75" spans="1:95" s="40" customFormat="1" ht="13.5" customHeight="1" x14ac:dyDescent="0.25">
      <c r="A75" s="3"/>
      <c r="B75" s="3"/>
      <c r="C75" s="3"/>
      <c r="D75" s="3"/>
      <c r="E75" s="3"/>
      <c r="F75" s="3"/>
      <c r="G75" s="3"/>
      <c r="H75" s="3"/>
      <c r="AP75" s="43"/>
      <c r="AQ75" s="55"/>
      <c r="AR75" s="55"/>
      <c r="AS75" s="55"/>
      <c r="AT75" s="55"/>
      <c r="AU75" s="55"/>
      <c r="AV75" s="55"/>
      <c r="AW75" s="55"/>
      <c r="AX75" s="55"/>
      <c r="AY75" s="55"/>
      <c r="AZ75" s="55"/>
      <c r="BA75" s="55"/>
      <c r="BB75" s="55"/>
      <c r="BC75" s="55"/>
      <c r="BD75" s="55"/>
      <c r="BE75" s="55"/>
      <c r="BF75" s="55"/>
      <c r="BG75" s="55"/>
      <c r="BH75" s="55"/>
      <c r="BI75" s="55"/>
      <c r="BJ75" s="55"/>
      <c r="BK75" s="55"/>
      <c r="BL75" s="55"/>
      <c r="BM75" s="55"/>
      <c r="BN75" s="55"/>
      <c r="BO75" s="55"/>
      <c r="BP75" s="55"/>
      <c r="BQ75" s="55"/>
      <c r="BR75" s="55"/>
      <c r="BS75" s="55"/>
      <c r="BT75" s="55"/>
      <c r="BU75" s="55"/>
      <c r="BV75" s="55"/>
      <c r="BW75" s="55"/>
      <c r="BX75" s="55"/>
      <c r="BY75" s="55"/>
      <c r="BZ75" s="55"/>
      <c r="CA75" s="55"/>
      <c r="CB75" s="55"/>
      <c r="CC75" s="55"/>
      <c r="CD75" s="55"/>
      <c r="CE75" s="55"/>
      <c r="CF75" s="55"/>
      <c r="CG75" s="55"/>
      <c r="CH75" s="55"/>
      <c r="CI75" s="55"/>
      <c r="CJ75" s="55"/>
      <c r="CK75" s="55"/>
      <c r="CL75" s="60"/>
      <c r="CM75" s="60"/>
      <c r="CN75" s="60"/>
      <c r="CO75" s="60"/>
      <c r="CP75" s="60"/>
      <c r="CQ75" s="60"/>
    </row>
    <row r="76" spans="1:95" s="40" customFormat="1" ht="13.5" customHeight="1" x14ac:dyDescent="0.25">
      <c r="A76" s="3"/>
      <c r="B76" s="3"/>
      <c r="C76" s="3"/>
      <c r="D76" s="3"/>
      <c r="E76" s="3"/>
      <c r="F76" s="3"/>
      <c r="G76" s="3"/>
      <c r="H76" s="3"/>
      <c r="AP76" s="43"/>
      <c r="AQ76" s="55"/>
      <c r="AR76" s="55"/>
      <c r="AS76" s="55"/>
      <c r="AT76" s="55"/>
      <c r="AU76" s="55"/>
      <c r="AV76" s="55"/>
      <c r="AW76" s="55"/>
      <c r="AX76" s="55"/>
      <c r="AY76" s="55"/>
      <c r="AZ76" s="55"/>
      <c r="BA76" s="55"/>
      <c r="BB76" s="55"/>
      <c r="BC76" s="55"/>
      <c r="BD76" s="55"/>
      <c r="BE76" s="55"/>
      <c r="BF76" s="55"/>
      <c r="BG76" s="55"/>
      <c r="BH76" s="55"/>
      <c r="BI76" s="55"/>
      <c r="BJ76" s="55"/>
      <c r="BK76" s="55"/>
      <c r="BL76" s="55"/>
      <c r="BM76" s="55"/>
      <c r="BN76" s="55"/>
      <c r="BO76" s="55"/>
      <c r="BP76" s="55"/>
      <c r="BQ76" s="55"/>
      <c r="BR76" s="55"/>
      <c r="BS76" s="55"/>
      <c r="BT76" s="55"/>
      <c r="BU76" s="55"/>
      <c r="BV76" s="55"/>
      <c r="BW76" s="55"/>
      <c r="BX76" s="55"/>
      <c r="BY76" s="55"/>
      <c r="BZ76" s="55"/>
      <c r="CA76" s="55"/>
      <c r="CB76" s="55"/>
      <c r="CC76" s="55"/>
      <c r="CD76" s="55"/>
      <c r="CE76" s="55"/>
      <c r="CF76" s="55"/>
      <c r="CG76" s="55"/>
      <c r="CH76" s="55"/>
      <c r="CI76" s="55"/>
      <c r="CJ76" s="55"/>
      <c r="CK76" s="55"/>
      <c r="CL76" s="60"/>
      <c r="CM76" s="60"/>
      <c r="CN76" s="60"/>
      <c r="CO76" s="60"/>
      <c r="CP76" s="60"/>
      <c r="CQ76" s="60"/>
    </row>
    <row r="77" spans="1:95" s="40" customFormat="1" ht="13.5" customHeight="1" x14ac:dyDescent="0.25">
      <c r="A77" s="3"/>
      <c r="B77" s="3"/>
      <c r="C77" s="3"/>
      <c r="D77" s="3"/>
      <c r="E77" s="3"/>
      <c r="F77" s="3"/>
      <c r="G77" s="3"/>
      <c r="H77" s="3"/>
      <c r="AP77" s="43"/>
      <c r="AQ77" s="55"/>
      <c r="AR77" s="55"/>
      <c r="AS77" s="55"/>
      <c r="AT77" s="55"/>
      <c r="AU77" s="55"/>
      <c r="AV77" s="55"/>
      <c r="AW77" s="55"/>
      <c r="AX77" s="55"/>
      <c r="AY77" s="55"/>
      <c r="AZ77" s="55"/>
      <c r="BA77" s="55"/>
      <c r="BB77" s="55"/>
      <c r="BC77" s="55"/>
      <c r="BD77" s="55"/>
      <c r="BE77" s="55"/>
      <c r="BF77" s="55"/>
      <c r="BG77" s="55"/>
      <c r="BH77" s="55"/>
      <c r="BI77" s="55"/>
      <c r="BJ77" s="55"/>
      <c r="BK77" s="55"/>
      <c r="BL77" s="55"/>
      <c r="BM77" s="55"/>
      <c r="BN77" s="55"/>
      <c r="BO77" s="55"/>
      <c r="BP77" s="55"/>
      <c r="BQ77" s="55"/>
      <c r="BR77" s="55"/>
      <c r="BS77" s="55"/>
      <c r="BT77" s="55"/>
      <c r="BU77" s="55"/>
      <c r="BV77" s="55"/>
      <c r="BW77" s="55"/>
      <c r="BX77" s="55"/>
      <c r="BY77" s="55"/>
      <c r="BZ77" s="55"/>
      <c r="CA77" s="55"/>
      <c r="CB77" s="55"/>
      <c r="CC77" s="55"/>
      <c r="CD77" s="55"/>
      <c r="CE77" s="55"/>
      <c r="CF77" s="55"/>
      <c r="CG77" s="55"/>
      <c r="CH77" s="55"/>
      <c r="CI77" s="55"/>
      <c r="CJ77" s="55"/>
      <c r="CK77" s="55"/>
      <c r="CL77" s="60"/>
      <c r="CM77" s="60"/>
      <c r="CN77" s="60"/>
      <c r="CO77" s="60"/>
      <c r="CP77" s="60"/>
      <c r="CQ77" s="60"/>
    </row>
    <row r="78" spans="1:95" s="40" customFormat="1" ht="13.5" customHeight="1" x14ac:dyDescent="0.25">
      <c r="A78" s="3"/>
      <c r="B78" s="3"/>
      <c r="C78" s="3"/>
      <c r="D78" s="3"/>
      <c r="E78" s="3"/>
      <c r="F78" s="3"/>
      <c r="G78" s="3"/>
      <c r="H78" s="3"/>
      <c r="AP78" s="43"/>
      <c r="AQ78" s="55"/>
      <c r="AR78" s="55"/>
      <c r="AS78" s="55"/>
      <c r="AT78" s="55"/>
      <c r="AU78" s="55"/>
      <c r="AV78" s="55"/>
      <c r="AW78" s="55"/>
      <c r="AX78" s="55"/>
      <c r="AY78" s="55"/>
      <c r="AZ78" s="55"/>
      <c r="BA78" s="55"/>
      <c r="BB78" s="55"/>
      <c r="BC78" s="55"/>
      <c r="BD78" s="55"/>
      <c r="BE78" s="55"/>
      <c r="BF78" s="55"/>
      <c r="BG78" s="55"/>
      <c r="BH78" s="55"/>
      <c r="BI78" s="55"/>
      <c r="BJ78" s="55"/>
      <c r="BK78" s="55"/>
      <c r="BL78" s="55"/>
      <c r="BM78" s="55"/>
      <c r="BN78" s="55"/>
      <c r="BO78" s="55"/>
      <c r="BP78" s="55"/>
      <c r="BQ78" s="55"/>
      <c r="BR78" s="55"/>
      <c r="BS78" s="55"/>
      <c r="BT78" s="55"/>
      <c r="BU78" s="55"/>
      <c r="BV78" s="55"/>
      <c r="BW78" s="55"/>
      <c r="BX78" s="55"/>
      <c r="BY78" s="55"/>
      <c r="BZ78" s="55"/>
      <c r="CA78" s="55"/>
      <c r="CB78" s="55"/>
      <c r="CC78" s="55"/>
      <c r="CD78" s="55"/>
      <c r="CE78" s="55"/>
      <c r="CF78" s="55"/>
      <c r="CG78" s="55"/>
      <c r="CH78" s="55"/>
      <c r="CI78" s="55"/>
      <c r="CJ78" s="55"/>
      <c r="CK78" s="55"/>
      <c r="CL78" s="60"/>
      <c r="CM78" s="60"/>
      <c r="CN78" s="60"/>
      <c r="CO78" s="60"/>
      <c r="CP78" s="60"/>
      <c r="CQ78" s="60"/>
    </row>
    <row r="79" spans="1:95" s="40" customFormat="1" ht="13.5" customHeight="1" x14ac:dyDescent="0.25">
      <c r="A79" s="3"/>
      <c r="B79" s="3"/>
      <c r="C79" s="3"/>
      <c r="D79" s="3"/>
      <c r="E79" s="3"/>
      <c r="F79" s="3"/>
      <c r="G79" s="3"/>
      <c r="H79" s="3"/>
      <c r="AP79" s="43"/>
      <c r="AQ79" s="55"/>
      <c r="AR79" s="55"/>
      <c r="AS79" s="55"/>
      <c r="AT79" s="55"/>
      <c r="AU79" s="55"/>
      <c r="AV79" s="55"/>
      <c r="AW79" s="55"/>
      <c r="AX79" s="55"/>
      <c r="AY79" s="55"/>
      <c r="AZ79" s="55"/>
      <c r="BA79" s="55"/>
      <c r="BB79" s="55"/>
      <c r="BC79" s="55"/>
      <c r="BD79" s="55"/>
      <c r="BE79" s="55"/>
      <c r="BF79" s="55"/>
      <c r="BG79" s="55"/>
      <c r="BH79" s="55"/>
      <c r="BI79" s="55"/>
      <c r="BJ79" s="55"/>
      <c r="BK79" s="55"/>
      <c r="BL79" s="55"/>
      <c r="BM79" s="55"/>
      <c r="BN79" s="55"/>
      <c r="BO79" s="55"/>
      <c r="BP79" s="55"/>
      <c r="BQ79" s="55"/>
      <c r="BR79" s="55"/>
      <c r="BS79" s="55"/>
      <c r="BT79" s="55"/>
      <c r="BU79" s="55"/>
      <c r="BV79" s="55"/>
      <c r="BW79" s="55"/>
      <c r="BX79" s="55"/>
      <c r="BY79" s="55"/>
      <c r="BZ79" s="55"/>
      <c r="CA79" s="55"/>
      <c r="CB79" s="55"/>
      <c r="CC79" s="55"/>
      <c r="CD79" s="55"/>
      <c r="CE79" s="55"/>
      <c r="CF79" s="55"/>
      <c r="CG79" s="55"/>
      <c r="CH79" s="55"/>
      <c r="CI79" s="55"/>
      <c r="CJ79" s="55"/>
      <c r="CK79" s="55"/>
      <c r="CL79" s="60"/>
      <c r="CM79" s="60"/>
      <c r="CN79" s="60"/>
      <c r="CO79" s="60"/>
      <c r="CP79" s="60"/>
      <c r="CQ79" s="60"/>
    </row>
    <row r="80" spans="1:95" s="40" customFormat="1" ht="13.5" customHeight="1" x14ac:dyDescent="0.25">
      <c r="A80" s="3"/>
      <c r="B80" s="3"/>
      <c r="C80" s="3"/>
      <c r="D80" s="3"/>
      <c r="E80" s="3"/>
      <c r="F80" s="3"/>
      <c r="G80" s="3"/>
      <c r="H80" s="3"/>
      <c r="AP80" s="43"/>
      <c r="AQ80" s="55"/>
      <c r="AR80" s="55"/>
      <c r="AS80" s="55"/>
      <c r="AT80" s="55"/>
      <c r="AU80" s="55"/>
      <c r="AV80" s="55"/>
      <c r="AW80" s="55"/>
      <c r="AX80" s="55"/>
      <c r="AY80" s="55"/>
      <c r="AZ80" s="55"/>
      <c r="BA80" s="55"/>
      <c r="BB80" s="55"/>
      <c r="BC80" s="55"/>
      <c r="BD80" s="55"/>
      <c r="BE80" s="55"/>
      <c r="BF80" s="55"/>
      <c r="BG80" s="55"/>
      <c r="BH80" s="55"/>
      <c r="BI80" s="55"/>
      <c r="BJ80" s="55"/>
      <c r="BK80" s="55"/>
      <c r="BL80" s="55"/>
      <c r="BM80" s="55"/>
      <c r="BN80" s="55"/>
      <c r="BO80" s="55"/>
      <c r="BP80" s="55"/>
      <c r="BQ80" s="55"/>
      <c r="BR80" s="55"/>
      <c r="BS80" s="55"/>
      <c r="BT80" s="55"/>
      <c r="BU80" s="55"/>
      <c r="BV80" s="55"/>
      <c r="BW80" s="55"/>
      <c r="BX80" s="55"/>
      <c r="BY80" s="55"/>
      <c r="BZ80" s="55"/>
      <c r="CA80" s="55"/>
      <c r="CB80" s="55"/>
      <c r="CC80" s="55"/>
      <c r="CD80" s="55"/>
      <c r="CE80" s="55"/>
      <c r="CF80" s="55"/>
      <c r="CG80" s="55"/>
      <c r="CH80" s="55"/>
      <c r="CI80" s="55"/>
      <c r="CJ80" s="55"/>
      <c r="CK80" s="55"/>
      <c r="CL80" s="60"/>
      <c r="CM80" s="60"/>
      <c r="CN80" s="60"/>
      <c r="CO80" s="60"/>
      <c r="CP80" s="60"/>
      <c r="CQ80" s="60"/>
    </row>
    <row r="81" spans="1:95" s="40" customFormat="1" ht="13.5" customHeight="1" x14ac:dyDescent="0.25">
      <c r="A81" s="3"/>
      <c r="B81" s="3"/>
      <c r="C81" s="3"/>
      <c r="D81" s="3"/>
      <c r="E81" s="3"/>
      <c r="F81" s="3"/>
      <c r="G81" s="3"/>
      <c r="H81" s="3"/>
      <c r="AP81" s="43"/>
      <c r="AQ81" s="55"/>
      <c r="AR81" s="55"/>
      <c r="AS81" s="55"/>
      <c r="AT81" s="55"/>
      <c r="AU81" s="55"/>
      <c r="AV81" s="55"/>
      <c r="AW81" s="55"/>
      <c r="AX81" s="55"/>
      <c r="AY81" s="55"/>
      <c r="AZ81" s="55"/>
      <c r="BA81" s="55"/>
      <c r="BB81" s="55"/>
      <c r="BC81" s="55"/>
      <c r="BD81" s="55"/>
      <c r="BE81" s="55"/>
      <c r="BF81" s="55"/>
      <c r="BG81" s="55"/>
      <c r="BH81" s="55"/>
      <c r="BI81" s="55"/>
      <c r="BJ81" s="55"/>
      <c r="BK81" s="55"/>
      <c r="BL81" s="55"/>
      <c r="BM81" s="55"/>
      <c r="BN81" s="55"/>
      <c r="BO81" s="55"/>
      <c r="BP81" s="55"/>
      <c r="BQ81" s="55"/>
      <c r="BR81" s="55"/>
      <c r="BS81" s="55"/>
      <c r="BT81" s="55"/>
      <c r="BU81" s="55"/>
      <c r="BV81" s="55"/>
      <c r="BW81" s="55"/>
      <c r="BX81" s="55"/>
      <c r="BY81" s="55"/>
      <c r="BZ81" s="55"/>
      <c r="CA81" s="55"/>
      <c r="CB81" s="55"/>
      <c r="CC81" s="55"/>
      <c r="CD81" s="55"/>
      <c r="CE81" s="55"/>
      <c r="CF81" s="55"/>
      <c r="CG81" s="55"/>
      <c r="CH81" s="55"/>
      <c r="CI81" s="55"/>
      <c r="CJ81" s="55"/>
      <c r="CK81" s="55"/>
      <c r="CL81" s="60"/>
      <c r="CM81" s="60"/>
      <c r="CN81" s="60"/>
      <c r="CO81" s="60"/>
      <c r="CP81" s="60"/>
      <c r="CQ81" s="60"/>
    </row>
    <row r="82" spans="1:95" s="40" customFormat="1" ht="13.5" customHeight="1" x14ac:dyDescent="0.25">
      <c r="A82" s="3"/>
      <c r="B82" s="3"/>
      <c r="C82" s="3"/>
      <c r="D82" s="3"/>
      <c r="E82" s="3"/>
      <c r="F82" s="3"/>
      <c r="G82" s="3"/>
      <c r="H82" s="3"/>
      <c r="AP82" s="43"/>
      <c r="AQ82" s="55"/>
      <c r="AR82" s="55"/>
      <c r="AS82" s="55"/>
      <c r="AT82" s="55"/>
      <c r="AU82" s="55"/>
      <c r="AV82" s="55"/>
      <c r="AW82" s="55"/>
      <c r="AX82" s="55"/>
      <c r="AY82" s="55"/>
      <c r="AZ82" s="55"/>
      <c r="BA82" s="55"/>
      <c r="BB82" s="55"/>
      <c r="BC82" s="55"/>
      <c r="BD82" s="55"/>
      <c r="BE82" s="55"/>
      <c r="BF82" s="55"/>
      <c r="BG82" s="55"/>
      <c r="BH82" s="55"/>
      <c r="BI82" s="55"/>
      <c r="BJ82" s="55"/>
      <c r="BK82" s="55"/>
      <c r="BL82" s="55"/>
      <c r="BM82" s="55"/>
      <c r="BN82" s="55"/>
      <c r="BO82" s="55"/>
      <c r="BP82" s="55"/>
      <c r="BQ82" s="55"/>
      <c r="BR82" s="55"/>
      <c r="BS82" s="55"/>
      <c r="BT82" s="55"/>
      <c r="BU82" s="55"/>
      <c r="BV82" s="55"/>
      <c r="BW82" s="55"/>
      <c r="BX82" s="55"/>
      <c r="BY82" s="55"/>
      <c r="BZ82" s="55"/>
      <c r="CA82" s="55"/>
      <c r="CB82" s="55"/>
      <c r="CC82" s="55"/>
      <c r="CD82" s="55"/>
      <c r="CE82" s="55"/>
      <c r="CF82" s="55"/>
      <c r="CG82" s="55"/>
      <c r="CH82" s="55"/>
      <c r="CI82" s="55"/>
      <c r="CJ82" s="55"/>
      <c r="CK82" s="55"/>
      <c r="CL82" s="60"/>
      <c r="CM82" s="60"/>
      <c r="CN82" s="60"/>
      <c r="CO82" s="60"/>
      <c r="CP82" s="60"/>
      <c r="CQ82" s="60"/>
    </row>
    <row r="83" spans="1:95" s="40" customFormat="1" ht="13.5" customHeight="1" x14ac:dyDescent="0.25">
      <c r="A83" s="3"/>
      <c r="B83" s="3"/>
      <c r="C83" s="3"/>
      <c r="D83" s="3"/>
      <c r="E83" s="3"/>
      <c r="F83" s="3"/>
      <c r="G83" s="3"/>
      <c r="H83" s="3"/>
      <c r="AP83" s="43"/>
      <c r="AQ83" s="55"/>
      <c r="AR83" s="55"/>
      <c r="AS83" s="55"/>
      <c r="AT83" s="55"/>
      <c r="AU83" s="55"/>
      <c r="AV83" s="55"/>
      <c r="AW83" s="55"/>
      <c r="AX83" s="55"/>
      <c r="AY83" s="55"/>
      <c r="AZ83" s="55"/>
      <c r="BA83" s="55"/>
      <c r="BB83" s="55"/>
      <c r="BC83" s="55"/>
      <c r="BD83" s="55"/>
      <c r="BE83" s="55"/>
      <c r="BF83" s="55"/>
      <c r="BG83" s="55"/>
      <c r="BH83" s="55"/>
      <c r="BI83" s="55"/>
      <c r="BJ83" s="55"/>
      <c r="BK83" s="55"/>
      <c r="BL83" s="55"/>
      <c r="BM83" s="55"/>
      <c r="BN83" s="55"/>
      <c r="BO83" s="55"/>
      <c r="BP83" s="55"/>
      <c r="BQ83" s="55"/>
      <c r="BR83" s="55"/>
      <c r="BS83" s="55"/>
      <c r="BT83" s="55"/>
      <c r="BU83" s="55"/>
      <c r="BV83" s="55"/>
      <c r="BW83" s="55"/>
      <c r="BX83" s="55"/>
      <c r="BY83" s="55"/>
      <c r="BZ83" s="55"/>
      <c r="CA83" s="55"/>
      <c r="CB83" s="55"/>
      <c r="CC83" s="55"/>
      <c r="CD83" s="55"/>
      <c r="CE83" s="55"/>
      <c r="CF83" s="55"/>
      <c r="CG83" s="55"/>
      <c r="CH83" s="55"/>
      <c r="CI83" s="55"/>
      <c r="CJ83" s="55"/>
      <c r="CK83" s="55"/>
      <c r="CL83" s="60"/>
      <c r="CM83" s="60"/>
      <c r="CN83" s="60"/>
      <c r="CO83" s="60"/>
      <c r="CP83" s="60"/>
      <c r="CQ83" s="60"/>
    </row>
    <row r="84" spans="1:95" s="63" customFormat="1" ht="18" customHeight="1" x14ac:dyDescent="0.25">
      <c r="A84" s="3"/>
      <c r="B84" s="3"/>
      <c r="C84" s="3"/>
      <c r="D84" s="3"/>
      <c r="E84" s="3"/>
      <c r="F84" s="3"/>
      <c r="G84" s="3"/>
      <c r="H84" s="3"/>
      <c r="AP84" s="64"/>
      <c r="AQ84" s="65"/>
      <c r="AR84" s="65"/>
      <c r="AS84" s="65"/>
      <c r="AT84" s="65"/>
      <c r="AU84" s="65"/>
      <c r="AV84" s="65"/>
      <c r="AW84" s="65"/>
      <c r="AX84" s="65"/>
      <c r="AY84" s="65"/>
      <c r="AZ84" s="65"/>
      <c r="BA84" s="65"/>
      <c r="BB84" s="65"/>
      <c r="BC84" s="65"/>
      <c r="BD84" s="65"/>
      <c r="BE84" s="65"/>
      <c r="BF84" s="65"/>
      <c r="BG84" s="65"/>
      <c r="BH84" s="65"/>
      <c r="BI84" s="65"/>
      <c r="BJ84" s="65"/>
      <c r="BK84" s="65"/>
      <c r="BL84" s="65"/>
      <c r="BM84" s="65"/>
      <c r="BN84" s="65"/>
      <c r="BO84" s="65"/>
      <c r="BP84" s="65"/>
      <c r="BQ84" s="65"/>
      <c r="BR84" s="65"/>
      <c r="BS84" s="65"/>
      <c r="BT84" s="65"/>
      <c r="BU84" s="65"/>
      <c r="BV84" s="65"/>
      <c r="BW84" s="65"/>
      <c r="BX84" s="65"/>
      <c r="BY84" s="65"/>
      <c r="BZ84" s="65"/>
      <c r="CA84" s="65"/>
      <c r="CB84" s="65"/>
      <c r="CC84" s="65"/>
      <c r="CD84" s="65"/>
      <c r="CE84" s="65"/>
      <c r="CF84" s="65"/>
      <c r="CG84" s="65"/>
      <c r="CH84" s="65"/>
      <c r="CI84" s="65"/>
      <c r="CJ84" s="65"/>
      <c r="CK84" s="65"/>
      <c r="CL84" s="66"/>
      <c r="CM84" s="66"/>
      <c r="CN84" s="66"/>
      <c r="CO84" s="66"/>
      <c r="CP84" s="66"/>
      <c r="CQ84" s="66"/>
    </row>
    <row r="85" spans="1:95" s="40" customFormat="1" x14ac:dyDescent="0.25">
      <c r="A85" s="3"/>
      <c r="B85" s="3"/>
      <c r="C85" s="3"/>
      <c r="D85" s="3"/>
      <c r="E85" s="3"/>
      <c r="F85" s="3"/>
      <c r="G85" s="3"/>
      <c r="H85" s="3"/>
      <c r="AP85" s="43"/>
      <c r="AQ85" s="55"/>
      <c r="AR85" s="55"/>
      <c r="AS85" s="55"/>
      <c r="AT85" s="55"/>
      <c r="AU85" s="55"/>
      <c r="AV85" s="55"/>
      <c r="AW85" s="55"/>
      <c r="AX85" s="55"/>
      <c r="AY85" s="55"/>
      <c r="AZ85" s="55"/>
      <c r="BA85" s="55"/>
      <c r="BB85" s="55"/>
      <c r="BC85" s="55"/>
      <c r="BD85" s="55"/>
      <c r="BE85" s="55"/>
      <c r="BF85" s="55"/>
      <c r="BG85" s="55"/>
      <c r="BH85" s="55"/>
      <c r="BI85" s="55"/>
      <c r="BJ85" s="55"/>
      <c r="BK85" s="55"/>
      <c r="BL85" s="55"/>
      <c r="BM85" s="55"/>
      <c r="BN85" s="55"/>
      <c r="BO85" s="55"/>
      <c r="BP85" s="55"/>
      <c r="BQ85" s="55"/>
      <c r="BR85" s="55"/>
      <c r="BS85" s="55"/>
      <c r="BT85" s="55"/>
      <c r="BU85" s="55"/>
      <c r="BV85" s="55"/>
      <c r="BW85" s="55"/>
      <c r="BX85" s="55"/>
      <c r="BY85" s="55"/>
      <c r="BZ85" s="55"/>
      <c r="CA85" s="55"/>
      <c r="CB85" s="55"/>
      <c r="CC85" s="55"/>
      <c r="CD85" s="55"/>
      <c r="CE85" s="55"/>
      <c r="CF85" s="55"/>
      <c r="CG85" s="55"/>
      <c r="CH85" s="55"/>
      <c r="CI85" s="55"/>
      <c r="CJ85" s="55"/>
      <c r="CK85" s="55"/>
      <c r="CL85" s="60"/>
      <c r="CM85" s="60"/>
      <c r="CN85" s="59"/>
      <c r="CO85" s="59"/>
      <c r="CP85" s="59"/>
      <c r="CQ85" s="59"/>
    </row>
    <row r="86" spans="1:95" s="40" customFormat="1" x14ac:dyDescent="0.25">
      <c r="A86" s="3"/>
      <c r="B86" s="3"/>
      <c r="C86" s="3"/>
      <c r="D86" s="3"/>
      <c r="E86" s="3"/>
      <c r="F86" s="3"/>
      <c r="G86" s="3"/>
      <c r="H86" s="3"/>
      <c r="AP86" s="43"/>
      <c r="AQ86" s="55"/>
      <c r="AR86" s="55"/>
      <c r="AS86" s="55"/>
      <c r="AT86" s="55"/>
      <c r="AU86" s="55"/>
      <c r="AV86" s="55"/>
      <c r="AW86" s="55"/>
      <c r="AX86" s="55"/>
      <c r="AY86" s="55"/>
      <c r="AZ86" s="55"/>
      <c r="BA86" s="55"/>
      <c r="BB86" s="55"/>
      <c r="BC86" s="55"/>
      <c r="BD86" s="55"/>
      <c r="BE86" s="55"/>
      <c r="BF86" s="55"/>
      <c r="BG86" s="55"/>
      <c r="BH86" s="55"/>
      <c r="BI86" s="55"/>
      <c r="BJ86" s="55"/>
      <c r="BK86" s="55"/>
      <c r="BL86" s="55"/>
      <c r="BM86" s="55"/>
      <c r="BN86" s="55"/>
      <c r="BO86" s="55"/>
      <c r="BP86" s="55"/>
      <c r="BQ86" s="55"/>
      <c r="BR86" s="55"/>
      <c r="BS86" s="55"/>
      <c r="BT86" s="55"/>
      <c r="BU86" s="55"/>
      <c r="BV86" s="55"/>
      <c r="BW86" s="55"/>
      <c r="BX86" s="55"/>
      <c r="BY86" s="55"/>
      <c r="BZ86" s="55"/>
      <c r="CA86" s="55"/>
      <c r="CB86" s="55"/>
      <c r="CC86" s="55"/>
      <c r="CD86" s="55"/>
      <c r="CE86" s="55"/>
      <c r="CF86" s="55"/>
      <c r="CG86" s="55"/>
      <c r="CH86" s="55"/>
      <c r="CI86" s="55"/>
      <c r="CJ86" s="55"/>
      <c r="CK86" s="55"/>
      <c r="CL86" s="60"/>
      <c r="CM86" s="60"/>
      <c r="CN86" s="59"/>
      <c r="CO86" s="59"/>
      <c r="CP86" s="59"/>
      <c r="CQ86" s="59"/>
    </row>
    <row r="87" spans="1:95" s="40" customFormat="1" x14ac:dyDescent="0.25">
      <c r="A87" s="3"/>
      <c r="B87" s="3"/>
      <c r="C87" s="3"/>
      <c r="D87" s="3"/>
      <c r="E87" s="3"/>
      <c r="F87" s="3"/>
      <c r="G87" s="3"/>
      <c r="H87" s="3"/>
      <c r="AP87" s="43"/>
      <c r="AQ87" s="55"/>
      <c r="AR87" s="55"/>
      <c r="AS87" s="55"/>
      <c r="AT87" s="55"/>
      <c r="AU87" s="55"/>
      <c r="AV87" s="55"/>
      <c r="AW87" s="55"/>
      <c r="AX87" s="55"/>
      <c r="AY87" s="55"/>
      <c r="AZ87" s="55"/>
      <c r="BA87" s="55"/>
      <c r="BB87" s="55"/>
      <c r="BC87" s="55"/>
      <c r="BD87" s="55"/>
      <c r="BE87" s="55"/>
      <c r="BF87" s="55"/>
      <c r="BG87" s="55"/>
      <c r="BH87" s="55"/>
      <c r="BI87" s="55"/>
      <c r="BJ87" s="55"/>
      <c r="BK87" s="55"/>
      <c r="BL87" s="55"/>
      <c r="BM87" s="55"/>
      <c r="BN87" s="55"/>
      <c r="BO87" s="55"/>
      <c r="BP87" s="55"/>
      <c r="BQ87" s="55"/>
      <c r="BR87" s="55"/>
      <c r="BS87" s="55"/>
      <c r="BT87" s="55"/>
      <c r="BU87" s="55"/>
      <c r="BV87" s="55"/>
      <c r="BW87" s="55"/>
      <c r="BX87" s="55"/>
      <c r="BY87" s="55"/>
      <c r="BZ87" s="55"/>
      <c r="CA87" s="55"/>
      <c r="CB87" s="55"/>
      <c r="CC87" s="55"/>
      <c r="CD87" s="55"/>
      <c r="CE87" s="55"/>
      <c r="CF87" s="55"/>
      <c r="CG87" s="55"/>
      <c r="CH87" s="55"/>
      <c r="CI87" s="55"/>
      <c r="CJ87" s="55"/>
      <c r="CK87" s="55"/>
      <c r="CL87" s="60"/>
      <c r="CM87" s="60"/>
      <c r="CN87" s="60"/>
      <c r="CO87" s="59"/>
      <c r="CP87" s="59"/>
      <c r="CQ87" s="59"/>
    </row>
    <row r="88" spans="1:95" s="40" customFormat="1" x14ac:dyDescent="0.25">
      <c r="A88" s="3"/>
      <c r="B88" s="3"/>
      <c r="C88" s="3"/>
      <c r="D88" s="3"/>
      <c r="E88" s="3"/>
      <c r="F88" s="3"/>
      <c r="G88" s="3"/>
      <c r="H88" s="3"/>
      <c r="AP88" s="43"/>
      <c r="AQ88" s="55"/>
      <c r="AR88" s="55"/>
      <c r="AS88" s="55"/>
      <c r="AT88" s="55"/>
      <c r="AU88" s="55"/>
      <c r="AV88" s="55"/>
      <c r="AW88" s="55"/>
      <c r="AX88" s="55"/>
      <c r="AY88" s="55"/>
      <c r="AZ88" s="55"/>
      <c r="BA88" s="55"/>
      <c r="BB88" s="55"/>
      <c r="BC88" s="55"/>
      <c r="BD88" s="55"/>
      <c r="BE88" s="55"/>
      <c r="BF88" s="55"/>
      <c r="BG88" s="55"/>
      <c r="BH88" s="55"/>
      <c r="BI88" s="55"/>
      <c r="BJ88" s="55"/>
      <c r="BK88" s="55"/>
      <c r="BL88" s="55"/>
      <c r="BM88" s="55"/>
      <c r="BN88" s="55"/>
      <c r="BO88" s="55"/>
      <c r="BP88" s="55"/>
      <c r="BQ88" s="55"/>
      <c r="BR88" s="55"/>
      <c r="BS88" s="55"/>
      <c r="BT88" s="55"/>
      <c r="BU88" s="55"/>
      <c r="BV88" s="55"/>
      <c r="BW88" s="55"/>
      <c r="BX88" s="55"/>
      <c r="BY88" s="55"/>
      <c r="BZ88" s="55"/>
      <c r="CA88" s="55"/>
      <c r="CB88" s="55"/>
      <c r="CC88" s="55"/>
      <c r="CD88" s="55"/>
      <c r="CE88" s="55"/>
      <c r="CF88" s="55"/>
      <c r="CG88" s="55"/>
      <c r="CH88" s="55"/>
      <c r="CI88" s="55"/>
      <c r="CJ88" s="55"/>
      <c r="CK88" s="55"/>
      <c r="CL88" s="60"/>
      <c r="CM88" s="60"/>
      <c r="CN88" s="60"/>
      <c r="CO88" s="59"/>
      <c r="CP88" s="59"/>
      <c r="CQ88" s="59"/>
    </row>
    <row r="89" spans="1:95" s="40" customFormat="1" x14ac:dyDescent="0.25">
      <c r="A89" s="3"/>
      <c r="B89" s="3"/>
      <c r="C89" s="3"/>
      <c r="D89" s="3"/>
      <c r="E89" s="3"/>
      <c r="F89" s="3"/>
      <c r="G89" s="3"/>
      <c r="H89" s="3"/>
      <c r="AP89" s="43"/>
      <c r="AQ89" s="55"/>
      <c r="AR89" s="55"/>
      <c r="AS89" s="55"/>
      <c r="AT89" s="55"/>
      <c r="AU89" s="55"/>
      <c r="AV89" s="55"/>
      <c r="AW89" s="55"/>
      <c r="AX89" s="55"/>
      <c r="AY89" s="55"/>
      <c r="AZ89" s="55"/>
      <c r="BA89" s="55"/>
      <c r="BB89" s="55"/>
      <c r="BC89" s="55"/>
      <c r="BD89" s="55"/>
      <c r="BE89" s="55"/>
      <c r="BF89" s="55"/>
      <c r="BG89" s="55"/>
      <c r="BH89" s="55"/>
      <c r="BI89" s="55"/>
      <c r="BJ89" s="55"/>
      <c r="BK89" s="55"/>
      <c r="BL89" s="55"/>
      <c r="BM89" s="55"/>
      <c r="BN89" s="55"/>
      <c r="BO89" s="55"/>
      <c r="BP89" s="55"/>
      <c r="BQ89" s="55"/>
      <c r="BR89" s="55"/>
      <c r="BS89" s="55"/>
      <c r="BT89" s="55"/>
      <c r="BU89" s="55"/>
      <c r="BV89" s="55"/>
      <c r="BW89" s="55"/>
      <c r="BX89" s="55"/>
      <c r="BY89" s="55"/>
      <c r="BZ89" s="55"/>
      <c r="CA89" s="55"/>
      <c r="CB89" s="55"/>
      <c r="CC89" s="55"/>
      <c r="CD89" s="55"/>
      <c r="CE89" s="55"/>
      <c r="CF89" s="55"/>
      <c r="CG89" s="55"/>
      <c r="CH89" s="55"/>
      <c r="CI89" s="55"/>
      <c r="CJ89" s="55"/>
      <c r="CK89" s="55"/>
      <c r="CL89" s="60"/>
      <c r="CM89" s="60"/>
      <c r="CN89" s="60"/>
      <c r="CO89" s="59"/>
      <c r="CP89" s="59"/>
      <c r="CQ89" s="59"/>
    </row>
    <row r="90" spans="1:95" s="40" customFormat="1" x14ac:dyDescent="0.25">
      <c r="A90" s="3"/>
      <c r="B90" s="3"/>
      <c r="C90" s="3"/>
      <c r="D90" s="3"/>
      <c r="E90" s="3"/>
      <c r="F90" s="3"/>
      <c r="G90" s="3"/>
      <c r="H90" s="3"/>
      <c r="AP90" s="43"/>
      <c r="AQ90" s="55"/>
      <c r="AR90" s="55"/>
      <c r="AS90" s="55"/>
      <c r="AT90" s="55"/>
      <c r="AU90" s="55"/>
      <c r="AV90" s="55"/>
      <c r="AW90" s="55"/>
      <c r="AX90" s="55"/>
      <c r="AY90" s="55"/>
      <c r="AZ90" s="55"/>
      <c r="BA90" s="55"/>
      <c r="BB90" s="55"/>
      <c r="BC90" s="55"/>
      <c r="BD90" s="55"/>
      <c r="BE90" s="55"/>
      <c r="BF90" s="55"/>
      <c r="BG90" s="55"/>
      <c r="BH90" s="55"/>
      <c r="BI90" s="55"/>
      <c r="BJ90" s="55"/>
      <c r="BK90" s="55"/>
      <c r="BL90" s="55"/>
      <c r="BM90" s="55"/>
      <c r="BN90" s="55"/>
      <c r="BO90" s="55"/>
      <c r="BP90" s="55"/>
      <c r="BQ90" s="55"/>
      <c r="BR90" s="55"/>
      <c r="BS90" s="55"/>
      <c r="BT90" s="55"/>
      <c r="BU90" s="55"/>
      <c r="BV90" s="55"/>
      <c r="BW90" s="55"/>
      <c r="BX90" s="55"/>
      <c r="BY90" s="55"/>
      <c r="BZ90" s="55"/>
      <c r="CA90" s="55"/>
      <c r="CB90" s="55"/>
      <c r="CC90" s="55"/>
      <c r="CD90" s="55"/>
      <c r="CE90" s="55"/>
      <c r="CF90" s="55"/>
      <c r="CG90" s="55"/>
      <c r="CH90" s="55"/>
      <c r="CI90" s="55"/>
      <c r="CJ90" s="55"/>
      <c r="CK90" s="55"/>
      <c r="CL90" s="60"/>
      <c r="CM90" s="60"/>
      <c r="CN90" s="60"/>
      <c r="CO90" s="59"/>
      <c r="CP90" s="59"/>
      <c r="CQ90" s="59"/>
    </row>
    <row r="91" spans="1:95" s="40" customFormat="1" x14ac:dyDescent="0.25">
      <c r="A91" s="3"/>
      <c r="B91" s="3"/>
      <c r="C91" s="3"/>
      <c r="D91" s="3"/>
      <c r="E91" s="3"/>
      <c r="F91" s="3"/>
      <c r="G91" s="3"/>
      <c r="H91" s="3"/>
      <c r="AP91" s="43"/>
      <c r="AQ91" s="55"/>
      <c r="AR91" s="55"/>
      <c r="AS91" s="55"/>
      <c r="AT91" s="55"/>
      <c r="AU91" s="55"/>
      <c r="AV91" s="55"/>
      <c r="AW91" s="55"/>
      <c r="AX91" s="55"/>
      <c r="AY91" s="55"/>
      <c r="AZ91" s="55"/>
      <c r="BA91" s="55"/>
      <c r="BB91" s="55"/>
      <c r="BC91" s="55"/>
      <c r="BD91" s="55"/>
      <c r="BE91" s="55"/>
      <c r="BF91" s="55"/>
      <c r="BG91" s="55"/>
      <c r="BH91" s="55"/>
      <c r="BI91" s="55"/>
      <c r="BJ91" s="55"/>
      <c r="BK91" s="55"/>
      <c r="BL91" s="55"/>
      <c r="BM91" s="55"/>
      <c r="BN91" s="55"/>
      <c r="BO91" s="55"/>
      <c r="BP91" s="55"/>
      <c r="BQ91" s="55"/>
      <c r="BR91" s="55"/>
      <c r="BS91" s="55"/>
      <c r="BT91" s="55"/>
      <c r="BU91" s="55"/>
      <c r="BV91" s="55"/>
      <c r="BW91" s="55"/>
      <c r="BX91" s="55"/>
      <c r="BY91" s="55"/>
      <c r="BZ91" s="55"/>
      <c r="CA91" s="55"/>
      <c r="CB91" s="55"/>
      <c r="CC91" s="55"/>
      <c r="CD91" s="55"/>
      <c r="CE91" s="55"/>
      <c r="CF91" s="55"/>
      <c r="CG91" s="55"/>
      <c r="CH91" s="55"/>
      <c r="CI91" s="55"/>
      <c r="CJ91" s="55"/>
      <c r="CK91" s="55"/>
      <c r="CL91" s="60"/>
      <c r="CM91" s="60"/>
      <c r="CN91" s="59"/>
      <c r="CO91" s="59"/>
      <c r="CP91" s="59"/>
      <c r="CQ91" s="59"/>
    </row>
    <row r="92" spans="1:95" s="40" customFormat="1" x14ac:dyDescent="0.25">
      <c r="A92" s="3"/>
      <c r="B92" s="3"/>
      <c r="C92" s="3"/>
      <c r="D92" s="3"/>
      <c r="E92" s="3"/>
      <c r="F92" s="3"/>
      <c r="G92" s="3"/>
      <c r="H92" s="3"/>
      <c r="AP92" s="43"/>
      <c r="AQ92" s="55"/>
      <c r="AR92" s="55"/>
      <c r="AS92" s="55"/>
      <c r="AT92" s="55"/>
      <c r="AU92" s="55"/>
      <c r="AV92" s="55"/>
      <c r="AW92" s="55"/>
      <c r="AX92" s="55"/>
      <c r="AY92" s="55"/>
      <c r="AZ92" s="55"/>
      <c r="BA92" s="55"/>
      <c r="BB92" s="55"/>
      <c r="BC92" s="55"/>
      <c r="BD92" s="55"/>
      <c r="BE92" s="55"/>
      <c r="BF92" s="55"/>
      <c r="BG92" s="55"/>
      <c r="BH92" s="55"/>
      <c r="BI92" s="55"/>
      <c r="BJ92" s="55"/>
      <c r="BK92" s="55"/>
      <c r="BL92" s="55"/>
      <c r="BM92" s="55"/>
      <c r="BN92" s="55"/>
      <c r="BO92" s="55"/>
      <c r="BP92" s="55"/>
      <c r="BQ92" s="55"/>
      <c r="BR92" s="55"/>
      <c r="BS92" s="55"/>
      <c r="BT92" s="55"/>
      <c r="BU92" s="55"/>
      <c r="BV92" s="55"/>
      <c r="BW92" s="55"/>
      <c r="BX92" s="55"/>
      <c r="BY92" s="55"/>
      <c r="BZ92" s="55"/>
      <c r="CA92" s="55"/>
      <c r="CB92" s="55"/>
      <c r="CC92" s="55"/>
      <c r="CD92" s="55"/>
      <c r="CE92" s="55"/>
      <c r="CF92" s="55"/>
      <c r="CG92" s="55"/>
      <c r="CH92" s="55"/>
      <c r="CI92" s="55"/>
      <c r="CJ92" s="55"/>
      <c r="CK92" s="55"/>
      <c r="CL92" s="60"/>
      <c r="CM92" s="60"/>
      <c r="CN92" s="59"/>
      <c r="CO92" s="59"/>
      <c r="CP92" s="59"/>
      <c r="CQ92" s="59"/>
    </row>
    <row r="93" spans="1:95" s="40" customFormat="1" x14ac:dyDescent="0.25">
      <c r="A93" s="3"/>
      <c r="B93" s="3"/>
      <c r="C93" s="3"/>
      <c r="D93" s="3"/>
      <c r="E93" s="3"/>
      <c r="F93" s="3"/>
      <c r="G93" s="3"/>
      <c r="H93" s="3"/>
      <c r="AP93" s="43"/>
      <c r="AQ93" s="55"/>
      <c r="AR93" s="55"/>
      <c r="AS93" s="55"/>
      <c r="AT93" s="55"/>
      <c r="AU93" s="55"/>
      <c r="AV93" s="55"/>
      <c r="AW93" s="55"/>
      <c r="AX93" s="59"/>
      <c r="AY93" s="59"/>
      <c r="AZ93" s="59"/>
      <c r="BA93" s="60"/>
      <c r="BB93" s="60"/>
      <c r="BC93" s="60"/>
      <c r="BD93" s="60"/>
      <c r="BE93" s="60"/>
      <c r="BF93" s="60"/>
      <c r="BG93" s="60"/>
      <c r="BH93" s="60"/>
      <c r="BI93" s="60"/>
      <c r="BJ93" s="60"/>
      <c r="BK93" s="60"/>
      <c r="BL93" s="60"/>
      <c r="BM93" s="60"/>
      <c r="BN93" s="60"/>
      <c r="BO93" s="60"/>
      <c r="BP93" s="60"/>
      <c r="BQ93" s="60"/>
      <c r="BR93" s="60"/>
      <c r="BS93" s="60"/>
      <c r="BT93" s="60"/>
      <c r="BU93" s="60"/>
      <c r="BV93" s="60"/>
      <c r="BW93" s="60"/>
      <c r="BX93" s="60"/>
      <c r="BY93" s="60"/>
      <c r="BZ93" s="60"/>
      <c r="CA93" s="60"/>
      <c r="CB93" s="60"/>
      <c r="CC93" s="60"/>
      <c r="CD93" s="60"/>
      <c r="CE93" s="60"/>
      <c r="CF93" s="60"/>
      <c r="CG93" s="60"/>
      <c r="CH93" s="60"/>
      <c r="CI93" s="60"/>
      <c r="CJ93" s="60"/>
      <c r="CK93" s="60"/>
      <c r="CL93" s="60"/>
      <c r="CM93" s="60"/>
      <c r="CN93" s="59"/>
      <c r="CO93" s="59"/>
      <c r="CP93" s="59"/>
      <c r="CQ93" s="59"/>
    </row>
    <row r="94" spans="1:95" s="40" customFormat="1" x14ac:dyDescent="0.25">
      <c r="A94" s="3"/>
      <c r="B94" s="3"/>
      <c r="C94" s="3"/>
      <c r="D94" s="3"/>
      <c r="E94" s="3"/>
      <c r="F94" s="3"/>
      <c r="G94" s="3"/>
      <c r="H94" s="3"/>
      <c r="AP94" s="43"/>
      <c r="AQ94" s="55"/>
      <c r="AR94" s="55"/>
      <c r="AS94" s="55"/>
      <c r="AT94" s="55"/>
      <c r="AU94" s="55"/>
      <c r="AV94" s="55"/>
      <c r="AW94" s="55"/>
      <c r="AX94" s="59"/>
      <c r="AY94" s="59"/>
      <c r="AZ94" s="59"/>
      <c r="BA94" s="60"/>
      <c r="BB94" s="60"/>
      <c r="BC94" s="60"/>
      <c r="BD94" s="60"/>
      <c r="BE94" s="60"/>
      <c r="BF94" s="60"/>
      <c r="BG94" s="60"/>
      <c r="BH94" s="60"/>
      <c r="BI94" s="60"/>
      <c r="BJ94" s="60"/>
      <c r="BK94" s="60"/>
      <c r="BL94" s="60"/>
      <c r="BM94" s="60"/>
      <c r="BN94" s="60"/>
      <c r="BO94" s="60"/>
      <c r="BP94" s="60"/>
      <c r="BQ94" s="60"/>
      <c r="BR94" s="60"/>
      <c r="BS94" s="60"/>
      <c r="BT94" s="60"/>
      <c r="BU94" s="60"/>
      <c r="BV94" s="60"/>
      <c r="BW94" s="60"/>
      <c r="BX94" s="60"/>
      <c r="BY94" s="60"/>
      <c r="BZ94" s="60"/>
      <c r="CA94" s="60"/>
      <c r="CB94" s="60"/>
      <c r="CC94" s="60"/>
      <c r="CD94" s="60"/>
      <c r="CE94" s="60"/>
      <c r="CF94" s="60"/>
      <c r="CG94" s="60"/>
      <c r="CH94" s="60"/>
      <c r="CI94" s="60"/>
      <c r="CJ94" s="60"/>
      <c r="CK94" s="60"/>
      <c r="CL94" s="60"/>
      <c r="CM94" s="60"/>
      <c r="CN94" s="59"/>
      <c r="CO94" s="59"/>
      <c r="CP94" s="59"/>
      <c r="CQ94" s="59"/>
    </row>
    <row r="95" spans="1:95" s="40" customFormat="1" x14ac:dyDescent="0.25">
      <c r="A95" s="90"/>
      <c r="B95" s="90"/>
      <c r="C95" s="90"/>
      <c r="D95" s="90"/>
      <c r="E95" s="90"/>
      <c r="F95" s="90"/>
      <c r="G95" s="90"/>
      <c r="H95" s="90"/>
      <c r="AP95" s="43"/>
      <c r="AQ95" s="55"/>
      <c r="AR95" s="55"/>
      <c r="AS95" s="55"/>
      <c r="AT95" s="55"/>
      <c r="AU95" s="55"/>
      <c r="AV95" s="55"/>
      <c r="AW95" s="55"/>
      <c r="AX95" s="59"/>
      <c r="AY95" s="59"/>
      <c r="AZ95" s="59"/>
      <c r="BA95" s="60"/>
      <c r="BB95" s="60"/>
      <c r="BC95" s="60"/>
      <c r="BD95" s="60"/>
      <c r="BE95" s="60"/>
      <c r="BF95" s="60"/>
      <c r="BG95" s="60"/>
      <c r="BH95" s="60"/>
      <c r="BI95" s="60"/>
      <c r="BJ95" s="60"/>
      <c r="BK95" s="60"/>
      <c r="BL95" s="60"/>
      <c r="BM95" s="60"/>
      <c r="BN95" s="60"/>
      <c r="BO95" s="60"/>
      <c r="BP95" s="60"/>
      <c r="BQ95" s="60"/>
      <c r="BR95" s="60"/>
      <c r="BS95" s="60"/>
      <c r="BT95" s="60"/>
      <c r="BU95" s="60"/>
      <c r="BV95" s="60"/>
      <c r="BW95" s="60"/>
      <c r="BX95" s="60"/>
      <c r="BY95" s="60"/>
      <c r="BZ95" s="60"/>
      <c r="CA95" s="60"/>
      <c r="CB95" s="60"/>
      <c r="CC95" s="60"/>
      <c r="CD95" s="60"/>
      <c r="CE95" s="60"/>
      <c r="CF95" s="60"/>
      <c r="CG95" s="60"/>
      <c r="CH95" s="60"/>
      <c r="CI95" s="60"/>
      <c r="CJ95" s="60"/>
      <c r="CK95" s="60"/>
      <c r="CL95" s="60"/>
      <c r="CM95" s="60"/>
      <c r="CN95" s="59"/>
      <c r="CO95" s="59"/>
      <c r="CP95" s="59"/>
      <c r="CQ95" s="59"/>
    </row>
    <row r="96" spans="1:95" s="40" customFormat="1" x14ac:dyDescent="0.25">
      <c r="A96" s="90"/>
      <c r="B96" s="90"/>
      <c r="C96" s="90"/>
      <c r="D96" s="90"/>
      <c r="E96" s="90"/>
      <c r="F96" s="90"/>
      <c r="G96" s="90"/>
      <c r="H96" s="90"/>
      <c r="AP96" s="43"/>
      <c r="AQ96" s="55"/>
      <c r="AR96" s="55"/>
      <c r="AS96" s="55"/>
      <c r="AT96" s="55"/>
      <c r="AU96" s="55"/>
      <c r="AV96" s="55"/>
      <c r="AW96" s="55"/>
      <c r="AX96" s="59"/>
      <c r="AY96" s="59"/>
      <c r="AZ96" s="59"/>
      <c r="BA96" s="60"/>
      <c r="BB96" s="60"/>
      <c r="BC96" s="60"/>
      <c r="BD96" s="60"/>
      <c r="BE96" s="60"/>
      <c r="BF96" s="60"/>
      <c r="BG96" s="60"/>
      <c r="BH96" s="60"/>
      <c r="BI96" s="60"/>
      <c r="BJ96" s="60"/>
      <c r="BK96" s="60"/>
      <c r="BL96" s="60"/>
      <c r="BM96" s="60"/>
      <c r="BN96" s="60"/>
      <c r="BO96" s="60"/>
      <c r="BP96" s="60"/>
      <c r="BQ96" s="60"/>
      <c r="BR96" s="60"/>
      <c r="BS96" s="60"/>
      <c r="BT96" s="60"/>
      <c r="BU96" s="60"/>
      <c r="BV96" s="60"/>
      <c r="BW96" s="60"/>
      <c r="BX96" s="60"/>
      <c r="BY96" s="60"/>
      <c r="BZ96" s="60"/>
      <c r="CA96" s="60"/>
      <c r="CB96" s="60"/>
      <c r="CC96" s="60"/>
      <c r="CD96" s="60"/>
      <c r="CE96" s="60"/>
      <c r="CF96" s="60"/>
      <c r="CG96" s="60"/>
      <c r="CH96" s="60"/>
      <c r="CI96" s="60"/>
      <c r="CJ96" s="60"/>
      <c r="CK96" s="60"/>
      <c r="CL96" s="60"/>
      <c r="CM96" s="60"/>
      <c r="CN96" s="59"/>
      <c r="CO96" s="59"/>
      <c r="CP96" s="59"/>
      <c r="CQ96" s="59"/>
    </row>
    <row r="97" spans="1:95" s="40" customFormat="1" x14ac:dyDescent="0.25">
      <c r="A97" s="90"/>
      <c r="B97" s="90"/>
      <c r="C97" s="90"/>
      <c r="D97" s="90"/>
      <c r="E97" s="90"/>
      <c r="F97" s="90"/>
      <c r="G97" s="90"/>
      <c r="H97" s="90"/>
      <c r="AP97" s="43"/>
      <c r="AQ97" s="55"/>
      <c r="AR97" s="55"/>
      <c r="AS97" s="55"/>
      <c r="AT97" s="55"/>
      <c r="AU97" s="55"/>
      <c r="AV97" s="55"/>
      <c r="AW97" s="55"/>
      <c r="AX97" s="59"/>
      <c r="AY97" s="59"/>
      <c r="AZ97" s="59"/>
      <c r="BA97" s="60"/>
      <c r="BB97" s="60"/>
      <c r="BC97" s="60"/>
      <c r="BD97" s="60"/>
      <c r="BE97" s="60"/>
      <c r="BF97" s="60"/>
      <c r="BG97" s="60"/>
      <c r="BH97" s="60"/>
      <c r="BI97" s="60"/>
      <c r="BJ97" s="60"/>
      <c r="BK97" s="60"/>
      <c r="BL97" s="60"/>
      <c r="BM97" s="60"/>
      <c r="BN97" s="60"/>
      <c r="BO97" s="60"/>
      <c r="BP97" s="60"/>
      <c r="BQ97" s="60"/>
      <c r="BR97" s="60"/>
      <c r="BS97" s="60"/>
      <c r="BT97" s="60"/>
      <c r="BU97" s="60"/>
      <c r="BV97" s="60"/>
      <c r="BW97" s="60"/>
      <c r="BX97" s="60"/>
      <c r="BY97" s="60"/>
      <c r="BZ97" s="60"/>
      <c r="CA97" s="60"/>
      <c r="CB97" s="60"/>
      <c r="CC97" s="60"/>
      <c r="CD97" s="60"/>
      <c r="CE97" s="60"/>
      <c r="CF97" s="60"/>
      <c r="CG97" s="60"/>
      <c r="CH97" s="60"/>
      <c r="CI97" s="60"/>
      <c r="CJ97" s="60"/>
      <c r="CK97" s="60"/>
      <c r="CL97" s="60"/>
      <c r="CM97" s="60"/>
      <c r="CN97" s="59"/>
      <c r="CO97" s="59"/>
      <c r="CP97" s="59"/>
      <c r="CQ97" s="59"/>
    </row>
    <row r="98" spans="1:95" s="40" customFormat="1" x14ac:dyDescent="0.25">
      <c r="A98" s="90"/>
      <c r="B98" s="90"/>
      <c r="C98" s="90"/>
      <c r="D98" s="90"/>
      <c r="E98" s="90"/>
      <c r="F98" s="90"/>
      <c r="G98" s="90"/>
      <c r="H98" s="90"/>
      <c r="AQ98" s="67"/>
      <c r="AR98" s="67"/>
      <c r="AS98" s="67"/>
      <c r="AT98" s="67"/>
      <c r="AU98" s="67"/>
      <c r="AV98" s="67"/>
      <c r="AW98" s="67"/>
      <c r="AX98" s="68"/>
      <c r="AY98" s="68"/>
      <c r="AZ98" s="68"/>
      <c r="BA98" s="69"/>
      <c r="BB98" s="69"/>
      <c r="BC98" s="69"/>
      <c r="BD98" s="69"/>
      <c r="BE98" s="69"/>
      <c r="BF98" s="69"/>
      <c r="BG98" s="69"/>
      <c r="BH98" s="69"/>
      <c r="BI98" s="69"/>
      <c r="BJ98" s="69"/>
      <c r="BK98" s="69"/>
      <c r="BL98" s="69"/>
      <c r="BM98" s="69"/>
      <c r="BN98" s="69"/>
      <c r="BO98" s="69"/>
      <c r="BP98" s="69"/>
      <c r="BQ98" s="69"/>
      <c r="BR98" s="69"/>
      <c r="BS98" s="69"/>
      <c r="BT98" s="69"/>
      <c r="BU98" s="69"/>
      <c r="BV98" s="69"/>
      <c r="BW98" s="69"/>
      <c r="BX98" s="69"/>
      <c r="BY98" s="69"/>
      <c r="BZ98" s="69"/>
      <c r="CA98" s="69"/>
      <c r="CB98" s="69"/>
      <c r="CC98" s="69"/>
      <c r="CD98" s="69"/>
      <c r="CE98" s="69"/>
      <c r="CF98" s="69"/>
      <c r="CG98" s="69"/>
      <c r="CH98" s="69"/>
      <c r="CI98" s="69"/>
      <c r="CJ98" s="69"/>
      <c r="CK98" s="69"/>
      <c r="CL98" s="69"/>
      <c r="CM98" s="69"/>
      <c r="CN98" s="68"/>
      <c r="CO98" s="68"/>
      <c r="CP98" s="68"/>
      <c r="CQ98" s="68"/>
    </row>
    <row r="99" spans="1:95" s="40" customFormat="1" x14ac:dyDescent="0.25">
      <c r="A99" s="90"/>
      <c r="B99" s="90"/>
      <c r="C99" s="90"/>
      <c r="D99" s="90"/>
      <c r="E99" s="90"/>
      <c r="F99" s="90"/>
      <c r="G99" s="90"/>
      <c r="H99" s="90"/>
      <c r="AQ99" s="67"/>
      <c r="AR99" s="67"/>
      <c r="AS99" s="67"/>
      <c r="AT99" s="67"/>
      <c r="AU99" s="67"/>
      <c r="AV99" s="67"/>
      <c r="AW99" s="67"/>
      <c r="AX99" s="68"/>
      <c r="AY99" s="68"/>
      <c r="AZ99" s="68"/>
      <c r="BA99" s="69"/>
      <c r="BB99" s="69"/>
      <c r="BC99" s="69"/>
      <c r="BD99" s="69"/>
      <c r="BE99" s="69"/>
      <c r="BF99" s="69"/>
      <c r="BG99" s="69"/>
      <c r="BH99" s="69"/>
      <c r="BI99" s="69"/>
      <c r="BJ99" s="69"/>
      <c r="BK99" s="69"/>
      <c r="BL99" s="69"/>
      <c r="BM99" s="69"/>
      <c r="BN99" s="69"/>
      <c r="BO99" s="69"/>
      <c r="BP99" s="69"/>
      <c r="BQ99" s="69"/>
      <c r="BR99" s="69"/>
      <c r="BS99" s="69"/>
      <c r="BT99" s="69"/>
      <c r="BU99" s="69"/>
      <c r="BV99" s="69"/>
      <c r="BW99" s="69"/>
      <c r="BX99" s="69"/>
      <c r="BY99" s="69"/>
      <c r="BZ99" s="69"/>
      <c r="CA99" s="69"/>
      <c r="CB99" s="69"/>
      <c r="CC99" s="69"/>
      <c r="CD99" s="69"/>
      <c r="CE99" s="69"/>
      <c r="CF99" s="69"/>
      <c r="CG99" s="69"/>
      <c r="CH99" s="69"/>
      <c r="CI99" s="69"/>
      <c r="CJ99" s="69"/>
      <c r="CK99" s="69"/>
      <c r="CL99" s="69"/>
      <c r="CM99" s="69"/>
      <c r="CN99" s="68"/>
      <c r="CO99" s="68"/>
      <c r="CP99" s="68"/>
      <c r="CQ99" s="68"/>
    </row>
    <row r="100" spans="1:95" s="40" customFormat="1" x14ac:dyDescent="0.25">
      <c r="A100" s="90"/>
      <c r="B100" s="90"/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90"/>
      <c r="AE100" s="90"/>
      <c r="AF100" s="90"/>
      <c r="AG100" s="90"/>
      <c r="AH100" s="90"/>
      <c r="AI100" s="90"/>
      <c r="AJ100" s="90"/>
      <c r="AK100" s="90"/>
      <c r="AL100" s="90"/>
      <c r="AM100" s="90"/>
      <c r="AN100" s="90"/>
      <c r="AO100" s="90"/>
      <c r="AP100" s="90"/>
      <c r="AQ100" s="70"/>
      <c r="AR100" s="70"/>
      <c r="AS100" s="70"/>
      <c r="AT100" s="70"/>
      <c r="AU100" s="70"/>
      <c r="AV100" s="14"/>
      <c r="AW100" s="68"/>
      <c r="AX100" s="68"/>
      <c r="AY100" s="68"/>
      <c r="AZ100" s="68"/>
      <c r="BA100" s="69"/>
      <c r="BB100" s="69"/>
      <c r="BC100" s="69"/>
      <c r="BD100" s="69"/>
      <c r="BE100" s="69"/>
      <c r="BF100" s="69"/>
      <c r="BG100" s="69"/>
      <c r="BH100" s="69"/>
      <c r="BI100" s="69"/>
      <c r="BJ100" s="69"/>
      <c r="BK100" s="69"/>
      <c r="BL100" s="69"/>
      <c r="BM100" s="69"/>
      <c r="BN100" s="69"/>
      <c r="BO100" s="69"/>
      <c r="BP100" s="69"/>
      <c r="BQ100" s="69"/>
      <c r="BR100" s="69"/>
      <c r="BS100" s="69"/>
      <c r="BT100" s="69"/>
      <c r="BU100" s="69"/>
      <c r="BV100" s="69"/>
      <c r="BW100" s="69"/>
      <c r="BX100" s="69"/>
      <c r="BY100" s="69"/>
      <c r="BZ100" s="69"/>
      <c r="CA100" s="69"/>
      <c r="CB100" s="69"/>
      <c r="CC100" s="69"/>
      <c r="CD100" s="69"/>
      <c r="CE100" s="69"/>
      <c r="CF100" s="69"/>
      <c r="CG100" s="69"/>
      <c r="CH100" s="69"/>
      <c r="CI100" s="69"/>
      <c r="CJ100" s="69"/>
      <c r="CK100" s="69"/>
      <c r="CL100" s="69"/>
      <c r="CM100" s="69"/>
      <c r="CN100" s="68"/>
      <c r="CO100" s="68"/>
      <c r="CP100" s="68"/>
      <c r="CQ100" s="68"/>
    </row>
    <row r="101" spans="1:95" s="40" customFormat="1" x14ac:dyDescent="0.25">
      <c r="A101" s="90"/>
      <c r="B101" s="90"/>
      <c r="C101" s="90"/>
      <c r="D101" s="90"/>
      <c r="E101" s="90"/>
      <c r="F101" s="90"/>
      <c r="G101" s="90"/>
      <c r="H101" s="90"/>
      <c r="I101" s="90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90"/>
      <c r="Y101" s="90"/>
      <c r="Z101" s="90"/>
      <c r="AA101" s="90"/>
      <c r="AB101" s="90"/>
      <c r="AC101" s="90"/>
      <c r="AD101" s="90"/>
      <c r="AE101" s="90"/>
      <c r="AF101" s="90"/>
      <c r="AG101" s="90"/>
      <c r="AH101" s="90"/>
      <c r="AI101" s="90"/>
      <c r="AJ101" s="90"/>
      <c r="AK101" s="90"/>
      <c r="AL101" s="90"/>
      <c r="AM101" s="90"/>
      <c r="AN101" s="90"/>
      <c r="AO101" s="90"/>
      <c r="AP101" s="90"/>
      <c r="AQ101" s="70"/>
      <c r="AR101" s="70"/>
      <c r="AS101" s="70"/>
      <c r="AT101" s="70"/>
      <c r="AU101" s="70"/>
      <c r="AV101" s="14"/>
      <c r="AW101" s="68"/>
      <c r="AX101" s="68"/>
      <c r="AY101" s="68"/>
      <c r="AZ101" s="68"/>
      <c r="BA101" s="69"/>
      <c r="BB101" s="69"/>
      <c r="BC101" s="69"/>
      <c r="BD101" s="69"/>
      <c r="BE101" s="69"/>
      <c r="BF101" s="69"/>
      <c r="BG101" s="69"/>
      <c r="BH101" s="69"/>
      <c r="BI101" s="69"/>
      <c r="BJ101" s="69"/>
      <c r="BK101" s="69"/>
      <c r="BL101" s="69"/>
      <c r="BM101" s="69"/>
      <c r="BN101" s="69"/>
      <c r="BO101" s="69"/>
      <c r="BP101" s="69"/>
      <c r="BQ101" s="69"/>
      <c r="BR101" s="69"/>
      <c r="BS101" s="69"/>
      <c r="BT101" s="69"/>
      <c r="BU101" s="69"/>
      <c r="BV101" s="69"/>
      <c r="BW101" s="69"/>
      <c r="BX101" s="69"/>
      <c r="BY101" s="69"/>
      <c r="BZ101" s="69"/>
      <c r="CA101" s="69"/>
      <c r="CB101" s="69"/>
      <c r="CC101" s="69"/>
      <c r="CD101" s="69"/>
      <c r="CE101" s="69"/>
      <c r="CF101" s="69"/>
      <c r="CG101" s="69"/>
      <c r="CH101" s="69"/>
      <c r="CI101" s="69"/>
      <c r="CJ101" s="69"/>
      <c r="CK101" s="69"/>
      <c r="CL101" s="69"/>
      <c r="CM101" s="69"/>
      <c r="CN101" s="68"/>
      <c r="CO101" s="68"/>
      <c r="CP101" s="68"/>
      <c r="CQ101" s="68"/>
    </row>
    <row r="102" spans="1:95" s="40" customFormat="1" x14ac:dyDescent="0.25">
      <c r="A102" s="90"/>
      <c r="B102" s="90"/>
      <c r="C102" s="90"/>
      <c r="D102" s="90"/>
      <c r="E102" s="90"/>
      <c r="F102" s="90"/>
      <c r="G102" s="90"/>
      <c r="H102" s="90"/>
      <c r="I102" s="90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90"/>
      <c r="Y102" s="90"/>
      <c r="Z102" s="90"/>
      <c r="AA102" s="90"/>
      <c r="AB102" s="90"/>
      <c r="AC102" s="90"/>
      <c r="AD102" s="90"/>
      <c r="AE102" s="90"/>
      <c r="AF102" s="90"/>
      <c r="AG102" s="90"/>
      <c r="AH102" s="90"/>
      <c r="AI102" s="90"/>
      <c r="AJ102" s="90"/>
      <c r="AK102" s="90"/>
      <c r="AL102" s="90"/>
      <c r="AM102" s="90"/>
      <c r="AN102" s="90"/>
      <c r="AO102" s="90"/>
      <c r="AP102" s="90"/>
      <c r="AQ102" s="70"/>
      <c r="AR102" s="70"/>
      <c r="AS102" s="70"/>
      <c r="AT102" s="70"/>
      <c r="AU102" s="70"/>
      <c r="AV102" s="14"/>
      <c r="AW102" s="68"/>
      <c r="AX102" s="68"/>
      <c r="AY102" s="68"/>
      <c r="AZ102" s="68"/>
      <c r="BA102" s="69"/>
      <c r="BB102" s="69"/>
      <c r="BC102" s="69"/>
      <c r="BD102" s="69"/>
      <c r="BE102" s="69"/>
      <c r="BF102" s="69"/>
      <c r="BG102" s="69"/>
      <c r="BH102" s="69"/>
      <c r="BI102" s="69"/>
      <c r="BJ102" s="69"/>
      <c r="BK102" s="69"/>
      <c r="BL102" s="69"/>
      <c r="BM102" s="69"/>
      <c r="BN102" s="69"/>
      <c r="BO102" s="69"/>
      <c r="BP102" s="69"/>
      <c r="BQ102" s="69"/>
      <c r="BR102" s="69"/>
      <c r="BS102" s="69"/>
      <c r="BT102" s="69"/>
      <c r="BU102" s="69"/>
      <c r="BV102" s="69"/>
      <c r="BW102" s="69"/>
      <c r="BX102" s="69"/>
      <c r="BY102" s="69"/>
      <c r="BZ102" s="69"/>
      <c r="CA102" s="69"/>
      <c r="CB102" s="69"/>
      <c r="CC102" s="69"/>
      <c r="CD102" s="69"/>
      <c r="CE102" s="69"/>
      <c r="CF102" s="69"/>
      <c r="CG102" s="69"/>
      <c r="CH102" s="69"/>
      <c r="CI102" s="69"/>
      <c r="CJ102" s="69"/>
      <c r="CK102" s="69"/>
      <c r="CL102" s="69"/>
      <c r="CM102" s="69"/>
      <c r="CN102" s="68"/>
      <c r="CO102" s="68"/>
      <c r="CP102" s="68"/>
      <c r="CQ102" s="68"/>
    </row>
    <row r="103" spans="1:95" s="40" customFormat="1" x14ac:dyDescent="0.25">
      <c r="A103" s="90"/>
      <c r="B103" s="90"/>
      <c r="C103" s="90"/>
      <c r="D103" s="90"/>
      <c r="E103" s="90"/>
      <c r="F103" s="90"/>
      <c r="G103" s="90"/>
      <c r="H103" s="90"/>
      <c r="I103" s="90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90"/>
      <c r="Y103" s="90"/>
      <c r="Z103" s="90"/>
      <c r="AA103" s="90"/>
      <c r="AB103" s="90"/>
      <c r="AC103" s="90"/>
      <c r="AD103" s="90"/>
      <c r="AE103" s="90"/>
      <c r="AF103" s="90"/>
      <c r="AG103" s="90"/>
      <c r="AH103" s="90"/>
      <c r="AI103" s="90"/>
      <c r="AJ103" s="90"/>
      <c r="AK103" s="90"/>
      <c r="AL103" s="90"/>
      <c r="AM103" s="90"/>
      <c r="AN103" s="90"/>
      <c r="AO103" s="90"/>
      <c r="AP103" s="90"/>
      <c r="AQ103" s="70"/>
      <c r="AR103" s="70"/>
      <c r="AS103" s="70"/>
      <c r="AT103" s="70"/>
      <c r="AU103" s="70"/>
      <c r="AV103" s="14"/>
      <c r="AW103" s="68"/>
      <c r="AX103" s="68"/>
      <c r="AY103" s="68"/>
      <c r="AZ103" s="68"/>
      <c r="BA103" s="69"/>
      <c r="BB103" s="69"/>
      <c r="BC103" s="69"/>
      <c r="BD103" s="69"/>
      <c r="BE103" s="69"/>
      <c r="BF103" s="69"/>
      <c r="BG103" s="69"/>
      <c r="BH103" s="69"/>
      <c r="BI103" s="69"/>
      <c r="BJ103" s="69"/>
      <c r="BK103" s="69"/>
      <c r="BL103" s="69"/>
      <c r="BM103" s="69"/>
      <c r="BN103" s="69"/>
      <c r="BO103" s="69"/>
      <c r="BP103" s="69"/>
      <c r="BQ103" s="69"/>
      <c r="BR103" s="69"/>
      <c r="BS103" s="69"/>
      <c r="BT103" s="69"/>
      <c r="BU103" s="69"/>
      <c r="BV103" s="69"/>
      <c r="BW103" s="69"/>
      <c r="BX103" s="69"/>
      <c r="BY103" s="69"/>
      <c r="BZ103" s="69"/>
      <c r="CA103" s="69"/>
      <c r="CB103" s="69"/>
      <c r="CC103" s="69"/>
      <c r="CD103" s="69"/>
      <c r="CE103" s="69"/>
      <c r="CF103" s="69"/>
      <c r="CG103" s="69"/>
      <c r="CH103" s="69"/>
      <c r="CI103" s="69"/>
      <c r="CJ103" s="69"/>
      <c r="CK103" s="69"/>
      <c r="CL103" s="69"/>
      <c r="CM103" s="69"/>
      <c r="CN103" s="68"/>
      <c r="CO103" s="68"/>
      <c r="CP103" s="68"/>
      <c r="CQ103" s="68"/>
    </row>
    <row r="104" spans="1:95" s="40" customFormat="1" x14ac:dyDescent="0.25">
      <c r="A104" s="90"/>
      <c r="B104" s="90"/>
      <c r="C104" s="90"/>
      <c r="D104" s="90"/>
      <c r="E104" s="90"/>
      <c r="F104" s="90"/>
      <c r="G104" s="90"/>
      <c r="H104" s="90"/>
      <c r="I104" s="90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90"/>
      <c r="Y104" s="90"/>
      <c r="Z104" s="90"/>
      <c r="AA104" s="90"/>
      <c r="AB104" s="90"/>
      <c r="AC104" s="90"/>
      <c r="AD104" s="90"/>
      <c r="AE104" s="90"/>
      <c r="AF104" s="90"/>
      <c r="AG104" s="90"/>
      <c r="AH104" s="90"/>
      <c r="AI104" s="90"/>
      <c r="AJ104" s="90"/>
      <c r="AK104" s="90"/>
      <c r="AL104" s="90"/>
      <c r="AM104" s="90"/>
      <c r="AN104" s="90"/>
      <c r="AO104" s="90"/>
      <c r="AP104" s="90"/>
      <c r="AQ104" s="70"/>
      <c r="AR104" s="70"/>
      <c r="AS104" s="70"/>
      <c r="AT104" s="70"/>
      <c r="AU104" s="70"/>
      <c r="AV104" s="14"/>
      <c r="AW104" s="68"/>
      <c r="AX104" s="68"/>
      <c r="AY104" s="68"/>
      <c r="AZ104" s="68"/>
      <c r="BA104" s="69"/>
      <c r="BB104" s="69"/>
      <c r="BC104" s="69"/>
      <c r="BD104" s="69"/>
      <c r="BE104" s="69"/>
      <c r="BF104" s="69"/>
      <c r="BG104" s="69"/>
      <c r="BH104" s="69"/>
      <c r="BI104" s="69"/>
      <c r="BJ104" s="69"/>
      <c r="BK104" s="69"/>
      <c r="BL104" s="69"/>
      <c r="BM104" s="69"/>
      <c r="BN104" s="69"/>
      <c r="BO104" s="69"/>
      <c r="BP104" s="69"/>
      <c r="BQ104" s="69"/>
      <c r="BR104" s="69"/>
      <c r="BS104" s="69"/>
      <c r="BT104" s="69"/>
      <c r="BU104" s="69"/>
      <c r="BV104" s="69"/>
      <c r="BW104" s="69"/>
      <c r="BX104" s="69"/>
      <c r="BY104" s="69"/>
      <c r="BZ104" s="69"/>
      <c r="CA104" s="69"/>
      <c r="CB104" s="69"/>
      <c r="CC104" s="69"/>
      <c r="CD104" s="69"/>
      <c r="CE104" s="69"/>
      <c r="CF104" s="69"/>
      <c r="CG104" s="69"/>
      <c r="CH104" s="69"/>
      <c r="CI104" s="69"/>
      <c r="CJ104" s="69"/>
      <c r="CK104" s="69"/>
      <c r="CL104" s="69"/>
      <c r="CM104" s="69"/>
      <c r="CN104" s="68"/>
      <c r="CO104" s="68"/>
      <c r="CP104" s="68"/>
      <c r="CQ104" s="68"/>
    </row>
    <row r="105" spans="1:95" s="40" customFormat="1" x14ac:dyDescent="0.25">
      <c r="A105" s="90"/>
      <c r="B105" s="90"/>
      <c r="C105" s="90"/>
      <c r="D105" s="90"/>
      <c r="E105" s="90"/>
      <c r="F105" s="90"/>
      <c r="G105" s="90"/>
      <c r="H105" s="90"/>
      <c r="I105" s="90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90"/>
      <c r="Y105" s="90"/>
      <c r="Z105" s="90"/>
      <c r="AA105" s="90"/>
      <c r="AB105" s="90"/>
      <c r="AC105" s="90"/>
      <c r="AD105" s="90"/>
      <c r="AE105" s="90"/>
      <c r="AF105" s="90"/>
      <c r="AG105" s="90"/>
      <c r="AH105" s="90"/>
      <c r="AI105" s="90"/>
      <c r="AJ105" s="90"/>
      <c r="AK105" s="90"/>
      <c r="AL105" s="90"/>
      <c r="AM105" s="90"/>
      <c r="AN105" s="90"/>
      <c r="AO105" s="90"/>
      <c r="AP105" s="90"/>
      <c r="AQ105" s="70"/>
      <c r="AR105" s="70"/>
      <c r="AS105" s="70"/>
      <c r="AT105" s="70"/>
      <c r="AU105" s="70"/>
      <c r="AV105" s="14"/>
      <c r="AW105" s="68"/>
      <c r="AX105" s="68"/>
      <c r="AY105" s="68"/>
      <c r="AZ105" s="68"/>
      <c r="BA105" s="69"/>
      <c r="BB105" s="69"/>
      <c r="BC105" s="69"/>
      <c r="BD105" s="69"/>
      <c r="BE105" s="69"/>
      <c r="BF105" s="69"/>
      <c r="BG105" s="69"/>
      <c r="BH105" s="69"/>
      <c r="BI105" s="69"/>
      <c r="BJ105" s="69"/>
      <c r="BK105" s="69"/>
      <c r="BL105" s="69"/>
      <c r="BM105" s="69"/>
      <c r="BN105" s="69"/>
      <c r="BO105" s="69"/>
      <c r="BP105" s="69"/>
      <c r="BQ105" s="69"/>
      <c r="BR105" s="69"/>
      <c r="BS105" s="69"/>
      <c r="BT105" s="69"/>
      <c r="BU105" s="69"/>
      <c r="BV105" s="69"/>
      <c r="BW105" s="69"/>
      <c r="BX105" s="69"/>
      <c r="BY105" s="69"/>
      <c r="BZ105" s="69"/>
      <c r="CA105" s="69"/>
      <c r="CB105" s="69"/>
      <c r="CC105" s="69"/>
      <c r="CD105" s="69"/>
      <c r="CE105" s="69"/>
      <c r="CF105" s="69"/>
      <c r="CG105" s="69"/>
      <c r="CH105" s="69"/>
      <c r="CI105" s="69"/>
      <c r="CJ105" s="69"/>
      <c r="CK105" s="69"/>
      <c r="CL105" s="69"/>
      <c r="CM105" s="69"/>
      <c r="CN105" s="68"/>
      <c r="CO105" s="68"/>
      <c r="CP105" s="68"/>
      <c r="CQ105" s="68"/>
    </row>
    <row r="106" spans="1:95" s="40" customFormat="1" x14ac:dyDescent="0.25">
      <c r="A106" s="90"/>
      <c r="B106" s="90"/>
      <c r="C106" s="90"/>
      <c r="D106" s="90"/>
      <c r="E106" s="90"/>
      <c r="F106" s="90"/>
      <c r="G106" s="90"/>
      <c r="H106" s="90"/>
      <c r="I106" s="90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90"/>
      <c r="Y106" s="90"/>
      <c r="Z106" s="90"/>
      <c r="AA106" s="90"/>
      <c r="AB106" s="90"/>
      <c r="AC106" s="90"/>
      <c r="AD106" s="90"/>
      <c r="AE106" s="90"/>
      <c r="AF106" s="90"/>
      <c r="AG106" s="90"/>
      <c r="AH106" s="90"/>
      <c r="AI106" s="90"/>
      <c r="AJ106" s="90"/>
      <c r="AK106" s="90"/>
      <c r="AL106" s="90"/>
      <c r="AM106" s="90"/>
      <c r="AN106" s="90"/>
      <c r="AO106" s="90"/>
      <c r="AP106" s="90"/>
      <c r="AQ106" s="70"/>
      <c r="AR106" s="70"/>
      <c r="AS106" s="70"/>
      <c r="AT106" s="70"/>
      <c r="AU106" s="70"/>
      <c r="AV106" s="14"/>
      <c r="AW106" s="68"/>
      <c r="AX106" s="68"/>
      <c r="AY106" s="68"/>
      <c r="AZ106" s="68"/>
      <c r="BA106" s="69"/>
      <c r="BB106" s="69"/>
      <c r="BC106" s="69"/>
      <c r="BD106" s="69"/>
      <c r="BE106" s="69"/>
      <c r="BF106" s="69"/>
      <c r="BG106" s="69"/>
      <c r="BH106" s="69"/>
      <c r="BI106" s="69"/>
      <c r="BJ106" s="69"/>
      <c r="BK106" s="69"/>
      <c r="BL106" s="69"/>
      <c r="BM106" s="69"/>
      <c r="BN106" s="69"/>
      <c r="BO106" s="69"/>
      <c r="BP106" s="69"/>
      <c r="BQ106" s="69"/>
      <c r="BR106" s="69"/>
      <c r="BS106" s="69"/>
      <c r="BT106" s="69"/>
      <c r="BU106" s="69"/>
      <c r="BV106" s="69"/>
      <c r="BW106" s="69"/>
      <c r="BX106" s="69"/>
      <c r="BY106" s="69"/>
      <c r="BZ106" s="69"/>
      <c r="CA106" s="69"/>
      <c r="CB106" s="69"/>
      <c r="CC106" s="69"/>
      <c r="CD106" s="69"/>
      <c r="CE106" s="69"/>
      <c r="CF106" s="69"/>
      <c r="CG106" s="69"/>
      <c r="CH106" s="69"/>
      <c r="CI106" s="69"/>
      <c r="CJ106" s="69"/>
      <c r="CK106" s="69"/>
      <c r="CL106" s="69"/>
      <c r="CM106" s="69"/>
      <c r="CN106" s="68"/>
      <c r="CO106" s="68"/>
      <c r="CP106" s="68"/>
      <c r="CQ106" s="68"/>
    </row>
    <row r="107" spans="1:95" s="40" customFormat="1" x14ac:dyDescent="0.25">
      <c r="A107" s="90"/>
      <c r="B107" s="90"/>
      <c r="C107" s="90"/>
      <c r="D107" s="90"/>
      <c r="E107" s="90"/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0"/>
      <c r="Z107" s="90"/>
      <c r="AA107" s="90"/>
      <c r="AB107" s="90"/>
      <c r="AC107" s="90"/>
      <c r="AD107" s="90"/>
      <c r="AE107" s="90"/>
      <c r="AF107" s="90"/>
      <c r="AG107" s="90"/>
      <c r="AH107" s="90"/>
      <c r="AI107" s="90"/>
      <c r="AJ107" s="90"/>
      <c r="AK107" s="90"/>
      <c r="AL107" s="90"/>
      <c r="AM107" s="90"/>
      <c r="AN107" s="90"/>
      <c r="AO107" s="90"/>
      <c r="AP107" s="90"/>
      <c r="AQ107" s="70"/>
      <c r="AR107" s="70"/>
      <c r="AS107" s="70"/>
      <c r="AT107" s="70"/>
      <c r="AU107" s="70"/>
      <c r="AV107" s="14"/>
      <c r="AW107" s="68"/>
      <c r="AX107" s="68"/>
      <c r="AY107" s="68"/>
      <c r="AZ107" s="68"/>
      <c r="BA107" s="69"/>
      <c r="BB107" s="69"/>
      <c r="BC107" s="69"/>
      <c r="BD107" s="69"/>
      <c r="BE107" s="69"/>
      <c r="BF107" s="69"/>
      <c r="BG107" s="69"/>
      <c r="BH107" s="69"/>
      <c r="BI107" s="69"/>
      <c r="BJ107" s="69"/>
      <c r="BK107" s="69"/>
      <c r="BL107" s="69"/>
      <c r="BM107" s="69"/>
      <c r="BN107" s="69"/>
      <c r="BO107" s="69"/>
      <c r="BP107" s="69"/>
      <c r="BQ107" s="69"/>
      <c r="BR107" s="69"/>
      <c r="BS107" s="69"/>
      <c r="BT107" s="69"/>
      <c r="BU107" s="69"/>
      <c r="BV107" s="69"/>
      <c r="BW107" s="69"/>
      <c r="BX107" s="69"/>
      <c r="BY107" s="69"/>
      <c r="BZ107" s="69"/>
      <c r="CA107" s="69"/>
      <c r="CB107" s="69"/>
      <c r="CC107" s="69"/>
      <c r="CD107" s="69"/>
      <c r="CE107" s="69"/>
      <c r="CF107" s="69"/>
      <c r="CG107" s="69"/>
      <c r="CH107" s="69"/>
      <c r="CI107" s="69"/>
      <c r="CJ107" s="69"/>
      <c r="CK107" s="69"/>
      <c r="CL107" s="69"/>
      <c r="CM107" s="69"/>
      <c r="CN107" s="68"/>
      <c r="CO107" s="68"/>
      <c r="CP107" s="68"/>
      <c r="CQ107" s="68"/>
    </row>
    <row r="108" spans="1:95" s="40" customFormat="1" x14ac:dyDescent="0.25">
      <c r="A108" s="90"/>
      <c r="B108" s="90"/>
      <c r="C108" s="90"/>
      <c r="D108" s="90"/>
      <c r="E108" s="90"/>
      <c r="F108" s="90"/>
      <c r="G108" s="90"/>
      <c r="H108" s="90"/>
      <c r="I108" s="90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90"/>
      <c r="Y108" s="90"/>
      <c r="Z108" s="90"/>
      <c r="AA108" s="90"/>
      <c r="AB108" s="90"/>
      <c r="AC108" s="90"/>
      <c r="AD108" s="90"/>
      <c r="AE108" s="90"/>
      <c r="AF108" s="90"/>
      <c r="AG108" s="90"/>
      <c r="AH108" s="90"/>
      <c r="AI108" s="90"/>
      <c r="AJ108" s="90"/>
      <c r="AK108" s="90"/>
      <c r="AL108" s="90"/>
      <c r="AM108" s="90"/>
      <c r="AN108" s="90"/>
      <c r="AO108" s="90"/>
      <c r="AP108" s="90"/>
      <c r="AQ108" s="70"/>
      <c r="AR108" s="70"/>
      <c r="AS108" s="70"/>
      <c r="AT108" s="70"/>
      <c r="AU108" s="70"/>
      <c r="AV108" s="14"/>
      <c r="AW108" s="68"/>
      <c r="AX108" s="68"/>
      <c r="AY108" s="68"/>
      <c r="AZ108" s="68"/>
      <c r="BA108" s="69"/>
      <c r="BB108" s="69"/>
      <c r="BC108" s="69"/>
      <c r="BD108" s="69"/>
      <c r="BE108" s="69"/>
      <c r="BF108" s="69"/>
      <c r="BG108" s="69"/>
      <c r="BH108" s="69"/>
      <c r="BI108" s="69"/>
      <c r="BJ108" s="69"/>
      <c r="BK108" s="69"/>
      <c r="BL108" s="69"/>
      <c r="BM108" s="69"/>
      <c r="BN108" s="69"/>
      <c r="BO108" s="69"/>
      <c r="BP108" s="69"/>
      <c r="BQ108" s="69"/>
      <c r="BR108" s="69"/>
      <c r="BS108" s="69"/>
      <c r="BT108" s="69"/>
      <c r="BU108" s="69"/>
      <c r="BV108" s="69"/>
      <c r="BW108" s="69"/>
      <c r="BX108" s="69"/>
      <c r="BY108" s="69"/>
      <c r="BZ108" s="69"/>
      <c r="CA108" s="69"/>
      <c r="CB108" s="69"/>
      <c r="CC108" s="69"/>
      <c r="CD108" s="69"/>
      <c r="CE108" s="69"/>
      <c r="CF108" s="69"/>
      <c r="CG108" s="69"/>
      <c r="CH108" s="69"/>
      <c r="CI108" s="69"/>
      <c r="CJ108" s="69"/>
      <c r="CK108" s="69"/>
      <c r="CL108" s="69"/>
      <c r="CM108" s="69"/>
      <c r="CN108" s="68"/>
      <c r="CO108" s="68"/>
      <c r="CP108" s="68"/>
      <c r="CQ108" s="68"/>
    </row>
    <row r="109" spans="1:95" s="40" customFormat="1" x14ac:dyDescent="0.25">
      <c r="A109" s="90"/>
      <c r="B109" s="90"/>
      <c r="C109" s="90"/>
      <c r="D109" s="90"/>
      <c r="E109" s="90"/>
      <c r="F109" s="90"/>
      <c r="G109" s="90"/>
      <c r="H109" s="90"/>
      <c r="I109" s="90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90"/>
      <c r="Y109" s="90"/>
      <c r="Z109" s="90"/>
      <c r="AA109" s="90"/>
      <c r="AB109" s="90"/>
      <c r="AC109" s="90"/>
      <c r="AD109" s="90"/>
      <c r="AE109" s="90"/>
      <c r="AF109" s="90"/>
      <c r="AG109" s="90"/>
      <c r="AH109" s="90"/>
      <c r="AI109" s="90"/>
      <c r="AJ109" s="90"/>
      <c r="AK109" s="90"/>
      <c r="AL109" s="90"/>
      <c r="AM109" s="90"/>
      <c r="AN109" s="90"/>
      <c r="AO109" s="90"/>
      <c r="AP109" s="90"/>
      <c r="AQ109" s="70"/>
      <c r="AR109" s="70"/>
      <c r="AS109" s="70"/>
      <c r="AT109" s="70"/>
      <c r="AU109" s="70"/>
      <c r="AV109" s="14"/>
      <c r="AW109" s="68"/>
      <c r="AX109" s="68"/>
      <c r="AY109" s="68"/>
      <c r="AZ109" s="68"/>
      <c r="BA109" s="69"/>
      <c r="BB109" s="69"/>
      <c r="BC109" s="69"/>
      <c r="BD109" s="69"/>
      <c r="BE109" s="69"/>
      <c r="BF109" s="69"/>
      <c r="BG109" s="69"/>
      <c r="BH109" s="69"/>
      <c r="BI109" s="69"/>
      <c r="BJ109" s="69"/>
      <c r="BK109" s="69"/>
      <c r="BL109" s="69"/>
      <c r="BM109" s="69"/>
      <c r="BN109" s="69"/>
      <c r="BO109" s="69"/>
      <c r="BP109" s="69"/>
      <c r="BQ109" s="69"/>
      <c r="BR109" s="69"/>
      <c r="BS109" s="69"/>
      <c r="BT109" s="69"/>
      <c r="BU109" s="69"/>
      <c r="BV109" s="69"/>
      <c r="BW109" s="69"/>
      <c r="BX109" s="69"/>
      <c r="BY109" s="69"/>
      <c r="BZ109" s="69"/>
      <c r="CA109" s="69"/>
      <c r="CB109" s="69"/>
      <c r="CC109" s="69"/>
      <c r="CD109" s="69"/>
      <c r="CE109" s="69"/>
      <c r="CF109" s="69"/>
      <c r="CG109" s="69"/>
      <c r="CH109" s="69"/>
      <c r="CI109" s="69"/>
      <c r="CJ109" s="69"/>
      <c r="CK109" s="69"/>
      <c r="CL109" s="69"/>
      <c r="CM109" s="69"/>
      <c r="CN109" s="68"/>
      <c r="CO109" s="68"/>
      <c r="CP109" s="68"/>
      <c r="CQ109" s="68"/>
    </row>
    <row r="110" spans="1:95" s="40" customFormat="1" x14ac:dyDescent="0.25">
      <c r="A110" s="90"/>
      <c r="B110" s="90"/>
      <c r="C110" s="90"/>
      <c r="D110" s="90"/>
      <c r="E110" s="90"/>
      <c r="F110" s="90"/>
      <c r="G110" s="90"/>
      <c r="H110" s="90"/>
      <c r="I110" s="90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90"/>
      <c r="Y110" s="90"/>
      <c r="Z110" s="90"/>
      <c r="AA110" s="90"/>
      <c r="AB110" s="90"/>
      <c r="AC110" s="90"/>
      <c r="AD110" s="90"/>
      <c r="AE110" s="90"/>
      <c r="AF110" s="90"/>
      <c r="AG110" s="90"/>
      <c r="AH110" s="90"/>
      <c r="AI110" s="90"/>
      <c r="AJ110" s="90"/>
      <c r="AK110" s="90"/>
      <c r="AL110" s="90"/>
      <c r="AM110" s="90"/>
      <c r="AN110" s="90"/>
      <c r="AO110" s="90"/>
      <c r="AP110" s="90"/>
      <c r="AQ110" s="70"/>
      <c r="AR110" s="70"/>
      <c r="AS110" s="70"/>
      <c r="AT110" s="70"/>
      <c r="AU110" s="70"/>
      <c r="AV110" s="14"/>
      <c r="AW110" s="68"/>
      <c r="AX110" s="68"/>
      <c r="AY110" s="68"/>
      <c r="AZ110" s="68"/>
      <c r="BA110" s="69"/>
      <c r="BB110" s="69"/>
      <c r="BC110" s="69"/>
      <c r="BD110" s="69"/>
      <c r="BE110" s="69"/>
      <c r="BF110" s="69"/>
      <c r="BG110" s="69"/>
      <c r="BH110" s="69"/>
      <c r="BI110" s="69"/>
      <c r="BJ110" s="69"/>
      <c r="BK110" s="69"/>
      <c r="BL110" s="69"/>
      <c r="BM110" s="69"/>
      <c r="BN110" s="69"/>
      <c r="BO110" s="69"/>
      <c r="BP110" s="69"/>
      <c r="BQ110" s="69"/>
      <c r="BR110" s="69"/>
      <c r="BS110" s="69"/>
      <c r="BT110" s="69"/>
      <c r="BU110" s="69"/>
      <c r="BV110" s="69"/>
      <c r="BW110" s="69"/>
      <c r="BX110" s="69"/>
      <c r="BY110" s="69"/>
      <c r="BZ110" s="69"/>
      <c r="CA110" s="69"/>
      <c r="CB110" s="69"/>
      <c r="CC110" s="69"/>
      <c r="CD110" s="69"/>
      <c r="CE110" s="69"/>
      <c r="CF110" s="69"/>
      <c r="CG110" s="69"/>
      <c r="CH110" s="69"/>
      <c r="CI110" s="69"/>
      <c r="CJ110" s="69"/>
      <c r="CK110" s="69"/>
      <c r="CL110" s="69"/>
      <c r="CM110" s="69"/>
      <c r="CN110" s="68"/>
      <c r="CO110" s="68"/>
      <c r="CP110" s="68"/>
      <c r="CQ110" s="68"/>
    </row>
    <row r="111" spans="1:95" s="40" customFormat="1" x14ac:dyDescent="0.25">
      <c r="A111" s="90"/>
      <c r="B111" s="90"/>
      <c r="C111" s="90"/>
      <c r="D111" s="90"/>
      <c r="E111" s="90"/>
      <c r="F111" s="90"/>
      <c r="G111" s="90"/>
      <c r="H111" s="90"/>
      <c r="I111" s="90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90"/>
      <c r="Y111" s="90"/>
      <c r="Z111" s="90"/>
      <c r="AA111" s="90"/>
      <c r="AB111" s="90"/>
      <c r="AC111" s="90"/>
      <c r="AD111" s="90"/>
      <c r="AE111" s="90"/>
      <c r="AF111" s="90"/>
      <c r="AG111" s="90"/>
      <c r="AH111" s="90"/>
      <c r="AI111" s="90"/>
      <c r="AJ111" s="90"/>
      <c r="AK111" s="90"/>
      <c r="AL111" s="90"/>
      <c r="AM111" s="90"/>
      <c r="AN111" s="90"/>
      <c r="AO111" s="90"/>
      <c r="AP111" s="90"/>
      <c r="AQ111" s="90"/>
      <c r="AR111" s="90"/>
      <c r="AS111" s="90"/>
      <c r="AT111" s="90"/>
      <c r="AU111" s="90"/>
      <c r="AV111" s="71"/>
      <c r="AW111" s="72"/>
      <c r="AX111" s="72"/>
      <c r="AY111" s="72"/>
      <c r="AZ111" s="72"/>
      <c r="BA111" s="73"/>
      <c r="BB111" s="73"/>
      <c r="BC111" s="73"/>
      <c r="BD111" s="73"/>
      <c r="BE111" s="73"/>
      <c r="BF111" s="73"/>
      <c r="BG111" s="73"/>
      <c r="BH111" s="73"/>
      <c r="BI111" s="73"/>
      <c r="BJ111" s="73"/>
      <c r="BK111" s="73"/>
      <c r="BL111" s="73"/>
      <c r="BM111" s="73"/>
      <c r="BN111" s="73"/>
      <c r="BO111" s="73"/>
      <c r="BP111" s="73"/>
      <c r="BQ111" s="73"/>
      <c r="BR111" s="73"/>
      <c r="BS111" s="73"/>
      <c r="BT111" s="73"/>
      <c r="BU111" s="73"/>
      <c r="BV111" s="73"/>
      <c r="BW111" s="73"/>
      <c r="BX111" s="73"/>
      <c r="BY111" s="73"/>
      <c r="BZ111" s="73"/>
      <c r="CA111" s="73"/>
      <c r="CB111" s="73"/>
      <c r="CC111" s="73"/>
      <c r="CD111" s="73"/>
      <c r="CE111" s="73"/>
      <c r="CF111" s="73"/>
      <c r="CG111" s="73"/>
      <c r="CH111" s="73"/>
      <c r="CI111" s="73"/>
      <c r="CJ111" s="73"/>
      <c r="CK111" s="73"/>
      <c r="CL111" s="73"/>
      <c r="CM111" s="73"/>
      <c r="CN111" s="72"/>
      <c r="CO111" s="72"/>
      <c r="CP111" s="72"/>
      <c r="CQ111" s="72"/>
    </row>
    <row r="112" spans="1:95" s="40" customFormat="1" x14ac:dyDescent="0.25">
      <c r="A112" s="90"/>
      <c r="B112" s="90"/>
      <c r="C112" s="90"/>
      <c r="D112" s="90"/>
      <c r="E112" s="90"/>
      <c r="F112" s="90"/>
      <c r="G112" s="90"/>
      <c r="H112" s="90"/>
      <c r="I112" s="90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90"/>
      <c r="Y112" s="90"/>
      <c r="Z112" s="90"/>
      <c r="AA112" s="90"/>
      <c r="AB112" s="90"/>
      <c r="AC112" s="90"/>
      <c r="AD112" s="90"/>
      <c r="AE112" s="90"/>
      <c r="AF112" s="90"/>
      <c r="AG112" s="90"/>
      <c r="AH112" s="90"/>
      <c r="AI112" s="90"/>
      <c r="AJ112" s="90"/>
      <c r="AK112" s="90"/>
      <c r="AL112" s="90"/>
      <c r="AM112" s="90"/>
      <c r="AN112" s="90"/>
      <c r="AO112" s="90"/>
      <c r="AP112" s="90"/>
      <c r="AQ112" s="90"/>
      <c r="AR112" s="90"/>
      <c r="AS112" s="90"/>
      <c r="AT112" s="90"/>
      <c r="AU112" s="90"/>
      <c r="AV112" s="71"/>
      <c r="AW112" s="72"/>
      <c r="AX112" s="72"/>
      <c r="AY112" s="72"/>
      <c r="AZ112" s="72"/>
      <c r="BA112" s="73"/>
      <c r="BB112" s="73"/>
      <c r="BC112" s="73"/>
      <c r="BD112" s="73"/>
      <c r="BE112" s="73"/>
      <c r="BF112" s="73"/>
      <c r="BG112" s="73"/>
      <c r="BH112" s="73"/>
      <c r="BI112" s="73"/>
      <c r="BJ112" s="73"/>
      <c r="BK112" s="73"/>
      <c r="BL112" s="73"/>
      <c r="BM112" s="73"/>
      <c r="BN112" s="73"/>
      <c r="BO112" s="73"/>
      <c r="BP112" s="73"/>
      <c r="BQ112" s="73"/>
      <c r="BR112" s="73"/>
      <c r="BS112" s="73"/>
      <c r="BT112" s="73"/>
      <c r="BU112" s="73"/>
      <c r="BV112" s="73"/>
      <c r="BW112" s="73"/>
      <c r="BX112" s="73"/>
      <c r="BY112" s="73"/>
      <c r="BZ112" s="73"/>
      <c r="CA112" s="73"/>
      <c r="CB112" s="73"/>
      <c r="CC112" s="73"/>
      <c r="CD112" s="73"/>
      <c r="CE112" s="73"/>
      <c r="CF112" s="73"/>
      <c r="CG112" s="73"/>
      <c r="CH112" s="73"/>
      <c r="CI112" s="73"/>
      <c r="CJ112" s="73"/>
      <c r="CK112" s="73"/>
      <c r="CL112" s="73"/>
      <c r="CM112" s="73"/>
      <c r="CN112" s="72"/>
      <c r="CO112" s="72"/>
      <c r="CP112" s="72"/>
      <c r="CQ112" s="72"/>
    </row>
    <row r="113" spans="1:95" s="40" customFormat="1" x14ac:dyDescent="0.25">
      <c r="A113" s="90"/>
      <c r="B113" s="90"/>
      <c r="C113" s="90"/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0"/>
      <c r="Z113" s="90"/>
      <c r="AA113" s="90"/>
      <c r="AB113" s="90"/>
      <c r="AC113" s="90"/>
      <c r="AD113" s="90"/>
      <c r="AE113" s="90"/>
      <c r="AF113" s="90"/>
      <c r="AG113" s="90"/>
      <c r="AH113" s="90"/>
      <c r="AI113" s="90"/>
      <c r="AJ113" s="90"/>
      <c r="AK113" s="90"/>
      <c r="AL113" s="90"/>
      <c r="AM113" s="90"/>
      <c r="AN113" s="90"/>
      <c r="AO113" s="90"/>
      <c r="AP113" s="90"/>
      <c r="AQ113" s="90"/>
      <c r="AR113" s="90"/>
      <c r="AS113" s="90"/>
      <c r="AT113" s="90"/>
      <c r="AU113" s="90"/>
      <c r="AV113" s="71"/>
      <c r="AW113" s="72"/>
      <c r="AX113" s="72"/>
      <c r="AY113" s="72"/>
      <c r="AZ113" s="72"/>
      <c r="BA113" s="73"/>
      <c r="BB113" s="73"/>
      <c r="BC113" s="73"/>
      <c r="BD113" s="73"/>
      <c r="BE113" s="73"/>
      <c r="BF113" s="73"/>
      <c r="BG113" s="73"/>
      <c r="BH113" s="73"/>
      <c r="BI113" s="73"/>
      <c r="BJ113" s="73"/>
      <c r="BK113" s="73"/>
      <c r="BL113" s="73"/>
      <c r="BM113" s="73"/>
      <c r="BN113" s="73"/>
      <c r="BO113" s="73"/>
      <c r="BP113" s="73"/>
      <c r="BQ113" s="73"/>
      <c r="BR113" s="73"/>
      <c r="BS113" s="73"/>
      <c r="BT113" s="73"/>
      <c r="BU113" s="73"/>
      <c r="BV113" s="73"/>
      <c r="BW113" s="73"/>
      <c r="BX113" s="73"/>
      <c r="BY113" s="73"/>
      <c r="BZ113" s="73"/>
      <c r="CA113" s="73"/>
      <c r="CB113" s="73"/>
      <c r="CC113" s="73"/>
      <c r="CD113" s="73"/>
      <c r="CE113" s="73"/>
      <c r="CF113" s="73"/>
      <c r="CG113" s="73"/>
      <c r="CH113" s="73"/>
      <c r="CI113" s="73"/>
      <c r="CJ113" s="73"/>
      <c r="CK113" s="73"/>
      <c r="CL113" s="73"/>
      <c r="CM113" s="73"/>
      <c r="CN113" s="72"/>
      <c r="CO113" s="72"/>
      <c r="CP113" s="72"/>
      <c r="CQ113" s="72"/>
    </row>
    <row r="114" spans="1:95" s="40" customFormat="1" x14ac:dyDescent="0.25">
      <c r="A114" s="90"/>
      <c r="B114" s="90"/>
      <c r="C114" s="90"/>
      <c r="D114" s="90"/>
      <c r="E114" s="90"/>
      <c r="F114" s="90"/>
      <c r="G114" s="90"/>
      <c r="H114" s="90"/>
      <c r="I114" s="90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90"/>
      <c r="Y114" s="90"/>
      <c r="Z114" s="90"/>
      <c r="AA114" s="90"/>
      <c r="AB114" s="90"/>
      <c r="AC114" s="90"/>
      <c r="AD114" s="90"/>
      <c r="AE114" s="90"/>
      <c r="AF114" s="90"/>
      <c r="AG114" s="90"/>
      <c r="AH114" s="90"/>
      <c r="AI114" s="90"/>
      <c r="AJ114" s="90"/>
      <c r="AK114" s="90"/>
      <c r="AL114" s="90"/>
      <c r="AM114" s="90"/>
      <c r="AN114" s="90"/>
      <c r="AO114" s="90"/>
      <c r="AP114" s="90"/>
      <c r="AQ114" s="90"/>
      <c r="AR114" s="90"/>
      <c r="AS114" s="90"/>
      <c r="AT114" s="90"/>
      <c r="AU114" s="90"/>
      <c r="AV114" s="71"/>
      <c r="AW114" s="72"/>
      <c r="AX114" s="72"/>
      <c r="AY114" s="72"/>
      <c r="AZ114" s="72"/>
      <c r="BA114" s="73"/>
      <c r="BB114" s="73"/>
      <c r="BC114" s="73"/>
      <c r="BD114" s="73"/>
      <c r="BE114" s="73"/>
      <c r="BF114" s="73"/>
      <c r="BG114" s="73"/>
      <c r="BH114" s="73"/>
      <c r="BI114" s="73"/>
      <c r="BJ114" s="73"/>
      <c r="BK114" s="73"/>
      <c r="BL114" s="73"/>
      <c r="BM114" s="73"/>
      <c r="BN114" s="73"/>
      <c r="BO114" s="73"/>
      <c r="BP114" s="73"/>
      <c r="BQ114" s="73"/>
      <c r="BR114" s="73"/>
      <c r="BS114" s="73"/>
      <c r="BT114" s="73"/>
      <c r="BU114" s="73"/>
      <c r="BV114" s="73"/>
      <c r="BW114" s="73"/>
      <c r="BX114" s="73"/>
      <c r="BY114" s="73"/>
      <c r="BZ114" s="73"/>
      <c r="CA114" s="73"/>
      <c r="CB114" s="73"/>
      <c r="CC114" s="73"/>
      <c r="CD114" s="73"/>
      <c r="CE114" s="73"/>
      <c r="CF114" s="73"/>
      <c r="CG114" s="73"/>
      <c r="CH114" s="73"/>
      <c r="CI114" s="73"/>
      <c r="CJ114" s="73"/>
      <c r="CK114" s="73"/>
      <c r="CL114" s="73"/>
      <c r="CM114" s="73"/>
      <c r="CN114" s="72"/>
      <c r="CO114" s="72"/>
      <c r="CP114" s="72"/>
      <c r="CQ114" s="72"/>
    </row>
    <row r="115" spans="1:95" s="40" customFormat="1" x14ac:dyDescent="0.25">
      <c r="A115" s="90"/>
      <c r="B115" s="90"/>
      <c r="C115" s="90"/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0"/>
      <c r="Z115" s="90"/>
      <c r="AA115" s="90"/>
      <c r="AB115" s="90"/>
      <c r="AC115" s="90"/>
      <c r="AD115" s="90"/>
      <c r="AE115" s="90"/>
      <c r="AF115" s="90"/>
      <c r="AG115" s="90"/>
      <c r="AH115" s="90"/>
      <c r="AI115" s="90"/>
      <c r="AJ115" s="90"/>
      <c r="AK115" s="90"/>
      <c r="AL115" s="90"/>
      <c r="AM115" s="90"/>
      <c r="AN115" s="90"/>
      <c r="AO115" s="90"/>
      <c r="AP115" s="90"/>
      <c r="AQ115" s="90"/>
      <c r="AR115" s="90"/>
      <c r="AS115" s="90"/>
      <c r="AT115" s="90"/>
      <c r="AU115" s="90"/>
      <c r="AV115" s="71"/>
      <c r="AW115" s="72"/>
      <c r="AX115" s="72"/>
      <c r="AY115" s="72"/>
      <c r="AZ115" s="72"/>
      <c r="BA115" s="73"/>
      <c r="BB115" s="73"/>
      <c r="BC115" s="73"/>
      <c r="BD115" s="73"/>
      <c r="BE115" s="73"/>
      <c r="BF115" s="73"/>
      <c r="BG115" s="73"/>
      <c r="BH115" s="73"/>
      <c r="BI115" s="73"/>
      <c r="BJ115" s="73"/>
      <c r="BK115" s="73"/>
      <c r="BL115" s="73"/>
      <c r="BM115" s="73"/>
      <c r="BN115" s="73"/>
      <c r="BO115" s="73"/>
      <c r="BP115" s="73"/>
      <c r="BQ115" s="73"/>
      <c r="BR115" s="73"/>
      <c r="BS115" s="73"/>
      <c r="BT115" s="73"/>
      <c r="BU115" s="73"/>
      <c r="BV115" s="73"/>
      <c r="BW115" s="73"/>
      <c r="BX115" s="73"/>
      <c r="BY115" s="73"/>
      <c r="BZ115" s="73"/>
      <c r="CA115" s="73"/>
      <c r="CB115" s="73"/>
      <c r="CC115" s="73"/>
      <c r="CD115" s="73"/>
      <c r="CE115" s="73"/>
      <c r="CF115" s="73"/>
      <c r="CG115" s="73"/>
      <c r="CH115" s="73"/>
      <c r="CI115" s="73"/>
      <c r="CJ115" s="73"/>
      <c r="CK115" s="73"/>
      <c r="CL115" s="73"/>
      <c r="CM115" s="73"/>
      <c r="CN115" s="72"/>
      <c r="CO115" s="72"/>
      <c r="CP115" s="72"/>
      <c r="CQ115" s="72"/>
    </row>
    <row r="116" spans="1:95" s="40" customFormat="1" x14ac:dyDescent="0.25">
      <c r="A116" s="90"/>
      <c r="B116" s="90"/>
      <c r="C116" s="90"/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0"/>
      <c r="Z116" s="90"/>
      <c r="AA116" s="90"/>
      <c r="AB116" s="90"/>
      <c r="AC116" s="90"/>
      <c r="AD116" s="90"/>
      <c r="AE116" s="90"/>
      <c r="AF116" s="90"/>
      <c r="AG116" s="90"/>
      <c r="AH116" s="90"/>
      <c r="AI116" s="90"/>
      <c r="AJ116" s="90"/>
      <c r="AK116" s="90"/>
      <c r="AL116" s="90"/>
      <c r="AM116" s="90"/>
      <c r="AN116" s="90"/>
      <c r="AO116" s="90"/>
      <c r="AP116" s="90"/>
      <c r="AQ116" s="90"/>
      <c r="AR116" s="90"/>
      <c r="AS116" s="90"/>
      <c r="AT116" s="90"/>
      <c r="AU116" s="90"/>
      <c r="AV116" s="71"/>
      <c r="AW116" s="72"/>
      <c r="AX116" s="72"/>
      <c r="AY116" s="72"/>
      <c r="AZ116" s="72"/>
      <c r="BA116" s="73"/>
      <c r="BB116" s="73"/>
      <c r="BC116" s="73"/>
      <c r="BD116" s="73"/>
      <c r="BE116" s="73"/>
      <c r="BF116" s="73"/>
      <c r="BG116" s="73"/>
      <c r="BH116" s="73"/>
      <c r="BI116" s="73"/>
      <c r="BJ116" s="73"/>
      <c r="BK116" s="73"/>
      <c r="BL116" s="73"/>
      <c r="BM116" s="73"/>
      <c r="BN116" s="73"/>
      <c r="BO116" s="73"/>
      <c r="BP116" s="73"/>
      <c r="BQ116" s="73"/>
      <c r="BR116" s="73"/>
      <c r="BS116" s="73"/>
      <c r="BT116" s="73"/>
      <c r="BU116" s="73"/>
      <c r="BV116" s="73"/>
      <c r="BW116" s="73"/>
      <c r="BX116" s="73"/>
      <c r="BY116" s="73"/>
      <c r="BZ116" s="73"/>
      <c r="CA116" s="73"/>
      <c r="CB116" s="73"/>
      <c r="CC116" s="73"/>
      <c r="CD116" s="73"/>
      <c r="CE116" s="73"/>
      <c r="CF116" s="73"/>
      <c r="CG116" s="73"/>
      <c r="CH116" s="73"/>
      <c r="CI116" s="73"/>
      <c r="CJ116" s="73"/>
      <c r="CK116" s="73"/>
      <c r="CL116" s="73"/>
      <c r="CM116" s="73"/>
      <c r="CN116" s="72"/>
      <c r="CO116" s="72"/>
      <c r="CP116" s="72"/>
      <c r="CQ116" s="72"/>
    </row>
    <row r="117" spans="1:95" s="40" customFormat="1" x14ac:dyDescent="0.25">
      <c r="A117" s="90"/>
      <c r="B117" s="90"/>
      <c r="C117" s="90"/>
      <c r="D117" s="90"/>
      <c r="E117" s="90"/>
      <c r="F117" s="90"/>
      <c r="G117" s="90"/>
      <c r="H117" s="90"/>
      <c r="I117" s="90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90"/>
      <c r="Y117" s="90"/>
      <c r="Z117" s="90"/>
      <c r="AA117" s="90"/>
      <c r="AB117" s="90"/>
      <c r="AC117" s="90"/>
      <c r="AD117" s="90"/>
      <c r="AE117" s="90"/>
      <c r="AF117" s="90"/>
      <c r="AG117" s="90"/>
      <c r="AH117" s="90"/>
      <c r="AI117" s="90"/>
      <c r="AJ117" s="90"/>
      <c r="AK117" s="90"/>
      <c r="AL117" s="90"/>
      <c r="AM117" s="90"/>
      <c r="AN117" s="90"/>
      <c r="AO117" s="90"/>
      <c r="AP117" s="90"/>
      <c r="AQ117" s="90"/>
      <c r="AR117" s="90"/>
      <c r="AS117" s="90"/>
      <c r="AT117" s="90"/>
      <c r="AU117" s="90"/>
      <c r="AV117" s="71"/>
      <c r="AW117" s="72"/>
      <c r="AX117" s="72"/>
      <c r="AY117" s="72"/>
      <c r="AZ117" s="72"/>
      <c r="BA117" s="73"/>
      <c r="BB117" s="73"/>
      <c r="BC117" s="73"/>
      <c r="BD117" s="73"/>
      <c r="BE117" s="73"/>
      <c r="BF117" s="73"/>
      <c r="BG117" s="73"/>
      <c r="BH117" s="73"/>
      <c r="BI117" s="73"/>
      <c r="BJ117" s="73"/>
      <c r="BK117" s="73"/>
      <c r="BL117" s="73"/>
      <c r="BM117" s="73"/>
      <c r="BN117" s="73"/>
      <c r="BO117" s="73"/>
      <c r="BP117" s="73"/>
      <c r="BQ117" s="73"/>
      <c r="BR117" s="73"/>
      <c r="BS117" s="73"/>
      <c r="BT117" s="73"/>
      <c r="BU117" s="73"/>
      <c r="BV117" s="73"/>
      <c r="BW117" s="73"/>
      <c r="BX117" s="73"/>
      <c r="BY117" s="73"/>
      <c r="BZ117" s="73"/>
      <c r="CA117" s="73"/>
      <c r="CB117" s="73"/>
      <c r="CC117" s="73"/>
      <c r="CD117" s="73"/>
      <c r="CE117" s="73"/>
      <c r="CF117" s="73"/>
      <c r="CG117" s="73"/>
      <c r="CH117" s="73"/>
      <c r="CI117" s="73"/>
      <c r="CJ117" s="73"/>
      <c r="CK117" s="73"/>
      <c r="CL117" s="73"/>
      <c r="CM117" s="73"/>
      <c r="CN117" s="72"/>
      <c r="CO117" s="72"/>
      <c r="CP117" s="72"/>
      <c r="CQ117" s="72"/>
    </row>
    <row r="118" spans="1:95" s="40" customFormat="1" x14ac:dyDescent="0.25">
      <c r="A118" s="90"/>
      <c r="B118" s="90"/>
      <c r="C118" s="90"/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0"/>
      <c r="Z118" s="90"/>
      <c r="AA118" s="90"/>
      <c r="AB118" s="90"/>
      <c r="AC118" s="90"/>
      <c r="AD118" s="90"/>
      <c r="AE118" s="90"/>
      <c r="AF118" s="90"/>
      <c r="AG118" s="90"/>
      <c r="AH118" s="90"/>
      <c r="AI118" s="90"/>
      <c r="AJ118" s="90"/>
      <c r="AK118" s="90"/>
      <c r="AL118" s="90"/>
      <c r="AM118" s="90"/>
      <c r="AN118" s="90"/>
      <c r="AO118" s="90"/>
      <c r="AP118" s="90"/>
      <c r="AQ118" s="90"/>
      <c r="AR118" s="90"/>
      <c r="AS118" s="90"/>
      <c r="AT118" s="90"/>
      <c r="AU118" s="90"/>
      <c r="AV118" s="71"/>
      <c r="AW118" s="72"/>
      <c r="AX118" s="72"/>
      <c r="AY118" s="72"/>
      <c r="AZ118" s="72"/>
      <c r="BA118" s="73"/>
      <c r="BB118" s="73"/>
      <c r="BC118" s="73"/>
      <c r="BD118" s="73"/>
      <c r="BE118" s="73"/>
      <c r="BF118" s="73"/>
      <c r="BG118" s="73"/>
      <c r="BH118" s="73"/>
      <c r="BI118" s="73"/>
      <c r="BJ118" s="73"/>
      <c r="BK118" s="73"/>
      <c r="BL118" s="73"/>
      <c r="BM118" s="73"/>
      <c r="BN118" s="73"/>
      <c r="BO118" s="73"/>
      <c r="BP118" s="73"/>
      <c r="BQ118" s="73"/>
      <c r="BR118" s="73"/>
      <c r="BS118" s="73"/>
      <c r="BT118" s="73"/>
      <c r="BU118" s="73"/>
      <c r="BV118" s="73"/>
      <c r="BW118" s="73"/>
      <c r="BX118" s="73"/>
      <c r="BY118" s="73"/>
      <c r="BZ118" s="73"/>
      <c r="CA118" s="73"/>
      <c r="CB118" s="73"/>
      <c r="CC118" s="73"/>
      <c r="CD118" s="73"/>
      <c r="CE118" s="73"/>
      <c r="CF118" s="73"/>
      <c r="CG118" s="73"/>
      <c r="CH118" s="73"/>
      <c r="CI118" s="73"/>
      <c r="CJ118" s="73"/>
      <c r="CK118" s="73"/>
      <c r="CL118" s="73"/>
      <c r="CM118" s="73"/>
      <c r="CN118" s="72"/>
      <c r="CO118" s="72"/>
      <c r="CP118" s="72"/>
      <c r="CQ118" s="72"/>
    </row>
    <row r="119" spans="1:95" s="40" customFormat="1" x14ac:dyDescent="0.25">
      <c r="A119" s="90"/>
      <c r="B119" s="90"/>
      <c r="C119" s="90"/>
      <c r="D119" s="90"/>
      <c r="E119" s="90"/>
      <c r="F119" s="90"/>
      <c r="G119" s="90"/>
      <c r="H119" s="90"/>
      <c r="I119" s="90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90"/>
      <c r="Y119" s="90"/>
      <c r="Z119" s="90"/>
      <c r="AA119" s="90"/>
      <c r="AB119" s="90"/>
      <c r="AC119" s="90"/>
      <c r="AD119" s="90"/>
      <c r="AE119" s="90"/>
      <c r="AF119" s="90"/>
      <c r="AG119" s="90"/>
      <c r="AH119" s="90"/>
      <c r="AI119" s="90"/>
      <c r="AJ119" s="90"/>
      <c r="AK119" s="90"/>
      <c r="AL119" s="90"/>
      <c r="AM119" s="90"/>
      <c r="AN119" s="90"/>
      <c r="AO119" s="90"/>
      <c r="AP119" s="90"/>
      <c r="AQ119" s="90"/>
      <c r="AR119" s="90"/>
      <c r="AS119" s="90"/>
      <c r="AT119" s="90"/>
      <c r="AU119" s="90"/>
      <c r="AV119" s="71"/>
      <c r="AW119" s="72"/>
      <c r="AX119" s="72"/>
      <c r="AY119" s="72"/>
      <c r="AZ119" s="72"/>
      <c r="BA119" s="73"/>
      <c r="BB119" s="73"/>
      <c r="BC119" s="73"/>
      <c r="BD119" s="73"/>
      <c r="BE119" s="73"/>
      <c r="BF119" s="73"/>
      <c r="BG119" s="73"/>
      <c r="BH119" s="73"/>
      <c r="BI119" s="73"/>
      <c r="BJ119" s="73"/>
      <c r="BK119" s="73"/>
      <c r="BL119" s="73"/>
      <c r="BM119" s="73"/>
      <c r="BN119" s="73"/>
      <c r="BO119" s="73"/>
      <c r="BP119" s="73"/>
      <c r="BQ119" s="73"/>
      <c r="BR119" s="73"/>
      <c r="BS119" s="73"/>
      <c r="BT119" s="73"/>
      <c r="BU119" s="73"/>
      <c r="BV119" s="73"/>
      <c r="BW119" s="73"/>
      <c r="BX119" s="73"/>
      <c r="BY119" s="73"/>
      <c r="BZ119" s="73"/>
      <c r="CA119" s="73"/>
      <c r="CB119" s="73"/>
      <c r="CC119" s="73"/>
      <c r="CD119" s="73"/>
      <c r="CE119" s="73"/>
      <c r="CF119" s="73"/>
      <c r="CG119" s="73"/>
      <c r="CH119" s="73"/>
      <c r="CI119" s="73"/>
      <c r="CJ119" s="73"/>
      <c r="CK119" s="73"/>
      <c r="CL119" s="73"/>
      <c r="CM119" s="73"/>
      <c r="CN119" s="72"/>
      <c r="CO119" s="72"/>
      <c r="CP119" s="72"/>
      <c r="CQ119" s="72"/>
    </row>
    <row r="120" spans="1:95" s="40" customFormat="1" x14ac:dyDescent="0.25">
      <c r="A120" s="90"/>
      <c r="B120" s="90"/>
      <c r="C120" s="90"/>
      <c r="D120" s="90"/>
      <c r="E120" s="90"/>
      <c r="F120" s="90"/>
      <c r="G120" s="90"/>
      <c r="H120" s="90"/>
      <c r="I120" s="90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90"/>
      <c r="Y120" s="90"/>
      <c r="Z120" s="90"/>
      <c r="AA120" s="90"/>
      <c r="AB120" s="90"/>
      <c r="AC120" s="90"/>
      <c r="AD120" s="90"/>
      <c r="AE120" s="90"/>
      <c r="AF120" s="90"/>
      <c r="AG120" s="90"/>
      <c r="AH120" s="90"/>
      <c r="AI120" s="90"/>
      <c r="AJ120" s="90"/>
      <c r="AK120" s="90"/>
      <c r="AL120" s="90"/>
      <c r="AM120" s="90"/>
      <c r="AN120" s="90"/>
      <c r="AO120" s="90"/>
      <c r="AP120" s="90"/>
      <c r="AQ120" s="90"/>
      <c r="AR120" s="90"/>
      <c r="AS120" s="90"/>
      <c r="AT120" s="90"/>
      <c r="AU120" s="90"/>
      <c r="AV120" s="71"/>
      <c r="AW120" s="72"/>
      <c r="AX120" s="72"/>
      <c r="AY120" s="72"/>
      <c r="AZ120" s="72"/>
      <c r="BA120" s="73"/>
      <c r="BB120" s="73"/>
      <c r="BC120" s="73"/>
      <c r="BD120" s="73"/>
      <c r="BE120" s="73"/>
      <c r="BF120" s="73"/>
      <c r="BG120" s="73"/>
      <c r="BH120" s="73"/>
      <c r="BI120" s="73"/>
      <c r="BJ120" s="73"/>
      <c r="BK120" s="73"/>
      <c r="BL120" s="73"/>
      <c r="BM120" s="73"/>
      <c r="BN120" s="73"/>
      <c r="BO120" s="73"/>
      <c r="BP120" s="73"/>
      <c r="BQ120" s="73"/>
      <c r="BR120" s="73"/>
      <c r="BS120" s="73"/>
      <c r="BT120" s="73"/>
      <c r="BU120" s="73"/>
      <c r="BV120" s="73"/>
      <c r="BW120" s="73"/>
      <c r="BX120" s="73"/>
      <c r="BY120" s="73"/>
      <c r="BZ120" s="73"/>
      <c r="CA120" s="73"/>
      <c r="CB120" s="73"/>
      <c r="CC120" s="73"/>
      <c r="CD120" s="73"/>
      <c r="CE120" s="73"/>
      <c r="CF120" s="73"/>
      <c r="CG120" s="73"/>
      <c r="CH120" s="73"/>
      <c r="CI120" s="73"/>
      <c r="CJ120" s="73"/>
      <c r="CK120" s="73"/>
      <c r="CL120" s="73"/>
      <c r="CM120" s="73"/>
      <c r="CN120" s="72"/>
      <c r="CO120" s="72"/>
      <c r="CP120" s="72"/>
      <c r="CQ120" s="72"/>
    </row>
    <row r="121" spans="1:95" s="40" customFormat="1" x14ac:dyDescent="0.25">
      <c r="A121" s="90"/>
      <c r="B121" s="90"/>
      <c r="C121" s="90"/>
      <c r="D121" s="90"/>
      <c r="E121" s="90"/>
      <c r="F121" s="90"/>
      <c r="G121" s="90"/>
      <c r="H121" s="90"/>
      <c r="I121" s="90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90"/>
      <c r="Y121" s="90"/>
      <c r="Z121" s="90"/>
      <c r="AA121" s="90"/>
      <c r="AB121" s="90"/>
      <c r="AC121" s="90"/>
      <c r="AD121" s="90"/>
      <c r="AE121" s="90"/>
      <c r="AF121" s="90"/>
      <c r="AG121" s="90"/>
      <c r="AH121" s="90"/>
      <c r="AI121" s="90"/>
      <c r="AJ121" s="90"/>
      <c r="AK121" s="90"/>
      <c r="AL121" s="90"/>
      <c r="AM121" s="90"/>
      <c r="AN121" s="90"/>
      <c r="AO121" s="90"/>
      <c r="AP121" s="90"/>
      <c r="AQ121" s="90"/>
      <c r="AR121" s="90"/>
      <c r="AS121" s="90"/>
      <c r="AT121" s="90"/>
      <c r="AU121" s="90"/>
      <c r="AV121" s="71"/>
      <c r="AW121" s="72"/>
      <c r="AX121" s="72"/>
      <c r="AY121" s="72"/>
      <c r="AZ121" s="72"/>
      <c r="BA121" s="73"/>
      <c r="BB121" s="73"/>
      <c r="BC121" s="73"/>
      <c r="BD121" s="73"/>
      <c r="BE121" s="73"/>
      <c r="BF121" s="73"/>
      <c r="BG121" s="73"/>
      <c r="BH121" s="73"/>
      <c r="BI121" s="73"/>
      <c r="BJ121" s="73"/>
      <c r="BK121" s="73"/>
      <c r="BL121" s="73"/>
      <c r="BM121" s="73"/>
      <c r="BN121" s="73"/>
      <c r="BO121" s="73"/>
      <c r="BP121" s="73"/>
      <c r="BQ121" s="73"/>
      <c r="BR121" s="73"/>
      <c r="BS121" s="73"/>
      <c r="BT121" s="73"/>
      <c r="BU121" s="73"/>
      <c r="BV121" s="73"/>
      <c r="BW121" s="73"/>
      <c r="BX121" s="73"/>
      <c r="BY121" s="73"/>
      <c r="BZ121" s="73"/>
      <c r="CA121" s="73"/>
      <c r="CB121" s="73"/>
      <c r="CC121" s="73"/>
      <c r="CD121" s="73"/>
      <c r="CE121" s="73"/>
      <c r="CF121" s="73"/>
      <c r="CG121" s="73"/>
      <c r="CH121" s="73"/>
      <c r="CI121" s="73"/>
      <c r="CJ121" s="73"/>
      <c r="CK121" s="73"/>
      <c r="CL121" s="73"/>
      <c r="CM121" s="73"/>
      <c r="CN121" s="72"/>
      <c r="CO121" s="72"/>
      <c r="CP121" s="72"/>
      <c r="CQ121" s="72"/>
    </row>
    <row r="122" spans="1:95" s="40" customFormat="1" x14ac:dyDescent="0.25">
      <c r="A122" s="90"/>
      <c r="B122" s="90"/>
      <c r="C122" s="90"/>
      <c r="D122" s="90"/>
      <c r="E122" s="90"/>
      <c r="F122" s="90"/>
      <c r="G122" s="90"/>
      <c r="H122" s="90"/>
      <c r="I122" s="90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90"/>
      <c r="Y122" s="90"/>
      <c r="Z122" s="90"/>
      <c r="AA122" s="90"/>
      <c r="AB122" s="90"/>
      <c r="AC122" s="90"/>
      <c r="AD122" s="90"/>
      <c r="AE122" s="90"/>
      <c r="AF122" s="90"/>
      <c r="AG122" s="90"/>
      <c r="AH122" s="90"/>
      <c r="AI122" s="90"/>
      <c r="AJ122" s="90"/>
      <c r="AK122" s="90"/>
      <c r="AL122" s="90"/>
      <c r="AM122" s="90"/>
      <c r="AN122" s="90"/>
      <c r="AO122" s="90"/>
      <c r="AP122" s="90"/>
      <c r="AQ122" s="90"/>
      <c r="AR122" s="90"/>
      <c r="AS122" s="90"/>
      <c r="AT122" s="90"/>
      <c r="AU122" s="90"/>
      <c r="AV122" s="71"/>
      <c r="AW122" s="72"/>
      <c r="AX122" s="72"/>
      <c r="AY122" s="72"/>
      <c r="AZ122" s="72"/>
      <c r="BA122" s="73"/>
      <c r="BB122" s="73"/>
      <c r="BC122" s="73"/>
      <c r="BD122" s="73"/>
      <c r="BE122" s="73"/>
      <c r="BF122" s="73"/>
      <c r="BG122" s="73"/>
      <c r="BH122" s="73"/>
      <c r="BI122" s="73"/>
      <c r="BJ122" s="73"/>
      <c r="BK122" s="73"/>
      <c r="BL122" s="73"/>
      <c r="BM122" s="73"/>
      <c r="BN122" s="73"/>
      <c r="BO122" s="73"/>
      <c r="BP122" s="73"/>
      <c r="BQ122" s="73"/>
      <c r="BR122" s="73"/>
      <c r="BS122" s="73"/>
      <c r="BT122" s="73"/>
      <c r="BU122" s="73"/>
      <c r="BV122" s="73"/>
      <c r="BW122" s="73"/>
      <c r="BX122" s="73"/>
      <c r="BY122" s="73"/>
      <c r="BZ122" s="73"/>
      <c r="CA122" s="73"/>
      <c r="CB122" s="73"/>
      <c r="CC122" s="73"/>
      <c r="CD122" s="73"/>
      <c r="CE122" s="73"/>
      <c r="CF122" s="73"/>
      <c r="CG122" s="73"/>
      <c r="CH122" s="73"/>
      <c r="CI122" s="73"/>
      <c r="CJ122" s="73"/>
      <c r="CK122" s="73"/>
      <c r="CL122" s="73"/>
      <c r="CM122" s="73"/>
      <c r="CN122" s="72"/>
      <c r="CO122" s="72"/>
      <c r="CP122" s="72"/>
      <c r="CQ122" s="72"/>
    </row>
    <row r="123" spans="1:95" s="40" customFormat="1" x14ac:dyDescent="0.25">
      <c r="A123" s="90"/>
      <c r="B123" s="90"/>
      <c r="C123" s="90"/>
      <c r="D123" s="90"/>
      <c r="E123" s="90"/>
      <c r="F123" s="90"/>
      <c r="G123" s="90"/>
      <c r="H123" s="90"/>
      <c r="I123" s="90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90"/>
      <c r="Y123" s="90"/>
      <c r="Z123" s="90"/>
      <c r="AA123" s="90"/>
      <c r="AB123" s="90"/>
      <c r="AC123" s="90"/>
      <c r="AD123" s="90"/>
      <c r="AE123" s="90"/>
      <c r="AF123" s="90"/>
      <c r="AG123" s="90"/>
      <c r="AH123" s="90"/>
      <c r="AI123" s="90"/>
      <c r="AJ123" s="90"/>
      <c r="AK123" s="90"/>
      <c r="AL123" s="90"/>
      <c r="AM123" s="90"/>
      <c r="AN123" s="90"/>
      <c r="AO123" s="90"/>
      <c r="AP123" s="90"/>
      <c r="AQ123" s="90"/>
      <c r="AR123" s="90"/>
      <c r="AS123" s="90"/>
      <c r="AT123" s="90"/>
      <c r="AU123" s="90"/>
      <c r="AV123" s="71"/>
      <c r="AW123" s="72"/>
      <c r="AX123" s="72"/>
      <c r="AY123" s="72"/>
      <c r="AZ123" s="72"/>
      <c r="BA123" s="73"/>
      <c r="BB123" s="73"/>
      <c r="BC123" s="73"/>
      <c r="BD123" s="73"/>
      <c r="BE123" s="73"/>
      <c r="BF123" s="73"/>
      <c r="BG123" s="73"/>
      <c r="BH123" s="73"/>
      <c r="BI123" s="73"/>
      <c r="BJ123" s="73"/>
      <c r="BK123" s="73"/>
      <c r="BL123" s="73"/>
      <c r="BM123" s="73"/>
      <c r="BN123" s="73"/>
      <c r="BO123" s="73"/>
      <c r="BP123" s="73"/>
      <c r="BQ123" s="73"/>
      <c r="BR123" s="73"/>
      <c r="BS123" s="73"/>
      <c r="BT123" s="73"/>
      <c r="BU123" s="73"/>
      <c r="BV123" s="73"/>
      <c r="BW123" s="73"/>
      <c r="BX123" s="73"/>
      <c r="BY123" s="73"/>
      <c r="BZ123" s="73"/>
      <c r="CA123" s="73"/>
      <c r="CB123" s="73"/>
      <c r="CC123" s="73"/>
      <c r="CD123" s="73"/>
      <c r="CE123" s="73"/>
      <c r="CF123" s="73"/>
      <c r="CG123" s="73"/>
      <c r="CH123" s="73"/>
      <c r="CI123" s="73"/>
      <c r="CJ123" s="73"/>
      <c r="CK123" s="73"/>
      <c r="CL123" s="73"/>
      <c r="CM123" s="73"/>
      <c r="CN123" s="72"/>
      <c r="CO123" s="72"/>
      <c r="CP123" s="72"/>
      <c r="CQ123" s="72"/>
    </row>
    <row r="124" spans="1:95" s="40" customFormat="1" x14ac:dyDescent="0.25">
      <c r="A124" s="90"/>
      <c r="B124" s="90"/>
      <c r="C124" s="90"/>
      <c r="D124" s="90"/>
      <c r="E124" s="90"/>
      <c r="F124" s="90"/>
      <c r="G124" s="90"/>
      <c r="H124" s="90"/>
      <c r="I124" s="90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90"/>
      <c r="Y124" s="90"/>
      <c r="Z124" s="90"/>
      <c r="AA124" s="90"/>
      <c r="AB124" s="90"/>
      <c r="AC124" s="90"/>
      <c r="AD124" s="90"/>
      <c r="AE124" s="90"/>
      <c r="AF124" s="90"/>
      <c r="AG124" s="90"/>
      <c r="AH124" s="90"/>
      <c r="AI124" s="90"/>
      <c r="AJ124" s="90"/>
      <c r="AK124" s="90"/>
      <c r="AL124" s="90"/>
      <c r="AM124" s="90"/>
      <c r="AN124" s="90"/>
      <c r="AO124" s="90"/>
      <c r="AP124" s="90"/>
      <c r="AQ124" s="90"/>
      <c r="AR124" s="90"/>
      <c r="AS124" s="90"/>
      <c r="AT124" s="90"/>
      <c r="AU124" s="90"/>
      <c r="AV124" s="71"/>
      <c r="AW124" s="72"/>
      <c r="AX124" s="72"/>
      <c r="AY124" s="72"/>
      <c r="AZ124" s="72"/>
      <c r="BA124" s="73"/>
      <c r="BB124" s="73"/>
      <c r="BC124" s="73"/>
      <c r="BD124" s="73"/>
      <c r="BE124" s="73"/>
      <c r="BF124" s="73"/>
      <c r="BG124" s="73"/>
      <c r="BH124" s="73"/>
      <c r="BI124" s="73"/>
      <c r="BJ124" s="73"/>
      <c r="BK124" s="73"/>
      <c r="BL124" s="73"/>
      <c r="BM124" s="73"/>
      <c r="BN124" s="73"/>
      <c r="BO124" s="73"/>
      <c r="BP124" s="73"/>
      <c r="BQ124" s="73"/>
      <c r="BR124" s="73"/>
      <c r="BS124" s="73"/>
      <c r="BT124" s="73"/>
      <c r="BU124" s="73"/>
      <c r="BV124" s="73"/>
      <c r="BW124" s="73"/>
      <c r="BX124" s="73"/>
      <c r="BY124" s="73"/>
      <c r="BZ124" s="73"/>
      <c r="CA124" s="73"/>
      <c r="CB124" s="73"/>
      <c r="CC124" s="73"/>
      <c r="CD124" s="73"/>
      <c r="CE124" s="73"/>
      <c r="CF124" s="73"/>
      <c r="CG124" s="73"/>
      <c r="CH124" s="73"/>
      <c r="CI124" s="73"/>
      <c r="CJ124" s="73"/>
      <c r="CK124" s="73"/>
      <c r="CL124" s="73"/>
      <c r="CM124" s="73"/>
      <c r="CN124" s="72"/>
      <c r="CO124" s="72"/>
      <c r="CP124" s="72"/>
      <c r="CQ124" s="72"/>
    </row>
    <row r="125" spans="1:95" s="40" customFormat="1" x14ac:dyDescent="0.25">
      <c r="A125" s="90"/>
      <c r="B125" s="90"/>
      <c r="C125" s="90"/>
      <c r="D125" s="90"/>
      <c r="E125" s="90"/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0"/>
      <c r="Z125" s="90"/>
      <c r="AA125" s="90"/>
      <c r="AB125" s="90"/>
      <c r="AC125" s="90"/>
      <c r="AD125" s="90"/>
      <c r="AE125" s="90"/>
      <c r="AF125" s="90"/>
      <c r="AG125" s="90"/>
      <c r="AH125" s="90"/>
      <c r="AI125" s="90"/>
      <c r="AJ125" s="90"/>
      <c r="AK125" s="90"/>
      <c r="AL125" s="90"/>
      <c r="AM125" s="90"/>
      <c r="AN125" s="90"/>
      <c r="AO125" s="90"/>
      <c r="AP125" s="90"/>
      <c r="AQ125" s="90"/>
      <c r="AR125" s="90"/>
      <c r="AS125" s="90"/>
      <c r="AT125" s="90"/>
      <c r="AU125" s="90"/>
      <c r="AV125" s="71"/>
      <c r="AW125" s="72"/>
      <c r="AX125" s="72"/>
      <c r="AY125" s="72"/>
      <c r="AZ125" s="72"/>
      <c r="BA125" s="73"/>
      <c r="BB125" s="73"/>
      <c r="BC125" s="73"/>
      <c r="BD125" s="73"/>
      <c r="BE125" s="73"/>
      <c r="BF125" s="73"/>
      <c r="BG125" s="73"/>
      <c r="BH125" s="73"/>
      <c r="BI125" s="73"/>
      <c r="BJ125" s="73"/>
      <c r="BK125" s="73"/>
      <c r="BL125" s="73"/>
      <c r="BM125" s="73"/>
      <c r="BN125" s="73"/>
      <c r="BO125" s="73"/>
      <c r="BP125" s="73"/>
      <c r="BQ125" s="73"/>
      <c r="BR125" s="73"/>
      <c r="BS125" s="73"/>
      <c r="BT125" s="73"/>
      <c r="BU125" s="73"/>
      <c r="BV125" s="73"/>
      <c r="BW125" s="73"/>
      <c r="BX125" s="73"/>
      <c r="BY125" s="73"/>
      <c r="BZ125" s="73"/>
      <c r="CA125" s="73"/>
      <c r="CB125" s="73"/>
      <c r="CC125" s="73"/>
      <c r="CD125" s="73"/>
      <c r="CE125" s="73"/>
      <c r="CF125" s="73"/>
      <c r="CG125" s="73"/>
      <c r="CH125" s="73"/>
      <c r="CI125" s="73"/>
      <c r="CJ125" s="73"/>
      <c r="CK125" s="73"/>
      <c r="CL125" s="73"/>
      <c r="CM125" s="73"/>
      <c r="CN125" s="72"/>
      <c r="CO125" s="72"/>
      <c r="CP125" s="72"/>
      <c r="CQ125" s="72"/>
    </row>
    <row r="126" spans="1:95" s="40" customFormat="1" x14ac:dyDescent="0.25">
      <c r="A126" s="90"/>
      <c r="B126" s="90"/>
      <c r="C126" s="90"/>
      <c r="D126" s="90"/>
      <c r="E126" s="90"/>
      <c r="F126" s="90"/>
      <c r="G126" s="90"/>
      <c r="H126" s="90"/>
      <c r="I126" s="90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90"/>
      <c r="Y126" s="90"/>
      <c r="Z126" s="90"/>
      <c r="AA126" s="90"/>
      <c r="AB126" s="90"/>
      <c r="AC126" s="90"/>
      <c r="AD126" s="90"/>
      <c r="AE126" s="90"/>
      <c r="AF126" s="90"/>
      <c r="AG126" s="90"/>
      <c r="AH126" s="90"/>
      <c r="AI126" s="90"/>
      <c r="AJ126" s="90"/>
      <c r="AK126" s="90"/>
      <c r="AL126" s="90"/>
      <c r="AM126" s="90"/>
      <c r="AN126" s="90"/>
      <c r="AO126" s="90"/>
      <c r="AP126" s="90"/>
      <c r="AQ126" s="90"/>
      <c r="AR126" s="90"/>
      <c r="AS126" s="90"/>
      <c r="AT126" s="90"/>
      <c r="AU126" s="90"/>
      <c r="AV126" s="71"/>
      <c r="AW126" s="72"/>
      <c r="AX126" s="72"/>
      <c r="AY126" s="72"/>
      <c r="AZ126" s="72"/>
      <c r="BA126" s="73"/>
      <c r="BB126" s="73"/>
      <c r="BC126" s="73"/>
      <c r="BD126" s="73"/>
      <c r="BE126" s="73"/>
      <c r="BF126" s="73"/>
      <c r="BG126" s="73"/>
      <c r="BH126" s="73"/>
      <c r="BI126" s="73"/>
      <c r="BJ126" s="73"/>
      <c r="BK126" s="73"/>
      <c r="BL126" s="73"/>
      <c r="BM126" s="73"/>
      <c r="BN126" s="73"/>
      <c r="BO126" s="73"/>
      <c r="BP126" s="73"/>
      <c r="BQ126" s="73"/>
      <c r="BR126" s="73"/>
      <c r="BS126" s="73"/>
      <c r="BT126" s="73"/>
      <c r="BU126" s="73"/>
      <c r="BV126" s="73"/>
      <c r="BW126" s="73"/>
      <c r="BX126" s="73"/>
      <c r="BY126" s="73"/>
      <c r="BZ126" s="73"/>
      <c r="CA126" s="73"/>
      <c r="CB126" s="73"/>
      <c r="CC126" s="73"/>
      <c r="CD126" s="73"/>
      <c r="CE126" s="73"/>
      <c r="CF126" s="73"/>
      <c r="CG126" s="73"/>
      <c r="CH126" s="73"/>
      <c r="CI126" s="73"/>
      <c r="CJ126" s="73"/>
      <c r="CK126" s="73"/>
      <c r="CL126" s="73"/>
      <c r="CM126" s="73"/>
      <c r="CN126" s="72"/>
      <c r="CO126" s="72"/>
      <c r="CP126" s="72"/>
      <c r="CQ126" s="72"/>
    </row>
    <row r="127" spans="1:95" s="40" customFormat="1" x14ac:dyDescent="0.25">
      <c r="A127" s="90"/>
      <c r="B127" s="90"/>
      <c r="C127" s="90"/>
      <c r="D127" s="90"/>
      <c r="E127" s="90"/>
      <c r="F127" s="90"/>
      <c r="G127" s="90"/>
      <c r="H127" s="90"/>
      <c r="I127" s="90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90"/>
      <c r="Y127" s="90"/>
      <c r="Z127" s="90"/>
      <c r="AA127" s="90"/>
      <c r="AB127" s="90"/>
      <c r="AC127" s="90"/>
      <c r="AD127" s="90"/>
      <c r="AE127" s="90"/>
      <c r="AF127" s="90"/>
      <c r="AG127" s="90"/>
      <c r="AH127" s="90"/>
      <c r="AI127" s="90"/>
      <c r="AJ127" s="90"/>
      <c r="AK127" s="90"/>
      <c r="AL127" s="90"/>
      <c r="AM127" s="90"/>
      <c r="AN127" s="90"/>
      <c r="AO127" s="90"/>
      <c r="AP127" s="90"/>
      <c r="AQ127" s="90"/>
      <c r="AR127" s="90"/>
      <c r="AS127" s="90"/>
      <c r="AT127" s="90"/>
      <c r="AU127" s="90"/>
      <c r="AV127" s="71"/>
      <c r="AW127" s="72"/>
      <c r="AX127" s="72"/>
      <c r="AY127" s="72"/>
      <c r="AZ127" s="72"/>
      <c r="BA127" s="73"/>
      <c r="BB127" s="73"/>
      <c r="BC127" s="73"/>
      <c r="BD127" s="73"/>
      <c r="BE127" s="73"/>
      <c r="BF127" s="73"/>
      <c r="BG127" s="73"/>
      <c r="BH127" s="73"/>
      <c r="BI127" s="73"/>
      <c r="BJ127" s="73"/>
      <c r="BK127" s="73"/>
      <c r="BL127" s="73"/>
      <c r="BM127" s="73"/>
      <c r="BN127" s="73"/>
      <c r="BO127" s="73"/>
      <c r="BP127" s="73"/>
      <c r="BQ127" s="73"/>
      <c r="BR127" s="73"/>
      <c r="BS127" s="73"/>
      <c r="BT127" s="73"/>
      <c r="BU127" s="73"/>
      <c r="BV127" s="73"/>
      <c r="BW127" s="73"/>
      <c r="BX127" s="73"/>
      <c r="BY127" s="73"/>
      <c r="BZ127" s="73"/>
      <c r="CA127" s="73"/>
      <c r="CB127" s="73"/>
      <c r="CC127" s="73"/>
      <c r="CD127" s="73"/>
      <c r="CE127" s="73"/>
      <c r="CF127" s="73"/>
      <c r="CG127" s="73"/>
      <c r="CH127" s="73"/>
      <c r="CI127" s="73"/>
      <c r="CJ127" s="73"/>
      <c r="CK127" s="73"/>
      <c r="CL127" s="73"/>
      <c r="CM127" s="73"/>
      <c r="CN127" s="72"/>
      <c r="CO127" s="72"/>
      <c r="CP127" s="72"/>
      <c r="CQ127" s="72"/>
    </row>
    <row r="128" spans="1:95" s="40" customFormat="1" x14ac:dyDescent="0.25">
      <c r="A128" s="90"/>
      <c r="B128" s="90"/>
      <c r="C128" s="90"/>
      <c r="D128" s="90"/>
      <c r="E128" s="90"/>
      <c r="F128" s="90"/>
      <c r="G128" s="90"/>
      <c r="H128" s="90"/>
      <c r="I128" s="90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90"/>
      <c r="Y128" s="90"/>
      <c r="Z128" s="90"/>
      <c r="AA128" s="90"/>
      <c r="AB128" s="90"/>
      <c r="AC128" s="90"/>
      <c r="AD128" s="90"/>
      <c r="AE128" s="90"/>
      <c r="AF128" s="90"/>
      <c r="AG128" s="90"/>
      <c r="AH128" s="90"/>
      <c r="AI128" s="90"/>
      <c r="AJ128" s="90"/>
      <c r="AK128" s="90"/>
      <c r="AL128" s="90"/>
      <c r="AM128" s="90"/>
      <c r="AN128" s="90"/>
      <c r="AO128" s="90"/>
      <c r="AP128" s="90"/>
      <c r="AQ128" s="90"/>
      <c r="AR128" s="90"/>
      <c r="AS128" s="90"/>
      <c r="AT128" s="90"/>
      <c r="AU128" s="90"/>
      <c r="AV128" s="71"/>
      <c r="AW128" s="72"/>
      <c r="AX128" s="72"/>
      <c r="AY128" s="72"/>
      <c r="AZ128" s="72"/>
      <c r="BA128" s="73"/>
      <c r="BB128" s="73"/>
      <c r="BC128" s="73"/>
      <c r="BD128" s="73"/>
      <c r="BE128" s="73"/>
      <c r="BF128" s="73"/>
      <c r="BG128" s="73"/>
      <c r="BH128" s="73"/>
      <c r="BI128" s="73"/>
      <c r="BJ128" s="73"/>
      <c r="BK128" s="73"/>
      <c r="BL128" s="73"/>
      <c r="BM128" s="73"/>
      <c r="BN128" s="73"/>
      <c r="BO128" s="73"/>
      <c r="BP128" s="73"/>
      <c r="BQ128" s="73"/>
      <c r="BR128" s="73"/>
      <c r="BS128" s="73"/>
      <c r="BT128" s="73"/>
      <c r="BU128" s="73"/>
      <c r="BV128" s="73"/>
      <c r="BW128" s="73"/>
      <c r="BX128" s="73"/>
      <c r="BY128" s="73"/>
      <c r="BZ128" s="73"/>
      <c r="CA128" s="73"/>
      <c r="CB128" s="73"/>
      <c r="CC128" s="73"/>
      <c r="CD128" s="73"/>
      <c r="CE128" s="73"/>
      <c r="CF128" s="73"/>
      <c r="CG128" s="73"/>
      <c r="CH128" s="73"/>
      <c r="CI128" s="73"/>
      <c r="CJ128" s="73"/>
      <c r="CK128" s="73"/>
      <c r="CL128" s="73"/>
      <c r="CM128" s="73"/>
      <c r="CN128" s="72"/>
      <c r="CO128" s="72"/>
      <c r="CP128" s="72"/>
      <c r="CQ128" s="72"/>
    </row>
    <row r="129" spans="1:95" s="40" customFormat="1" x14ac:dyDescent="0.25">
      <c r="A129" s="90"/>
      <c r="B129" s="90"/>
      <c r="C129" s="90"/>
      <c r="D129" s="90"/>
      <c r="E129" s="90"/>
      <c r="F129" s="90"/>
      <c r="G129" s="90"/>
      <c r="H129" s="90"/>
      <c r="I129" s="90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90"/>
      <c r="Y129" s="90"/>
      <c r="Z129" s="90"/>
      <c r="AA129" s="90"/>
      <c r="AB129" s="90"/>
      <c r="AC129" s="90"/>
      <c r="AD129" s="90"/>
      <c r="AE129" s="90"/>
      <c r="AF129" s="90"/>
      <c r="AG129" s="90"/>
      <c r="AH129" s="90"/>
      <c r="AI129" s="90"/>
      <c r="AJ129" s="90"/>
      <c r="AK129" s="90"/>
      <c r="AL129" s="90"/>
      <c r="AM129" s="90"/>
      <c r="AN129" s="90"/>
      <c r="AO129" s="90"/>
      <c r="AP129" s="90"/>
      <c r="AQ129" s="90"/>
      <c r="AR129" s="90"/>
      <c r="AS129" s="90"/>
      <c r="AT129" s="90"/>
      <c r="AU129" s="90"/>
      <c r="AV129" s="71"/>
      <c r="AW129" s="72"/>
      <c r="AX129" s="72"/>
      <c r="AY129" s="72"/>
      <c r="AZ129" s="72"/>
      <c r="BA129" s="73"/>
      <c r="BB129" s="73"/>
      <c r="BC129" s="73"/>
      <c r="BD129" s="73"/>
      <c r="BE129" s="73"/>
      <c r="BF129" s="73"/>
      <c r="BG129" s="73"/>
      <c r="BH129" s="73"/>
      <c r="BI129" s="73"/>
      <c r="BJ129" s="73"/>
      <c r="BK129" s="73"/>
      <c r="BL129" s="73"/>
      <c r="BM129" s="73"/>
      <c r="BN129" s="73"/>
      <c r="BO129" s="73"/>
      <c r="BP129" s="73"/>
      <c r="BQ129" s="73"/>
      <c r="BR129" s="73"/>
      <c r="BS129" s="73"/>
      <c r="BT129" s="73"/>
      <c r="BU129" s="73"/>
      <c r="BV129" s="73"/>
      <c r="BW129" s="73"/>
      <c r="BX129" s="73"/>
      <c r="BY129" s="73"/>
      <c r="BZ129" s="73"/>
      <c r="CA129" s="73"/>
      <c r="CB129" s="73"/>
      <c r="CC129" s="73"/>
      <c r="CD129" s="73"/>
      <c r="CE129" s="73"/>
      <c r="CF129" s="73"/>
      <c r="CG129" s="73"/>
      <c r="CH129" s="73"/>
      <c r="CI129" s="73"/>
      <c r="CJ129" s="73"/>
      <c r="CK129" s="73"/>
      <c r="CL129" s="73"/>
      <c r="CM129" s="73"/>
      <c r="CN129" s="72"/>
      <c r="CO129" s="72"/>
      <c r="CP129" s="72"/>
      <c r="CQ129" s="72"/>
    </row>
    <row r="130" spans="1:95" s="40" customFormat="1" x14ac:dyDescent="0.25">
      <c r="A130" s="90"/>
      <c r="B130" s="90"/>
      <c r="C130" s="90"/>
      <c r="D130" s="90"/>
      <c r="E130" s="90"/>
      <c r="F130" s="90"/>
      <c r="G130" s="90"/>
      <c r="H130" s="90"/>
      <c r="I130" s="90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90"/>
      <c r="Y130" s="90"/>
      <c r="Z130" s="90"/>
      <c r="AA130" s="90"/>
      <c r="AB130" s="90"/>
      <c r="AC130" s="90"/>
      <c r="AD130" s="90"/>
      <c r="AE130" s="90"/>
      <c r="AF130" s="90"/>
      <c r="AG130" s="90"/>
      <c r="AH130" s="90"/>
      <c r="AI130" s="90"/>
      <c r="AJ130" s="90"/>
      <c r="AK130" s="90"/>
      <c r="AL130" s="90"/>
      <c r="AM130" s="90"/>
      <c r="AN130" s="90"/>
      <c r="AO130" s="90"/>
      <c r="AP130" s="90"/>
      <c r="AQ130" s="90"/>
      <c r="AR130" s="90"/>
      <c r="AS130" s="90"/>
      <c r="AT130" s="90"/>
      <c r="AU130" s="90"/>
      <c r="AV130" s="71"/>
      <c r="AW130" s="72"/>
      <c r="AX130" s="72"/>
      <c r="AY130" s="72"/>
      <c r="AZ130" s="72"/>
      <c r="BA130" s="73"/>
      <c r="BB130" s="73"/>
      <c r="BC130" s="73"/>
      <c r="BD130" s="73"/>
      <c r="BE130" s="73"/>
      <c r="BF130" s="73"/>
      <c r="BG130" s="73"/>
      <c r="BH130" s="73"/>
      <c r="BI130" s="73"/>
      <c r="BJ130" s="73"/>
      <c r="BK130" s="73"/>
      <c r="BL130" s="73"/>
      <c r="BM130" s="73"/>
      <c r="BN130" s="73"/>
      <c r="BO130" s="73"/>
      <c r="BP130" s="73"/>
      <c r="BQ130" s="73"/>
      <c r="BR130" s="73"/>
      <c r="BS130" s="73"/>
      <c r="BT130" s="73"/>
      <c r="BU130" s="73"/>
      <c r="BV130" s="73"/>
      <c r="BW130" s="73"/>
      <c r="BX130" s="73"/>
      <c r="BY130" s="73"/>
      <c r="BZ130" s="73"/>
      <c r="CA130" s="73"/>
      <c r="CB130" s="73"/>
      <c r="CC130" s="73"/>
      <c r="CD130" s="73"/>
      <c r="CE130" s="73"/>
      <c r="CF130" s="73"/>
      <c r="CG130" s="73"/>
      <c r="CH130" s="73"/>
      <c r="CI130" s="73"/>
      <c r="CJ130" s="73"/>
      <c r="CK130" s="73"/>
      <c r="CL130" s="73"/>
      <c r="CM130" s="73"/>
      <c r="CN130" s="72"/>
      <c r="CO130" s="72"/>
      <c r="CP130" s="72"/>
      <c r="CQ130" s="72"/>
    </row>
    <row r="131" spans="1:95" s="40" customFormat="1" x14ac:dyDescent="0.25">
      <c r="A131" s="90"/>
      <c r="B131" s="90"/>
      <c r="C131" s="90"/>
      <c r="D131" s="90"/>
      <c r="E131" s="90"/>
      <c r="F131" s="90"/>
      <c r="G131" s="90"/>
      <c r="H131" s="90"/>
      <c r="I131" s="90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90"/>
      <c r="Y131" s="90"/>
      <c r="Z131" s="90"/>
      <c r="AA131" s="90"/>
      <c r="AB131" s="90"/>
      <c r="AC131" s="90"/>
      <c r="AD131" s="90"/>
      <c r="AE131" s="90"/>
      <c r="AF131" s="90"/>
      <c r="AG131" s="90"/>
      <c r="AH131" s="90"/>
      <c r="AI131" s="90"/>
      <c r="AJ131" s="90"/>
      <c r="AK131" s="90"/>
      <c r="AL131" s="90"/>
      <c r="AM131" s="90"/>
      <c r="AN131" s="90"/>
      <c r="AO131" s="90"/>
      <c r="AP131" s="90"/>
      <c r="AQ131" s="90"/>
      <c r="AR131" s="90"/>
      <c r="AS131" s="90"/>
      <c r="AT131" s="90"/>
      <c r="AU131" s="90"/>
      <c r="AV131" s="71"/>
      <c r="AW131" s="72"/>
      <c r="AX131" s="72"/>
      <c r="AY131" s="72"/>
      <c r="AZ131" s="72"/>
      <c r="BA131" s="73"/>
      <c r="BB131" s="73"/>
      <c r="BC131" s="73"/>
      <c r="BD131" s="73"/>
      <c r="BE131" s="73"/>
      <c r="BF131" s="73"/>
      <c r="BG131" s="73"/>
      <c r="BH131" s="73"/>
      <c r="BI131" s="73"/>
      <c r="BJ131" s="73"/>
      <c r="BK131" s="73"/>
      <c r="BL131" s="73"/>
      <c r="BM131" s="73"/>
      <c r="BN131" s="73"/>
      <c r="BO131" s="73"/>
      <c r="BP131" s="73"/>
      <c r="BQ131" s="73"/>
      <c r="BR131" s="73"/>
      <c r="BS131" s="73"/>
      <c r="BT131" s="73"/>
      <c r="BU131" s="73"/>
      <c r="BV131" s="73"/>
      <c r="BW131" s="73"/>
      <c r="BX131" s="73"/>
      <c r="BY131" s="73"/>
      <c r="BZ131" s="73"/>
      <c r="CA131" s="73"/>
      <c r="CB131" s="73"/>
      <c r="CC131" s="73"/>
      <c r="CD131" s="73"/>
      <c r="CE131" s="73"/>
      <c r="CF131" s="73"/>
      <c r="CG131" s="73"/>
      <c r="CH131" s="73"/>
      <c r="CI131" s="73"/>
      <c r="CJ131" s="73"/>
      <c r="CK131" s="73"/>
      <c r="CL131" s="73"/>
      <c r="CM131" s="73"/>
      <c r="CN131" s="72"/>
      <c r="CO131" s="72"/>
      <c r="CP131" s="72"/>
      <c r="CQ131" s="72"/>
    </row>
    <row r="132" spans="1:95" s="40" customFormat="1" x14ac:dyDescent="0.25">
      <c r="A132" s="90"/>
      <c r="B132" s="90"/>
      <c r="C132" s="90"/>
      <c r="D132" s="90"/>
      <c r="E132" s="90"/>
      <c r="F132" s="90"/>
      <c r="G132" s="90"/>
      <c r="H132" s="90"/>
      <c r="I132" s="90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90"/>
      <c r="Y132" s="90"/>
      <c r="Z132" s="90"/>
      <c r="AA132" s="90"/>
      <c r="AB132" s="90"/>
      <c r="AC132" s="90"/>
      <c r="AD132" s="90"/>
      <c r="AE132" s="90"/>
      <c r="AF132" s="90"/>
      <c r="AG132" s="90"/>
      <c r="AH132" s="90"/>
      <c r="AI132" s="90"/>
      <c r="AJ132" s="90"/>
      <c r="AK132" s="90"/>
      <c r="AL132" s="90"/>
      <c r="AM132" s="90"/>
      <c r="AN132" s="90"/>
      <c r="AO132" s="90"/>
      <c r="AP132" s="90"/>
      <c r="AQ132" s="90"/>
      <c r="AR132" s="90"/>
      <c r="AS132" s="90"/>
      <c r="AT132" s="90"/>
      <c r="AU132" s="90"/>
      <c r="AV132" s="71"/>
      <c r="AW132" s="72"/>
      <c r="AX132" s="72"/>
      <c r="AY132" s="72"/>
      <c r="AZ132" s="72"/>
      <c r="BA132" s="73"/>
      <c r="BB132" s="73"/>
      <c r="BC132" s="73"/>
      <c r="BD132" s="73"/>
      <c r="BE132" s="73"/>
      <c r="BF132" s="73"/>
      <c r="BG132" s="73"/>
      <c r="BH132" s="73"/>
      <c r="BI132" s="73"/>
      <c r="BJ132" s="73"/>
      <c r="BK132" s="73"/>
      <c r="BL132" s="73"/>
      <c r="BM132" s="73"/>
      <c r="BN132" s="73"/>
      <c r="BO132" s="73"/>
      <c r="BP132" s="73"/>
      <c r="BQ132" s="73"/>
      <c r="BR132" s="73"/>
      <c r="BS132" s="73"/>
      <c r="BT132" s="73"/>
      <c r="BU132" s="73"/>
      <c r="BV132" s="73"/>
      <c r="BW132" s="73"/>
      <c r="BX132" s="73"/>
      <c r="BY132" s="73"/>
      <c r="BZ132" s="73"/>
      <c r="CA132" s="73"/>
      <c r="CB132" s="73"/>
      <c r="CC132" s="73"/>
      <c r="CD132" s="73"/>
      <c r="CE132" s="73"/>
      <c r="CF132" s="73"/>
      <c r="CG132" s="73"/>
      <c r="CH132" s="73"/>
      <c r="CI132" s="73"/>
      <c r="CJ132" s="73"/>
      <c r="CK132" s="73"/>
      <c r="CL132" s="73"/>
      <c r="CM132" s="73"/>
      <c r="CN132" s="72"/>
      <c r="CO132" s="72"/>
      <c r="CP132" s="72"/>
      <c r="CQ132" s="72"/>
    </row>
    <row r="133" spans="1:95" s="40" customFormat="1" x14ac:dyDescent="0.25">
      <c r="A133" s="90"/>
      <c r="B133" s="90"/>
      <c r="C133" s="90"/>
      <c r="D133" s="90"/>
      <c r="E133" s="90"/>
      <c r="F133" s="90"/>
      <c r="G133" s="90"/>
      <c r="H133" s="90"/>
      <c r="I133" s="90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90"/>
      <c r="AO133" s="90"/>
      <c r="AP133" s="90"/>
      <c r="AQ133" s="90"/>
      <c r="AR133" s="90"/>
      <c r="AS133" s="90"/>
      <c r="AT133" s="90"/>
      <c r="AU133" s="90"/>
      <c r="AV133" s="71"/>
      <c r="AW133" s="72"/>
      <c r="AX133" s="72"/>
      <c r="AY133" s="72"/>
      <c r="AZ133" s="72"/>
      <c r="BA133" s="73"/>
      <c r="BB133" s="73"/>
      <c r="BC133" s="73"/>
      <c r="BD133" s="73"/>
      <c r="BE133" s="73"/>
      <c r="BF133" s="73"/>
      <c r="BG133" s="73"/>
      <c r="BH133" s="73"/>
      <c r="BI133" s="73"/>
      <c r="BJ133" s="73"/>
      <c r="BK133" s="73"/>
      <c r="BL133" s="73"/>
      <c r="BM133" s="73"/>
      <c r="BN133" s="73"/>
      <c r="BO133" s="73"/>
      <c r="BP133" s="73"/>
      <c r="BQ133" s="73"/>
      <c r="BR133" s="73"/>
      <c r="BS133" s="73"/>
      <c r="BT133" s="73"/>
      <c r="BU133" s="73"/>
      <c r="BV133" s="73"/>
      <c r="BW133" s="73"/>
      <c r="BX133" s="73"/>
      <c r="BY133" s="73"/>
      <c r="BZ133" s="73"/>
      <c r="CA133" s="73"/>
      <c r="CB133" s="73"/>
      <c r="CC133" s="73"/>
      <c r="CD133" s="73"/>
      <c r="CE133" s="73"/>
      <c r="CF133" s="73"/>
      <c r="CG133" s="73"/>
      <c r="CH133" s="73"/>
      <c r="CI133" s="73"/>
      <c r="CJ133" s="73"/>
      <c r="CK133" s="73"/>
      <c r="CL133" s="73"/>
      <c r="CM133" s="73"/>
      <c r="CN133" s="72"/>
      <c r="CO133" s="72"/>
      <c r="CP133" s="72"/>
      <c r="CQ133" s="72"/>
    </row>
    <row r="134" spans="1:95" s="40" customFormat="1" x14ac:dyDescent="0.25">
      <c r="A134" s="90"/>
      <c r="B134" s="90"/>
      <c r="C134" s="90"/>
      <c r="D134" s="90"/>
      <c r="E134" s="90"/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90"/>
      <c r="AO134" s="90"/>
      <c r="AP134" s="90"/>
      <c r="AQ134" s="90"/>
      <c r="AR134" s="90"/>
      <c r="AS134" s="90"/>
      <c r="AT134" s="90"/>
      <c r="AU134" s="90"/>
      <c r="AV134" s="71"/>
      <c r="AW134" s="72"/>
      <c r="AX134" s="72"/>
      <c r="AY134" s="72"/>
      <c r="AZ134" s="72"/>
      <c r="BA134" s="73"/>
      <c r="BB134" s="73"/>
      <c r="BC134" s="73"/>
      <c r="BD134" s="73"/>
      <c r="BE134" s="73"/>
      <c r="BF134" s="73"/>
      <c r="BG134" s="73"/>
      <c r="BH134" s="73"/>
      <c r="BI134" s="73"/>
      <c r="BJ134" s="73"/>
      <c r="BK134" s="73"/>
      <c r="BL134" s="73"/>
      <c r="BM134" s="73"/>
      <c r="BN134" s="73"/>
      <c r="BO134" s="73"/>
      <c r="BP134" s="73"/>
      <c r="BQ134" s="73"/>
      <c r="BR134" s="73"/>
      <c r="BS134" s="73"/>
      <c r="BT134" s="73"/>
      <c r="BU134" s="73"/>
      <c r="BV134" s="73"/>
      <c r="BW134" s="73"/>
      <c r="BX134" s="73"/>
      <c r="BY134" s="73"/>
      <c r="BZ134" s="73"/>
      <c r="CA134" s="73"/>
      <c r="CB134" s="73"/>
      <c r="CC134" s="73"/>
      <c r="CD134" s="73"/>
      <c r="CE134" s="73"/>
      <c r="CF134" s="73"/>
      <c r="CG134" s="73"/>
      <c r="CH134" s="73"/>
      <c r="CI134" s="73"/>
      <c r="CJ134" s="73"/>
      <c r="CK134" s="73"/>
      <c r="CL134" s="73"/>
      <c r="CM134" s="73"/>
      <c r="CN134" s="72"/>
      <c r="CO134" s="72"/>
      <c r="CP134" s="72"/>
      <c r="CQ134" s="72"/>
    </row>
    <row r="135" spans="1:95" s="40" customFormat="1" x14ac:dyDescent="0.25">
      <c r="A135" s="90"/>
      <c r="B135" s="90"/>
      <c r="C135" s="90"/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90"/>
      <c r="AO135" s="90"/>
      <c r="AP135" s="90"/>
      <c r="AQ135" s="90"/>
      <c r="AR135" s="90"/>
      <c r="AS135" s="90"/>
      <c r="AT135" s="90"/>
      <c r="AU135" s="90"/>
      <c r="AV135" s="71"/>
      <c r="AW135" s="72"/>
      <c r="AX135" s="72"/>
      <c r="AY135" s="72"/>
      <c r="AZ135" s="72"/>
      <c r="BA135" s="73"/>
      <c r="BB135" s="73"/>
      <c r="BC135" s="73"/>
      <c r="BD135" s="73"/>
      <c r="BE135" s="73"/>
      <c r="BF135" s="73"/>
      <c r="BG135" s="73"/>
      <c r="BH135" s="73"/>
      <c r="BI135" s="73"/>
      <c r="BJ135" s="73"/>
      <c r="BK135" s="73"/>
      <c r="BL135" s="73"/>
      <c r="BM135" s="73"/>
      <c r="BN135" s="73"/>
      <c r="BO135" s="73"/>
      <c r="BP135" s="73"/>
      <c r="BQ135" s="73"/>
      <c r="BR135" s="73"/>
      <c r="BS135" s="73"/>
      <c r="BT135" s="73"/>
      <c r="BU135" s="73"/>
      <c r="BV135" s="73"/>
      <c r="BW135" s="73"/>
      <c r="BX135" s="73"/>
      <c r="BY135" s="73"/>
      <c r="BZ135" s="73"/>
      <c r="CA135" s="73"/>
      <c r="CB135" s="73"/>
      <c r="CC135" s="73"/>
      <c r="CD135" s="73"/>
      <c r="CE135" s="73"/>
      <c r="CF135" s="73"/>
      <c r="CG135" s="73"/>
      <c r="CH135" s="73"/>
      <c r="CI135" s="73"/>
      <c r="CJ135" s="73"/>
      <c r="CK135" s="73"/>
      <c r="CL135" s="73"/>
      <c r="CM135" s="73"/>
      <c r="CN135" s="72"/>
      <c r="CO135" s="72"/>
      <c r="CP135" s="72"/>
      <c r="CQ135" s="72"/>
    </row>
    <row r="136" spans="1:95" s="40" customFormat="1" x14ac:dyDescent="0.25">
      <c r="A136" s="90"/>
      <c r="B136" s="90"/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90"/>
      <c r="AO136" s="90"/>
      <c r="AP136" s="90"/>
      <c r="AQ136" s="90"/>
      <c r="AR136" s="90"/>
      <c r="AS136" s="90"/>
      <c r="AT136" s="90"/>
      <c r="AU136" s="90"/>
      <c r="AV136" s="71"/>
      <c r="AW136" s="72"/>
      <c r="AX136" s="72"/>
      <c r="AY136" s="72"/>
      <c r="AZ136" s="72"/>
      <c r="BA136" s="73"/>
      <c r="BB136" s="73"/>
      <c r="BC136" s="73"/>
      <c r="BD136" s="73"/>
      <c r="BE136" s="73"/>
      <c r="BF136" s="73"/>
      <c r="BG136" s="73"/>
      <c r="BH136" s="73"/>
      <c r="BI136" s="73"/>
      <c r="BJ136" s="73"/>
      <c r="BK136" s="73"/>
      <c r="BL136" s="73"/>
      <c r="BM136" s="73"/>
      <c r="BN136" s="73"/>
      <c r="BO136" s="73"/>
      <c r="BP136" s="73"/>
      <c r="BQ136" s="73"/>
      <c r="BR136" s="73"/>
      <c r="BS136" s="73"/>
      <c r="BT136" s="73"/>
      <c r="BU136" s="73"/>
      <c r="BV136" s="73"/>
      <c r="BW136" s="73"/>
      <c r="BX136" s="73"/>
      <c r="BY136" s="73"/>
      <c r="BZ136" s="73"/>
      <c r="CA136" s="73"/>
      <c r="CB136" s="73"/>
      <c r="CC136" s="73"/>
      <c r="CD136" s="73"/>
      <c r="CE136" s="73"/>
      <c r="CF136" s="73"/>
      <c r="CG136" s="73"/>
      <c r="CH136" s="73"/>
      <c r="CI136" s="73"/>
      <c r="CJ136" s="73"/>
      <c r="CK136" s="73"/>
      <c r="CL136" s="73"/>
      <c r="CM136" s="73"/>
      <c r="CN136" s="72"/>
      <c r="CO136" s="72"/>
      <c r="CP136" s="72"/>
      <c r="CQ136" s="72"/>
    </row>
    <row r="137" spans="1:95" s="40" customFormat="1" x14ac:dyDescent="0.25">
      <c r="A137" s="90"/>
      <c r="B137" s="90"/>
      <c r="C137" s="90"/>
      <c r="D137" s="90"/>
      <c r="E137" s="90"/>
      <c r="F137" s="90"/>
      <c r="G137" s="90"/>
      <c r="H137" s="90"/>
      <c r="I137" s="90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90"/>
      <c r="AO137" s="90"/>
      <c r="AP137" s="90"/>
      <c r="AQ137" s="90"/>
      <c r="AR137" s="90"/>
      <c r="AS137" s="90"/>
      <c r="AT137" s="90"/>
      <c r="AU137" s="90"/>
      <c r="AV137" s="71"/>
      <c r="AW137" s="72"/>
      <c r="AX137" s="72"/>
      <c r="AY137" s="72"/>
      <c r="AZ137" s="72"/>
      <c r="BA137" s="73"/>
      <c r="BB137" s="73"/>
      <c r="BC137" s="73"/>
      <c r="BD137" s="73"/>
      <c r="BE137" s="73"/>
      <c r="BF137" s="73"/>
      <c r="BG137" s="73"/>
      <c r="BH137" s="73"/>
      <c r="BI137" s="73"/>
      <c r="BJ137" s="73"/>
      <c r="BK137" s="73"/>
      <c r="BL137" s="73"/>
      <c r="BM137" s="73"/>
      <c r="BN137" s="73"/>
      <c r="BO137" s="73"/>
      <c r="BP137" s="73"/>
      <c r="BQ137" s="73"/>
      <c r="BR137" s="73"/>
      <c r="BS137" s="73"/>
      <c r="BT137" s="73"/>
      <c r="BU137" s="73"/>
      <c r="BV137" s="73"/>
      <c r="BW137" s="73"/>
      <c r="BX137" s="73"/>
      <c r="BY137" s="73"/>
      <c r="BZ137" s="73"/>
      <c r="CA137" s="73"/>
      <c r="CB137" s="73"/>
      <c r="CC137" s="73"/>
      <c r="CD137" s="73"/>
      <c r="CE137" s="73"/>
      <c r="CF137" s="73"/>
      <c r="CG137" s="73"/>
      <c r="CH137" s="73"/>
      <c r="CI137" s="73"/>
      <c r="CJ137" s="73"/>
      <c r="CK137" s="73"/>
      <c r="CL137" s="73"/>
      <c r="CM137" s="73"/>
      <c r="CN137" s="72"/>
      <c r="CO137" s="72"/>
      <c r="CP137" s="72"/>
      <c r="CQ137" s="72"/>
    </row>
    <row r="138" spans="1:95" s="40" customFormat="1" x14ac:dyDescent="0.25">
      <c r="A138" s="90"/>
      <c r="B138" s="90"/>
      <c r="C138" s="90"/>
      <c r="D138" s="90"/>
      <c r="E138" s="90"/>
      <c r="F138" s="90"/>
      <c r="G138" s="90"/>
      <c r="H138" s="90"/>
      <c r="I138" s="90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90"/>
      <c r="AO138" s="90"/>
      <c r="AP138" s="90"/>
      <c r="AQ138" s="90"/>
      <c r="AR138" s="90"/>
      <c r="AS138" s="90"/>
      <c r="AT138" s="90"/>
      <c r="AU138" s="90"/>
      <c r="AV138" s="71"/>
      <c r="AW138" s="72"/>
      <c r="AX138" s="72"/>
      <c r="AY138" s="72"/>
      <c r="AZ138" s="72"/>
      <c r="BA138" s="73"/>
      <c r="BB138" s="73"/>
      <c r="BC138" s="73"/>
      <c r="BD138" s="73"/>
      <c r="BE138" s="73"/>
      <c r="BF138" s="73"/>
      <c r="BG138" s="73"/>
      <c r="BH138" s="73"/>
      <c r="BI138" s="73"/>
      <c r="BJ138" s="73"/>
      <c r="BK138" s="73"/>
      <c r="BL138" s="73"/>
      <c r="BM138" s="73"/>
      <c r="BN138" s="73"/>
      <c r="BO138" s="73"/>
      <c r="BP138" s="73"/>
      <c r="BQ138" s="73"/>
      <c r="BR138" s="73"/>
      <c r="BS138" s="73"/>
      <c r="BT138" s="73"/>
      <c r="BU138" s="73"/>
      <c r="BV138" s="73"/>
      <c r="BW138" s="73"/>
      <c r="BX138" s="73"/>
      <c r="BY138" s="73"/>
      <c r="BZ138" s="73"/>
      <c r="CA138" s="73"/>
      <c r="CB138" s="73"/>
      <c r="CC138" s="73"/>
      <c r="CD138" s="73"/>
      <c r="CE138" s="73"/>
      <c r="CF138" s="73"/>
      <c r="CG138" s="73"/>
      <c r="CH138" s="73"/>
      <c r="CI138" s="73"/>
      <c r="CJ138" s="73"/>
      <c r="CK138" s="73"/>
      <c r="CL138" s="73"/>
      <c r="CM138" s="73"/>
      <c r="CN138" s="72"/>
      <c r="CO138" s="72"/>
      <c r="CP138" s="72"/>
      <c r="CQ138" s="72"/>
    </row>
    <row r="139" spans="1:95" s="40" customFormat="1" x14ac:dyDescent="0.25">
      <c r="A139" s="90"/>
      <c r="B139" s="90"/>
      <c r="C139" s="90"/>
      <c r="D139" s="90"/>
      <c r="E139" s="90"/>
      <c r="F139" s="90"/>
      <c r="G139" s="90"/>
      <c r="H139" s="90"/>
      <c r="I139" s="90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90"/>
      <c r="AO139" s="90"/>
      <c r="AP139" s="90"/>
      <c r="AQ139" s="90"/>
      <c r="AR139" s="90"/>
      <c r="AS139" s="90"/>
      <c r="AT139" s="90"/>
      <c r="AU139" s="90"/>
      <c r="AV139" s="71"/>
      <c r="AW139" s="72"/>
      <c r="AX139" s="72"/>
      <c r="AY139" s="72"/>
      <c r="AZ139" s="72"/>
      <c r="BA139" s="73"/>
      <c r="BB139" s="73"/>
      <c r="BC139" s="73"/>
      <c r="BD139" s="73"/>
      <c r="BE139" s="73"/>
      <c r="BF139" s="73"/>
      <c r="BG139" s="73"/>
      <c r="BH139" s="73"/>
      <c r="BI139" s="73"/>
      <c r="BJ139" s="73"/>
      <c r="BK139" s="73"/>
      <c r="BL139" s="73"/>
      <c r="BM139" s="73"/>
      <c r="BN139" s="73"/>
      <c r="BO139" s="73"/>
      <c r="BP139" s="73"/>
      <c r="BQ139" s="73"/>
      <c r="BR139" s="73"/>
      <c r="BS139" s="73"/>
      <c r="BT139" s="73"/>
      <c r="BU139" s="73"/>
      <c r="BV139" s="73"/>
      <c r="BW139" s="73"/>
      <c r="BX139" s="73"/>
      <c r="BY139" s="73"/>
      <c r="BZ139" s="73"/>
      <c r="CA139" s="73"/>
      <c r="CB139" s="73"/>
      <c r="CC139" s="73"/>
      <c r="CD139" s="73"/>
      <c r="CE139" s="73"/>
      <c r="CF139" s="73"/>
      <c r="CG139" s="73"/>
      <c r="CH139" s="73"/>
      <c r="CI139" s="73"/>
      <c r="CJ139" s="73"/>
      <c r="CK139" s="73"/>
      <c r="CL139" s="73"/>
      <c r="CM139" s="73"/>
      <c r="CN139" s="72"/>
      <c r="CO139" s="72"/>
      <c r="CP139" s="72"/>
      <c r="CQ139" s="72"/>
    </row>
    <row r="140" spans="1:95" s="40" customFormat="1" x14ac:dyDescent="0.25">
      <c r="A140" s="90"/>
      <c r="B140" s="90"/>
      <c r="C140" s="90"/>
      <c r="D140" s="90"/>
      <c r="E140" s="90"/>
      <c r="F140" s="90"/>
      <c r="G140" s="90"/>
      <c r="H140" s="90"/>
      <c r="I140" s="90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90"/>
      <c r="AO140" s="90"/>
      <c r="AP140" s="90"/>
      <c r="AQ140" s="90"/>
      <c r="AR140" s="90"/>
      <c r="AS140" s="90"/>
      <c r="AT140" s="90"/>
      <c r="AU140" s="90"/>
      <c r="AV140" s="71"/>
      <c r="AW140" s="72"/>
      <c r="AX140" s="72"/>
      <c r="AY140" s="72"/>
      <c r="AZ140" s="72"/>
      <c r="BA140" s="73"/>
      <c r="BB140" s="73"/>
      <c r="BC140" s="73"/>
      <c r="BD140" s="73"/>
      <c r="BE140" s="73"/>
      <c r="BF140" s="73"/>
      <c r="BG140" s="73"/>
      <c r="BH140" s="73"/>
      <c r="BI140" s="73"/>
      <c r="BJ140" s="73"/>
      <c r="BK140" s="73"/>
      <c r="BL140" s="73"/>
      <c r="BM140" s="73"/>
      <c r="BN140" s="73"/>
      <c r="BO140" s="73"/>
      <c r="BP140" s="73"/>
      <c r="BQ140" s="73"/>
      <c r="BR140" s="73"/>
      <c r="BS140" s="73"/>
      <c r="BT140" s="73"/>
      <c r="BU140" s="73"/>
      <c r="BV140" s="73"/>
      <c r="BW140" s="73"/>
      <c r="BX140" s="73"/>
      <c r="BY140" s="73"/>
      <c r="BZ140" s="73"/>
      <c r="CA140" s="73"/>
      <c r="CB140" s="73"/>
      <c r="CC140" s="73"/>
      <c r="CD140" s="73"/>
      <c r="CE140" s="73"/>
      <c r="CF140" s="73"/>
      <c r="CG140" s="73"/>
      <c r="CH140" s="73"/>
      <c r="CI140" s="73"/>
      <c r="CJ140" s="73"/>
      <c r="CK140" s="73"/>
      <c r="CL140" s="73"/>
      <c r="CM140" s="73"/>
      <c r="CN140" s="72"/>
      <c r="CO140" s="72"/>
      <c r="CP140" s="72"/>
      <c r="CQ140" s="72"/>
    </row>
    <row r="141" spans="1:95" s="40" customFormat="1" x14ac:dyDescent="0.25">
      <c r="A141" s="90"/>
      <c r="B141" s="90"/>
      <c r="C141" s="90"/>
      <c r="D141" s="90"/>
      <c r="E141" s="90"/>
      <c r="F141" s="90"/>
      <c r="G141" s="90"/>
      <c r="H141" s="90"/>
      <c r="I141" s="90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90"/>
      <c r="AO141" s="90"/>
      <c r="AP141" s="90"/>
      <c r="AQ141" s="90"/>
      <c r="AR141" s="90"/>
      <c r="AS141" s="90"/>
      <c r="AT141" s="90"/>
      <c r="AU141" s="90"/>
      <c r="AV141" s="71"/>
      <c r="AW141" s="72"/>
      <c r="AX141" s="72"/>
      <c r="AY141" s="72"/>
      <c r="AZ141" s="72"/>
      <c r="BA141" s="73"/>
      <c r="BB141" s="73"/>
      <c r="BC141" s="73"/>
      <c r="BD141" s="73"/>
      <c r="BE141" s="73"/>
      <c r="BF141" s="73"/>
      <c r="BG141" s="73"/>
      <c r="BH141" s="73"/>
      <c r="BI141" s="73"/>
      <c r="BJ141" s="73"/>
      <c r="BK141" s="73"/>
      <c r="BL141" s="73"/>
      <c r="BM141" s="73"/>
      <c r="BN141" s="73"/>
      <c r="BO141" s="73"/>
      <c r="BP141" s="73"/>
      <c r="BQ141" s="73"/>
      <c r="BR141" s="73"/>
      <c r="BS141" s="73"/>
      <c r="BT141" s="73"/>
      <c r="BU141" s="73"/>
      <c r="BV141" s="73"/>
      <c r="BW141" s="73"/>
      <c r="BX141" s="73"/>
      <c r="BY141" s="73"/>
      <c r="BZ141" s="73"/>
      <c r="CA141" s="73"/>
      <c r="CB141" s="73"/>
      <c r="CC141" s="73"/>
      <c r="CD141" s="73"/>
      <c r="CE141" s="73"/>
      <c r="CF141" s="73"/>
      <c r="CG141" s="73"/>
      <c r="CH141" s="73"/>
      <c r="CI141" s="73"/>
      <c r="CJ141" s="73"/>
      <c r="CK141" s="73"/>
      <c r="CL141" s="73"/>
      <c r="CM141" s="73"/>
      <c r="CN141" s="72"/>
      <c r="CO141" s="72"/>
      <c r="CP141" s="72"/>
      <c r="CQ141" s="72"/>
    </row>
    <row r="142" spans="1:95" s="40" customFormat="1" x14ac:dyDescent="0.25">
      <c r="A142" s="90"/>
      <c r="B142" s="90"/>
      <c r="C142" s="90"/>
      <c r="D142" s="90"/>
      <c r="E142" s="90"/>
      <c r="F142" s="90"/>
      <c r="G142" s="90"/>
      <c r="H142" s="90"/>
      <c r="I142" s="90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90"/>
      <c r="AO142" s="90"/>
      <c r="AP142" s="90"/>
      <c r="AQ142" s="90"/>
      <c r="AR142" s="90"/>
      <c r="AS142" s="90"/>
      <c r="AT142" s="90"/>
      <c r="AU142" s="90"/>
      <c r="AV142" s="71"/>
      <c r="AW142" s="72"/>
      <c r="AX142" s="72"/>
      <c r="AY142" s="72"/>
      <c r="AZ142" s="72"/>
      <c r="BA142" s="73"/>
      <c r="BB142" s="73"/>
      <c r="BC142" s="73"/>
      <c r="BD142" s="73"/>
      <c r="BE142" s="73"/>
      <c r="BF142" s="73"/>
      <c r="BG142" s="73"/>
      <c r="BH142" s="73"/>
      <c r="BI142" s="73"/>
      <c r="BJ142" s="73"/>
      <c r="BK142" s="73"/>
      <c r="BL142" s="73"/>
      <c r="BM142" s="73"/>
      <c r="BN142" s="73"/>
      <c r="BO142" s="73"/>
      <c r="BP142" s="73"/>
      <c r="BQ142" s="73"/>
      <c r="BR142" s="73"/>
      <c r="BS142" s="73"/>
      <c r="BT142" s="73"/>
      <c r="BU142" s="73"/>
      <c r="BV142" s="73"/>
      <c r="BW142" s="73"/>
      <c r="BX142" s="73"/>
      <c r="BY142" s="73"/>
      <c r="BZ142" s="73"/>
      <c r="CA142" s="73"/>
      <c r="CB142" s="73"/>
      <c r="CC142" s="73"/>
      <c r="CD142" s="73"/>
      <c r="CE142" s="73"/>
      <c r="CF142" s="73"/>
      <c r="CG142" s="73"/>
      <c r="CH142" s="73"/>
      <c r="CI142" s="73"/>
      <c r="CJ142" s="73"/>
      <c r="CK142" s="73"/>
      <c r="CL142" s="73"/>
      <c r="CM142" s="73"/>
      <c r="CN142" s="72"/>
      <c r="CO142" s="72"/>
      <c r="CP142" s="72"/>
      <c r="CQ142" s="72"/>
    </row>
    <row r="143" spans="1:95" s="40" customFormat="1" x14ac:dyDescent="0.25">
      <c r="A143" s="90"/>
      <c r="B143" s="90"/>
      <c r="C143" s="90"/>
      <c r="D143" s="90"/>
      <c r="E143" s="90"/>
      <c r="F143" s="90"/>
      <c r="G143" s="90"/>
      <c r="H143" s="90"/>
      <c r="I143" s="90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90"/>
      <c r="AO143" s="90"/>
      <c r="AP143" s="90"/>
      <c r="AQ143" s="90"/>
      <c r="AR143" s="90"/>
      <c r="AS143" s="90"/>
      <c r="AT143" s="90"/>
      <c r="AU143" s="90"/>
      <c r="AV143" s="71"/>
      <c r="AW143" s="72"/>
      <c r="AX143" s="72"/>
      <c r="AY143" s="72"/>
      <c r="AZ143" s="72"/>
      <c r="BA143" s="73"/>
      <c r="BB143" s="73"/>
      <c r="BC143" s="73"/>
      <c r="BD143" s="73"/>
      <c r="BE143" s="73"/>
      <c r="BF143" s="73"/>
      <c r="BG143" s="73"/>
      <c r="BH143" s="73"/>
      <c r="BI143" s="73"/>
      <c r="BJ143" s="73"/>
      <c r="BK143" s="73"/>
      <c r="BL143" s="73"/>
      <c r="BM143" s="73"/>
      <c r="BN143" s="73"/>
      <c r="BO143" s="73"/>
      <c r="BP143" s="73"/>
      <c r="BQ143" s="73"/>
      <c r="BR143" s="73"/>
      <c r="BS143" s="73"/>
      <c r="BT143" s="73"/>
      <c r="BU143" s="73"/>
      <c r="BV143" s="73"/>
      <c r="BW143" s="73"/>
      <c r="BX143" s="73"/>
      <c r="BY143" s="73"/>
      <c r="BZ143" s="73"/>
      <c r="CA143" s="73"/>
      <c r="CB143" s="73"/>
      <c r="CC143" s="73"/>
      <c r="CD143" s="73"/>
      <c r="CE143" s="73"/>
      <c r="CF143" s="73"/>
      <c r="CG143" s="73"/>
      <c r="CH143" s="73"/>
      <c r="CI143" s="73"/>
      <c r="CJ143" s="73"/>
      <c r="CK143" s="73"/>
      <c r="CL143" s="73"/>
      <c r="CM143" s="73"/>
      <c r="CN143" s="72"/>
      <c r="CO143" s="72"/>
      <c r="CP143" s="72"/>
      <c r="CQ143" s="72"/>
    </row>
    <row r="144" spans="1:95" s="40" customFormat="1" x14ac:dyDescent="0.25">
      <c r="A144" s="90"/>
      <c r="B144" s="90"/>
      <c r="C144" s="90"/>
      <c r="D144" s="90"/>
      <c r="E144" s="90"/>
      <c r="F144" s="90"/>
      <c r="G144" s="90"/>
      <c r="H144" s="90"/>
      <c r="I144" s="90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90"/>
      <c r="AO144" s="90"/>
      <c r="AP144" s="90"/>
      <c r="AQ144" s="90"/>
      <c r="AR144" s="90"/>
      <c r="AS144" s="90"/>
      <c r="AT144" s="90"/>
      <c r="AU144" s="90"/>
      <c r="AV144" s="71"/>
      <c r="AW144" s="72"/>
      <c r="AX144" s="72"/>
      <c r="AY144" s="72"/>
      <c r="AZ144" s="72"/>
      <c r="BA144" s="73"/>
      <c r="BB144" s="73"/>
      <c r="BC144" s="73"/>
      <c r="BD144" s="73"/>
      <c r="BE144" s="73"/>
      <c r="BF144" s="73"/>
      <c r="BG144" s="73"/>
      <c r="BH144" s="73"/>
      <c r="BI144" s="73"/>
      <c r="BJ144" s="73"/>
      <c r="BK144" s="73"/>
      <c r="BL144" s="73"/>
      <c r="BM144" s="73"/>
      <c r="BN144" s="73"/>
      <c r="BO144" s="73"/>
      <c r="BP144" s="73"/>
      <c r="BQ144" s="73"/>
      <c r="BR144" s="73"/>
      <c r="BS144" s="73"/>
      <c r="BT144" s="73"/>
      <c r="BU144" s="73"/>
      <c r="BV144" s="73"/>
      <c r="BW144" s="73"/>
      <c r="BX144" s="73"/>
      <c r="BY144" s="73"/>
      <c r="BZ144" s="73"/>
      <c r="CA144" s="73"/>
      <c r="CB144" s="73"/>
      <c r="CC144" s="73"/>
      <c r="CD144" s="73"/>
      <c r="CE144" s="73"/>
      <c r="CF144" s="73"/>
      <c r="CG144" s="73"/>
      <c r="CH144" s="73"/>
      <c r="CI144" s="73"/>
      <c r="CJ144" s="73"/>
      <c r="CK144" s="73"/>
      <c r="CL144" s="73"/>
      <c r="CM144" s="73"/>
      <c r="CN144" s="72"/>
      <c r="CO144" s="72"/>
      <c r="CP144" s="72"/>
      <c r="CQ144" s="72"/>
    </row>
    <row r="145" spans="1:95" s="40" customFormat="1" x14ac:dyDescent="0.25">
      <c r="A145" s="90"/>
      <c r="B145" s="90"/>
      <c r="C145" s="90"/>
      <c r="D145" s="90"/>
      <c r="E145" s="90"/>
      <c r="F145" s="90"/>
      <c r="G145" s="90"/>
      <c r="H145" s="90"/>
      <c r="I145" s="90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90"/>
      <c r="AO145" s="90"/>
      <c r="AP145" s="90"/>
      <c r="AQ145" s="90"/>
      <c r="AR145" s="90"/>
      <c r="AS145" s="90"/>
      <c r="AT145" s="90"/>
      <c r="AU145" s="90"/>
      <c r="AV145" s="71"/>
      <c r="AW145" s="72"/>
      <c r="AX145" s="72"/>
      <c r="AY145" s="72"/>
      <c r="AZ145" s="72"/>
      <c r="BA145" s="73"/>
      <c r="BB145" s="73"/>
      <c r="BC145" s="73"/>
      <c r="BD145" s="73"/>
      <c r="BE145" s="73"/>
      <c r="BF145" s="73"/>
      <c r="BG145" s="73"/>
      <c r="BH145" s="73"/>
      <c r="BI145" s="73"/>
      <c r="BJ145" s="73"/>
      <c r="BK145" s="73"/>
      <c r="BL145" s="73"/>
      <c r="BM145" s="73"/>
      <c r="BN145" s="73"/>
      <c r="BO145" s="73"/>
      <c r="BP145" s="73"/>
      <c r="BQ145" s="73"/>
      <c r="BR145" s="73"/>
      <c r="BS145" s="73"/>
      <c r="BT145" s="73"/>
      <c r="BU145" s="73"/>
      <c r="BV145" s="73"/>
      <c r="BW145" s="73"/>
      <c r="BX145" s="73"/>
      <c r="BY145" s="73"/>
      <c r="BZ145" s="73"/>
      <c r="CA145" s="73"/>
      <c r="CB145" s="73"/>
      <c r="CC145" s="73"/>
      <c r="CD145" s="73"/>
      <c r="CE145" s="73"/>
      <c r="CF145" s="73"/>
      <c r="CG145" s="73"/>
      <c r="CH145" s="73"/>
      <c r="CI145" s="73"/>
      <c r="CJ145" s="73"/>
      <c r="CK145" s="73"/>
      <c r="CL145" s="73"/>
      <c r="CM145" s="73"/>
      <c r="CN145" s="72"/>
      <c r="CO145" s="72"/>
      <c r="CP145" s="72"/>
      <c r="CQ145" s="72"/>
    </row>
    <row r="146" spans="1:95" s="40" customFormat="1" x14ac:dyDescent="0.25">
      <c r="A146" s="90"/>
      <c r="B146" s="90"/>
      <c r="C146" s="90"/>
      <c r="D146" s="90"/>
      <c r="E146" s="90"/>
      <c r="F146" s="90"/>
      <c r="G146" s="90"/>
      <c r="H146" s="90"/>
      <c r="I146" s="90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90"/>
      <c r="AO146" s="90"/>
      <c r="AP146" s="90"/>
      <c r="AQ146" s="90"/>
      <c r="AR146" s="90"/>
      <c r="AS146" s="90"/>
      <c r="AT146" s="90"/>
      <c r="AU146" s="90"/>
      <c r="AV146" s="71"/>
      <c r="AW146" s="72"/>
      <c r="AX146" s="72"/>
      <c r="AY146" s="72"/>
      <c r="AZ146" s="72"/>
      <c r="BA146" s="73"/>
      <c r="BB146" s="73"/>
      <c r="BC146" s="73"/>
      <c r="BD146" s="73"/>
      <c r="BE146" s="73"/>
      <c r="BF146" s="73"/>
      <c r="BG146" s="73"/>
      <c r="BH146" s="73"/>
      <c r="BI146" s="73"/>
      <c r="BJ146" s="73"/>
      <c r="BK146" s="73"/>
      <c r="BL146" s="73"/>
      <c r="BM146" s="73"/>
      <c r="BN146" s="73"/>
      <c r="BO146" s="73"/>
      <c r="BP146" s="73"/>
      <c r="BQ146" s="73"/>
      <c r="BR146" s="73"/>
      <c r="BS146" s="73"/>
      <c r="BT146" s="73"/>
      <c r="BU146" s="73"/>
      <c r="BV146" s="73"/>
      <c r="BW146" s="73"/>
      <c r="BX146" s="73"/>
      <c r="BY146" s="73"/>
      <c r="BZ146" s="73"/>
      <c r="CA146" s="73"/>
      <c r="CB146" s="73"/>
      <c r="CC146" s="73"/>
      <c r="CD146" s="73"/>
      <c r="CE146" s="73"/>
      <c r="CF146" s="73"/>
      <c r="CG146" s="73"/>
      <c r="CH146" s="73"/>
      <c r="CI146" s="73"/>
      <c r="CJ146" s="73"/>
      <c r="CK146" s="73"/>
      <c r="CL146" s="73"/>
      <c r="CM146" s="73"/>
      <c r="CN146" s="72"/>
      <c r="CO146" s="72"/>
      <c r="CP146" s="72"/>
      <c r="CQ146" s="72"/>
    </row>
    <row r="147" spans="1:95" s="40" customFormat="1" x14ac:dyDescent="0.25">
      <c r="A147" s="90"/>
      <c r="B147" s="90"/>
      <c r="C147" s="90"/>
      <c r="D147" s="90"/>
      <c r="E147" s="90"/>
      <c r="F147" s="90"/>
      <c r="G147" s="90"/>
      <c r="H147" s="90"/>
      <c r="I147" s="90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90"/>
      <c r="AO147" s="90"/>
      <c r="AP147" s="90"/>
      <c r="AQ147" s="90"/>
      <c r="AR147" s="90"/>
      <c r="AS147" s="90"/>
      <c r="AT147" s="90"/>
      <c r="AU147" s="90"/>
      <c r="AV147" s="71"/>
      <c r="AW147" s="72"/>
      <c r="AX147" s="72"/>
      <c r="AY147" s="72"/>
      <c r="AZ147" s="72"/>
      <c r="BA147" s="73"/>
      <c r="BB147" s="73"/>
      <c r="BC147" s="73"/>
      <c r="BD147" s="73"/>
      <c r="BE147" s="73"/>
      <c r="BF147" s="73"/>
      <c r="BG147" s="73"/>
      <c r="BH147" s="73"/>
      <c r="BI147" s="73"/>
      <c r="BJ147" s="73"/>
      <c r="BK147" s="73"/>
      <c r="BL147" s="73"/>
      <c r="BM147" s="73"/>
      <c r="BN147" s="73"/>
      <c r="BO147" s="73"/>
      <c r="BP147" s="73"/>
      <c r="BQ147" s="73"/>
      <c r="BR147" s="73"/>
      <c r="BS147" s="73"/>
      <c r="BT147" s="73"/>
      <c r="BU147" s="73"/>
      <c r="BV147" s="73"/>
      <c r="BW147" s="73"/>
      <c r="BX147" s="73"/>
      <c r="BY147" s="73"/>
      <c r="BZ147" s="73"/>
      <c r="CA147" s="73"/>
      <c r="CB147" s="73"/>
      <c r="CC147" s="73"/>
      <c r="CD147" s="73"/>
      <c r="CE147" s="73"/>
      <c r="CF147" s="73"/>
      <c r="CG147" s="73"/>
      <c r="CH147" s="73"/>
      <c r="CI147" s="73"/>
      <c r="CJ147" s="73"/>
      <c r="CK147" s="73"/>
      <c r="CL147" s="73"/>
      <c r="CM147" s="73"/>
      <c r="CN147" s="72"/>
      <c r="CO147" s="72"/>
      <c r="CP147" s="72"/>
      <c r="CQ147" s="72"/>
    </row>
    <row r="148" spans="1:95" s="40" customFormat="1" x14ac:dyDescent="0.25">
      <c r="A148" s="90"/>
      <c r="B148" s="90"/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90"/>
      <c r="AO148" s="90"/>
      <c r="AP148" s="90"/>
      <c r="AQ148" s="90"/>
      <c r="AR148" s="90"/>
      <c r="AS148" s="90"/>
      <c r="AT148" s="90"/>
      <c r="AU148" s="90"/>
      <c r="AV148" s="71"/>
      <c r="AW148" s="72"/>
      <c r="AX148" s="72"/>
      <c r="AY148" s="72"/>
      <c r="AZ148" s="72"/>
      <c r="BA148" s="73"/>
      <c r="BB148" s="73"/>
      <c r="BC148" s="73"/>
      <c r="BD148" s="73"/>
      <c r="BE148" s="73"/>
      <c r="BF148" s="73"/>
      <c r="BG148" s="73"/>
      <c r="BH148" s="73"/>
      <c r="BI148" s="73"/>
      <c r="BJ148" s="73"/>
      <c r="BK148" s="73"/>
      <c r="BL148" s="73"/>
      <c r="BM148" s="73"/>
      <c r="BN148" s="73"/>
      <c r="BO148" s="73"/>
      <c r="BP148" s="73"/>
      <c r="BQ148" s="73"/>
      <c r="BR148" s="73"/>
      <c r="BS148" s="73"/>
      <c r="BT148" s="73"/>
      <c r="BU148" s="73"/>
      <c r="BV148" s="73"/>
      <c r="BW148" s="73"/>
      <c r="BX148" s="73"/>
      <c r="BY148" s="73"/>
      <c r="BZ148" s="73"/>
      <c r="CA148" s="73"/>
      <c r="CB148" s="73"/>
      <c r="CC148" s="73"/>
      <c r="CD148" s="73"/>
      <c r="CE148" s="73"/>
      <c r="CF148" s="73"/>
      <c r="CG148" s="73"/>
      <c r="CH148" s="73"/>
      <c r="CI148" s="73"/>
      <c r="CJ148" s="73"/>
      <c r="CK148" s="73"/>
      <c r="CL148" s="73"/>
      <c r="CM148" s="73"/>
      <c r="CN148" s="72"/>
      <c r="CO148" s="72"/>
      <c r="CP148" s="72"/>
      <c r="CQ148" s="72"/>
    </row>
    <row r="149" spans="1:95" s="40" customFormat="1" x14ac:dyDescent="0.25">
      <c r="A149" s="90"/>
      <c r="B149" s="90"/>
      <c r="C149" s="90"/>
      <c r="D149" s="90"/>
      <c r="E149" s="90"/>
      <c r="F149" s="90"/>
      <c r="G149" s="90"/>
      <c r="H149" s="90"/>
      <c r="I149" s="90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90"/>
      <c r="AO149" s="90"/>
      <c r="AP149" s="90"/>
      <c r="AQ149" s="90"/>
      <c r="AR149" s="90"/>
      <c r="AS149" s="90"/>
      <c r="AT149" s="90"/>
      <c r="AU149" s="90"/>
      <c r="AV149" s="71"/>
      <c r="AW149" s="72"/>
      <c r="AX149" s="72"/>
      <c r="AY149" s="72"/>
      <c r="AZ149" s="72"/>
      <c r="BA149" s="73"/>
      <c r="BB149" s="73"/>
      <c r="BC149" s="73"/>
      <c r="BD149" s="73"/>
      <c r="BE149" s="73"/>
      <c r="BF149" s="73"/>
      <c r="BG149" s="73"/>
      <c r="BH149" s="73"/>
      <c r="BI149" s="73"/>
      <c r="BJ149" s="73"/>
      <c r="BK149" s="73"/>
      <c r="BL149" s="73"/>
      <c r="BM149" s="73"/>
      <c r="BN149" s="73"/>
      <c r="BO149" s="73"/>
      <c r="BP149" s="73"/>
      <c r="BQ149" s="73"/>
      <c r="BR149" s="73"/>
      <c r="BS149" s="73"/>
      <c r="BT149" s="73"/>
      <c r="BU149" s="73"/>
      <c r="BV149" s="73"/>
      <c r="BW149" s="73"/>
      <c r="BX149" s="73"/>
      <c r="BY149" s="73"/>
      <c r="BZ149" s="73"/>
      <c r="CA149" s="73"/>
      <c r="CB149" s="73"/>
      <c r="CC149" s="73"/>
      <c r="CD149" s="73"/>
      <c r="CE149" s="73"/>
      <c r="CF149" s="73"/>
      <c r="CG149" s="73"/>
      <c r="CH149" s="73"/>
      <c r="CI149" s="73"/>
      <c r="CJ149" s="73"/>
      <c r="CK149" s="73"/>
      <c r="CL149" s="73"/>
      <c r="CM149" s="73"/>
      <c r="CN149" s="72"/>
      <c r="CO149" s="72"/>
      <c r="CP149" s="72"/>
      <c r="CQ149" s="72"/>
    </row>
    <row r="150" spans="1:95" s="40" customFormat="1" x14ac:dyDescent="0.25">
      <c r="A150" s="90"/>
      <c r="B150" s="90"/>
      <c r="C150" s="90"/>
      <c r="D150" s="90"/>
      <c r="E150" s="90"/>
      <c r="F150" s="90"/>
      <c r="G150" s="90"/>
      <c r="H150" s="90"/>
      <c r="I150" s="90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90"/>
      <c r="AO150" s="90"/>
      <c r="AP150" s="90"/>
      <c r="AQ150" s="90"/>
      <c r="AR150" s="90"/>
      <c r="AS150" s="90"/>
      <c r="AT150" s="90"/>
      <c r="AU150" s="90"/>
      <c r="AV150" s="71"/>
      <c r="AW150" s="72"/>
      <c r="AX150" s="72"/>
      <c r="AY150" s="72"/>
      <c r="AZ150" s="72"/>
      <c r="BA150" s="73"/>
      <c r="BB150" s="73"/>
      <c r="BC150" s="73"/>
      <c r="BD150" s="73"/>
      <c r="BE150" s="73"/>
      <c r="BF150" s="73"/>
      <c r="BG150" s="73"/>
      <c r="BH150" s="73"/>
      <c r="BI150" s="73"/>
      <c r="BJ150" s="73"/>
      <c r="BK150" s="73"/>
      <c r="BL150" s="73"/>
      <c r="BM150" s="73"/>
      <c r="BN150" s="73"/>
      <c r="BO150" s="73"/>
      <c r="BP150" s="73"/>
      <c r="BQ150" s="73"/>
      <c r="BR150" s="73"/>
      <c r="BS150" s="73"/>
      <c r="BT150" s="73"/>
      <c r="BU150" s="73"/>
      <c r="BV150" s="73"/>
      <c r="BW150" s="73"/>
      <c r="BX150" s="73"/>
      <c r="BY150" s="73"/>
      <c r="BZ150" s="73"/>
      <c r="CA150" s="73"/>
      <c r="CB150" s="73"/>
      <c r="CC150" s="73"/>
      <c r="CD150" s="73"/>
      <c r="CE150" s="73"/>
      <c r="CF150" s="73"/>
      <c r="CG150" s="73"/>
      <c r="CH150" s="73"/>
      <c r="CI150" s="73"/>
      <c r="CJ150" s="73"/>
      <c r="CK150" s="73"/>
      <c r="CL150" s="73"/>
      <c r="CM150" s="73"/>
      <c r="CN150" s="72"/>
      <c r="CO150" s="72"/>
      <c r="CP150" s="72"/>
      <c r="CQ150" s="72"/>
    </row>
    <row r="151" spans="1:95" s="40" customFormat="1" x14ac:dyDescent="0.25">
      <c r="A151" s="90"/>
      <c r="B151" s="90"/>
      <c r="C151" s="90"/>
      <c r="D151" s="90"/>
      <c r="E151" s="90"/>
      <c r="F151" s="90"/>
      <c r="G151" s="90"/>
      <c r="H151" s="90"/>
      <c r="I151" s="90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90"/>
      <c r="AO151" s="90"/>
      <c r="AP151" s="90"/>
      <c r="AQ151" s="90"/>
      <c r="AR151" s="90"/>
      <c r="AS151" s="90"/>
      <c r="AT151" s="90"/>
      <c r="AU151" s="90"/>
      <c r="AV151" s="71"/>
      <c r="AW151" s="72"/>
      <c r="AX151" s="72"/>
      <c r="AY151" s="72"/>
      <c r="AZ151" s="72"/>
      <c r="BA151" s="73"/>
      <c r="BB151" s="73"/>
      <c r="BC151" s="73"/>
      <c r="BD151" s="73"/>
      <c r="BE151" s="73"/>
      <c r="BF151" s="73"/>
      <c r="BG151" s="73"/>
      <c r="BH151" s="73"/>
      <c r="BI151" s="73"/>
      <c r="BJ151" s="73"/>
      <c r="BK151" s="73"/>
      <c r="BL151" s="73"/>
      <c r="BM151" s="73"/>
      <c r="BN151" s="73"/>
      <c r="BO151" s="73"/>
      <c r="BP151" s="73"/>
      <c r="BQ151" s="73"/>
      <c r="BR151" s="73"/>
      <c r="BS151" s="73"/>
      <c r="BT151" s="73"/>
      <c r="BU151" s="73"/>
      <c r="BV151" s="73"/>
      <c r="BW151" s="73"/>
      <c r="BX151" s="73"/>
      <c r="BY151" s="73"/>
      <c r="BZ151" s="73"/>
      <c r="CA151" s="73"/>
      <c r="CB151" s="73"/>
      <c r="CC151" s="73"/>
      <c r="CD151" s="73"/>
      <c r="CE151" s="73"/>
      <c r="CF151" s="73"/>
      <c r="CG151" s="73"/>
      <c r="CH151" s="73"/>
      <c r="CI151" s="73"/>
      <c r="CJ151" s="73"/>
      <c r="CK151" s="73"/>
      <c r="CL151" s="73"/>
      <c r="CM151" s="73"/>
      <c r="CN151" s="72"/>
      <c r="CO151" s="72"/>
      <c r="CP151" s="72"/>
      <c r="CQ151" s="72"/>
    </row>
    <row r="152" spans="1:95" s="40" customFormat="1" x14ac:dyDescent="0.25">
      <c r="A152" s="90"/>
      <c r="B152" s="90"/>
      <c r="C152" s="90"/>
      <c r="D152" s="90"/>
      <c r="E152" s="90"/>
      <c r="F152" s="90"/>
      <c r="G152" s="90"/>
      <c r="H152" s="90"/>
      <c r="I152" s="90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90"/>
      <c r="AO152" s="90"/>
      <c r="AP152" s="90"/>
      <c r="AQ152" s="90"/>
      <c r="AR152" s="90"/>
      <c r="AS152" s="90"/>
      <c r="AT152" s="90"/>
      <c r="AU152" s="90"/>
      <c r="AV152" s="71"/>
      <c r="AW152" s="72"/>
      <c r="AX152" s="72"/>
      <c r="AY152" s="72"/>
      <c r="AZ152" s="72"/>
      <c r="BA152" s="73"/>
      <c r="BB152" s="73"/>
      <c r="BC152" s="73"/>
      <c r="BD152" s="73"/>
      <c r="BE152" s="73"/>
      <c r="BF152" s="73"/>
      <c r="BG152" s="73"/>
      <c r="BH152" s="73"/>
      <c r="BI152" s="73"/>
      <c r="BJ152" s="73"/>
      <c r="BK152" s="73"/>
      <c r="BL152" s="73"/>
      <c r="BM152" s="73"/>
      <c r="BN152" s="73"/>
      <c r="BO152" s="73"/>
      <c r="BP152" s="73"/>
      <c r="BQ152" s="73"/>
      <c r="BR152" s="73"/>
      <c r="BS152" s="73"/>
      <c r="BT152" s="73"/>
      <c r="BU152" s="73"/>
      <c r="BV152" s="73"/>
      <c r="BW152" s="73"/>
      <c r="BX152" s="73"/>
      <c r="BY152" s="73"/>
      <c r="BZ152" s="73"/>
      <c r="CA152" s="73"/>
      <c r="CB152" s="73"/>
      <c r="CC152" s="73"/>
      <c r="CD152" s="73"/>
      <c r="CE152" s="73"/>
      <c r="CF152" s="73"/>
      <c r="CG152" s="73"/>
      <c r="CH152" s="73"/>
      <c r="CI152" s="73"/>
      <c r="CJ152" s="73"/>
      <c r="CK152" s="73"/>
      <c r="CL152" s="73"/>
      <c r="CM152" s="73"/>
      <c r="CN152" s="72"/>
      <c r="CO152" s="72"/>
      <c r="CP152" s="72"/>
      <c r="CQ152" s="72"/>
    </row>
    <row r="153" spans="1:95" s="40" customFormat="1" x14ac:dyDescent="0.25">
      <c r="A153" s="90"/>
      <c r="B153" s="90"/>
      <c r="C153" s="90"/>
      <c r="D153" s="90"/>
      <c r="E153" s="90"/>
      <c r="F153" s="90"/>
      <c r="G153" s="90"/>
      <c r="H153" s="90"/>
      <c r="I153" s="90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90"/>
      <c r="AO153" s="90"/>
      <c r="AP153" s="90"/>
      <c r="AQ153" s="90"/>
      <c r="AR153" s="90"/>
      <c r="AS153" s="90"/>
      <c r="AT153" s="90"/>
      <c r="AU153" s="90"/>
      <c r="AV153" s="71"/>
      <c r="AW153" s="72"/>
      <c r="AX153" s="72"/>
      <c r="AY153" s="72"/>
      <c r="AZ153" s="72"/>
      <c r="BA153" s="73"/>
      <c r="BB153" s="73"/>
      <c r="BC153" s="73"/>
      <c r="BD153" s="73"/>
      <c r="BE153" s="73"/>
      <c r="BF153" s="73"/>
      <c r="BG153" s="73"/>
      <c r="BH153" s="73"/>
      <c r="BI153" s="73"/>
      <c r="BJ153" s="73"/>
      <c r="BK153" s="73"/>
      <c r="BL153" s="73"/>
      <c r="BM153" s="73"/>
      <c r="BN153" s="73"/>
      <c r="BO153" s="73"/>
      <c r="BP153" s="73"/>
      <c r="BQ153" s="73"/>
      <c r="BR153" s="73"/>
      <c r="BS153" s="73"/>
      <c r="BT153" s="73"/>
      <c r="BU153" s="73"/>
      <c r="BV153" s="73"/>
      <c r="BW153" s="73"/>
      <c r="BX153" s="73"/>
      <c r="BY153" s="73"/>
      <c r="BZ153" s="73"/>
      <c r="CA153" s="73"/>
      <c r="CB153" s="73"/>
      <c r="CC153" s="73"/>
      <c r="CD153" s="73"/>
      <c r="CE153" s="73"/>
      <c r="CF153" s="73"/>
      <c r="CG153" s="73"/>
      <c r="CH153" s="73"/>
      <c r="CI153" s="73"/>
      <c r="CJ153" s="73"/>
      <c r="CK153" s="73"/>
      <c r="CL153" s="73"/>
      <c r="CM153" s="73"/>
      <c r="CN153" s="72"/>
      <c r="CO153" s="72"/>
      <c r="CP153" s="72"/>
      <c r="CQ153" s="72"/>
    </row>
    <row r="154" spans="1:95" s="40" customFormat="1" x14ac:dyDescent="0.25">
      <c r="A154" s="90"/>
      <c r="B154" s="90"/>
      <c r="C154" s="90"/>
      <c r="D154" s="90"/>
      <c r="E154" s="90"/>
      <c r="F154" s="90"/>
      <c r="G154" s="90"/>
      <c r="H154" s="90"/>
      <c r="I154" s="90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90"/>
      <c r="AO154" s="90"/>
      <c r="AP154" s="90"/>
      <c r="AQ154" s="90"/>
      <c r="AR154" s="90"/>
      <c r="AS154" s="90"/>
      <c r="AT154" s="90"/>
      <c r="AU154" s="90"/>
      <c r="AV154" s="71"/>
      <c r="AW154" s="72"/>
      <c r="AX154" s="72"/>
      <c r="AY154" s="72"/>
      <c r="AZ154" s="72"/>
      <c r="BA154" s="73"/>
      <c r="BB154" s="73"/>
      <c r="BC154" s="73"/>
      <c r="BD154" s="73"/>
      <c r="BE154" s="73"/>
      <c r="BF154" s="73"/>
      <c r="BG154" s="73"/>
      <c r="BH154" s="73"/>
      <c r="BI154" s="73"/>
      <c r="BJ154" s="73"/>
      <c r="BK154" s="73"/>
      <c r="BL154" s="73"/>
      <c r="BM154" s="73"/>
      <c r="BN154" s="73"/>
      <c r="BO154" s="73"/>
      <c r="BP154" s="73"/>
      <c r="BQ154" s="73"/>
      <c r="BR154" s="73"/>
      <c r="BS154" s="73"/>
      <c r="BT154" s="73"/>
      <c r="BU154" s="73"/>
      <c r="BV154" s="73"/>
      <c r="BW154" s="73"/>
      <c r="BX154" s="73"/>
      <c r="BY154" s="73"/>
      <c r="BZ154" s="73"/>
      <c r="CA154" s="73"/>
      <c r="CB154" s="73"/>
      <c r="CC154" s="73"/>
      <c r="CD154" s="73"/>
      <c r="CE154" s="73"/>
      <c r="CF154" s="73"/>
      <c r="CG154" s="73"/>
      <c r="CH154" s="73"/>
      <c r="CI154" s="73"/>
      <c r="CJ154" s="73"/>
      <c r="CK154" s="73"/>
      <c r="CL154" s="73"/>
      <c r="CM154" s="73"/>
      <c r="CN154" s="72"/>
      <c r="CO154" s="72"/>
      <c r="CP154" s="72"/>
      <c r="CQ154" s="72"/>
    </row>
    <row r="155" spans="1:95" s="40" customFormat="1" x14ac:dyDescent="0.25">
      <c r="A155" s="90"/>
      <c r="B155" s="90"/>
      <c r="C155" s="90"/>
      <c r="D155" s="90"/>
      <c r="E155" s="90"/>
      <c r="F155" s="90"/>
      <c r="G155" s="90"/>
      <c r="H155" s="90"/>
      <c r="I155" s="90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90"/>
      <c r="AO155" s="90"/>
      <c r="AP155" s="90"/>
      <c r="AQ155" s="90"/>
      <c r="AR155" s="90"/>
      <c r="AS155" s="90"/>
      <c r="AT155" s="90"/>
      <c r="AU155" s="90"/>
      <c r="AV155" s="71"/>
      <c r="AW155" s="72"/>
      <c r="AX155" s="72"/>
      <c r="AY155" s="72"/>
      <c r="AZ155" s="72"/>
      <c r="BA155" s="73"/>
      <c r="BB155" s="73"/>
      <c r="BC155" s="73"/>
      <c r="BD155" s="73"/>
      <c r="BE155" s="73"/>
      <c r="BF155" s="73"/>
      <c r="BG155" s="73"/>
      <c r="BH155" s="73"/>
      <c r="BI155" s="73"/>
      <c r="BJ155" s="73"/>
      <c r="BK155" s="73"/>
      <c r="BL155" s="73"/>
      <c r="BM155" s="73"/>
      <c r="BN155" s="73"/>
      <c r="BO155" s="73"/>
      <c r="BP155" s="73"/>
      <c r="BQ155" s="73"/>
      <c r="BR155" s="73"/>
      <c r="BS155" s="73"/>
      <c r="BT155" s="73"/>
      <c r="BU155" s="73"/>
      <c r="BV155" s="73"/>
      <c r="BW155" s="73"/>
      <c r="BX155" s="73"/>
      <c r="BY155" s="73"/>
      <c r="BZ155" s="73"/>
      <c r="CA155" s="73"/>
      <c r="CB155" s="73"/>
      <c r="CC155" s="73"/>
      <c r="CD155" s="73"/>
      <c r="CE155" s="73"/>
      <c r="CF155" s="73"/>
      <c r="CG155" s="73"/>
      <c r="CH155" s="73"/>
      <c r="CI155" s="73"/>
      <c r="CJ155" s="73"/>
      <c r="CK155" s="73"/>
      <c r="CL155" s="73"/>
      <c r="CM155" s="73"/>
      <c r="CN155" s="72"/>
      <c r="CO155" s="72"/>
      <c r="CP155" s="72"/>
      <c r="CQ155" s="72"/>
    </row>
    <row r="156" spans="1:95" s="40" customFormat="1" x14ac:dyDescent="0.25">
      <c r="A156" s="90"/>
      <c r="B156" s="90"/>
      <c r="C156" s="90"/>
      <c r="D156" s="90"/>
      <c r="E156" s="90"/>
      <c r="F156" s="90"/>
      <c r="G156" s="90"/>
      <c r="H156" s="90"/>
      <c r="I156" s="90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90"/>
      <c r="AO156" s="90"/>
      <c r="AP156" s="90"/>
      <c r="AQ156" s="90"/>
      <c r="AR156" s="90"/>
      <c r="AS156" s="90"/>
      <c r="AT156" s="90"/>
      <c r="AU156" s="90"/>
      <c r="AV156" s="71"/>
      <c r="AW156" s="72"/>
      <c r="AX156" s="72"/>
      <c r="AY156" s="72"/>
      <c r="AZ156" s="72"/>
      <c r="BA156" s="73"/>
      <c r="BB156" s="73"/>
      <c r="BC156" s="73"/>
      <c r="BD156" s="73"/>
      <c r="BE156" s="73"/>
      <c r="BF156" s="73"/>
      <c r="BG156" s="73"/>
      <c r="BH156" s="73"/>
      <c r="BI156" s="73"/>
      <c r="BJ156" s="73"/>
      <c r="BK156" s="73"/>
      <c r="BL156" s="73"/>
      <c r="BM156" s="73"/>
      <c r="BN156" s="73"/>
      <c r="BO156" s="73"/>
      <c r="BP156" s="73"/>
      <c r="BQ156" s="73"/>
      <c r="BR156" s="73"/>
      <c r="BS156" s="73"/>
      <c r="BT156" s="73"/>
      <c r="BU156" s="73"/>
      <c r="BV156" s="73"/>
      <c r="BW156" s="73"/>
      <c r="BX156" s="73"/>
      <c r="BY156" s="73"/>
      <c r="BZ156" s="73"/>
      <c r="CA156" s="73"/>
      <c r="CB156" s="73"/>
      <c r="CC156" s="73"/>
      <c r="CD156" s="73"/>
      <c r="CE156" s="73"/>
      <c r="CF156" s="73"/>
      <c r="CG156" s="73"/>
      <c r="CH156" s="73"/>
      <c r="CI156" s="73"/>
      <c r="CJ156" s="73"/>
      <c r="CK156" s="73"/>
      <c r="CL156" s="73"/>
      <c r="CM156" s="73"/>
      <c r="CN156" s="72"/>
      <c r="CO156" s="72"/>
      <c r="CP156" s="72"/>
      <c r="CQ156" s="72"/>
    </row>
    <row r="157" spans="1:95" s="40" customFormat="1" x14ac:dyDescent="0.25">
      <c r="A157" s="90"/>
      <c r="B157" s="90"/>
      <c r="C157" s="90"/>
      <c r="D157" s="90"/>
      <c r="E157" s="90"/>
      <c r="F157" s="90"/>
      <c r="G157" s="90"/>
      <c r="H157" s="90"/>
      <c r="I157" s="90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90"/>
      <c r="AO157" s="90"/>
      <c r="AP157" s="90"/>
      <c r="AQ157" s="90"/>
      <c r="AR157" s="90"/>
      <c r="AS157" s="90"/>
      <c r="AT157" s="90"/>
      <c r="AU157" s="90"/>
      <c r="AV157" s="71"/>
      <c r="AW157" s="72"/>
      <c r="AX157" s="72"/>
      <c r="AY157" s="72"/>
      <c r="AZ157" s="72"/>
      <c r="BA157" s="73"/>
      <c r="BB157" s="73"/>
      <c r="BC157" s="73"/>
      <c r="BD157" s="73"/>
      <c r="BE157" s="73"/>
      <c r="BF157" s="73"/>
      <c r="BG157" s="73"/>
      <c r="BH157" s="73"/>
      <c r="BI157" s="73"/>
      <c r="BJ157" s="73"/>
      <c r="BK157" s="73"/>
      <c r="BL157" s="73"/>
      <c r="BM157" s="73"/>
      <c r="BN157" s="73"/>
      <c r="BO157" s="73"/>
      <c r="BP157" s="73"/>
      <c r="BQ157" s="73"/>
      <c r="BR157" s="73"/>
      <c r="BS157" s="73"/>
      <c r="BT157" s="73"/>
      <c r="BU157" s="73"/>
      <c r="BV157" s="73"/>
      <c r="BW157" s="73"/>
      <c r="BX157" s="73"/>
      <c r="BY157" s="73"/>
      <c r="BZ157" s="73"/>
      <c r="CA157" s="73"/>
      <c r="CB157" s="73"/>
      <c r="CC157" s="73"/>
      <c r="CD157" s="73"/>
      <c r="CE157" s="73"/>
      <c r="CF157" s="73"/>
      <c r="CG157" s="73"/>
      <c r="CH157" s="73"/>
      <c r="CI157" s="73"/>
      <c r="CJ157" s="73"/>
      <c r="CK157" s="73"/>
      <c r="CL157" s="73"/>
      <c r="CM157" s="73"/>
      <c r="CN157" s="72"/>
      <c r="CO157" s="72"/>
      <c r="CP157" s="72"/>
      <c r="CQ157" s="72"/>
    </row>
    <row r="158" spans="1:95" s="40" customFormat="1" x14ac:dyDescent="0.25">
      <c r="A158" s="90"/>
      <c r="B158" s="90"/>
      <c r="C158" s="90"/>
      <c r="D158" s="90"/>
      <c r="E158" s="90"/>
      <c r="F158" s="90"/>
      <c r="G158" s="90"/>
      <c r="H158" s="90"/>
      <c r="I158" s="90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90"/>
      <c r="AO158" s="90"/>
      <c r="AP158" s="90"/>
      <c r="AQ158" s="90"/>
      <c r="AR158" s="90"/>
      <c r="AS158" s="90"/>
      <c r="AT158" s="90"/>
      <c r="AU158" s="90"/>
      <c r="AV158" s="71"/>
      <c r="AW158" s="72"/>
      <c r="AX158" s="72"/>
      <c r="AY158" s="72"/>
      <c r="AZ158" s="72"/>
      <c r="BA158" s="73"/>
      <c r="BB158" s="73"/>
      <c r="BC158" s="73"/>
      <c r="BD158" s="73"/>
      <c r="BE158" s="73"/>
      <c r="BF158" s="73"/>
      <c r="BG158" s="73"/>
      <c r="BH158" s="73"/>
      <c r="BI158" s="73"/>
      <c r="BJ158" s="73"/>
      <c r="BK158" s="73"/>
      <c r="BL158" s="73"/>
      <c r="BM158" s="73"/>
      <c r="BN158" s="73"/>
      <c r="BO158" s="73"/>
      <c r="BP158" s="73"/>
      <c r="BQ158" s="73"/>
      <c r="BR158" s="73"/>
      <c r="BS158" s="73"/>
      <c r="BT158" s="73"/>
      <c r="BU158" s="73"/>
      <c r="BV158" s="73"/>
      <c r="BW158" s="73"/>
      <c r="BX158" s="73"/>
      <c r="BY158" s="73"/>
      <c r="BZ158" s="73"/>
      <c r="CA158" s="73"/>
      <c r="CB158" s="73"/>
      <c r="CC158" s="73"/>
      <c r="CD158" s="73"/>
      <c r="CE158" s="73"/>
      <c r="CF158" s="73"/>
      <c r="CG158" s="73"/>
      <c r="CH158" s="73"/>
      <c r="CI158" s="73"/>
      <c r="CJ158" s="73"/>
      <c r="CK158" s="73"/>
      <c r="CL158" s="73"/>
      <c r="CM158" s="73"/>
      <c r="CN158" s="72"/>
      <c r="CO158" s="72"/>
      <c r="CP158" s="72"/>
      <c r="CQ158" s="72"/>
    </row>
    <row r="159" spans="1:95" s="40" customFormat="1" x14ac:dyDescent="0.25">
      <c r="A159" s="90"/>
      <c r="B159" s="90"/>
      <c r="C159" s="90"/>
      <c r="D159" s="90"/>
      <c r="E159" s="90"/>
      <c r="F159" s="90"/>
      <c r="G159" s="90"/>
      <c r="H159" s="90"/>
      <c r="I159" s="90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90"/>
      <c r="AO159" s="90"/>
      <c r="AP159" s="90"/>
      <c r="AQ159" s="90"/>
      <c r="AR159" s="90"/>
      <c r="AS159" s="90"/>
      <c r="AT159" s="90"/>
      <c r="AU159" s="90"/>
      <c r="AV159" s="71"/>
      <c r="AW159" s="72"/>
      <c r="AX159" s="72"/>
      <c r="AY159" s="72"/>
      <c r="AZ159" s="72"/>
      <c r="BA159" s="73"/>
      <c r="BB159" s="73"/>
      <c r="BC159" s="73"/>
      <c r="BD159" s="73"/>
      <c r="BE159" s="73"/>
      <c r="BF159" s="73"/>
      <c r="BG159" s="73"/>
      <c r="BH159" s="73"/>
      <c r="BI159" s="73"/>
      <c r="BJ159" s="73"/>
      <c r="BK159" s="73"/>
      <c r="BL159" s="73"/>
      <c r="BM159" s="73"/>
      <c r="BN159" s="73"/>
      <c r="BO159" s="73"/>
      <c r="BP159" s="73"/>
      <c r="BQ159" s="73"/>
      <c r="BR159" s="73"/>
      <c r="BS159" s="73"/>
      <c r="BT159" s="73"/>
      <c r="BU159" s="73"/>
      <c r="BV159" s="73"/>
      <c r="BW159" s="73"/>
      <c r="BX159" s="73"/>
      <c r="BY159" s="73"/>
      <c r="BZ159" s="73"/>
      <c r="CA159" s="73"/>
      <c r="CB159" s="73"/>
      <c r="CC159" s="73"/>
      <c r="CD159" s="73"/>
      <c r="CE159" s="73"/>
      <c r="CF159" s="73"/>
      <c r="CG159" s="73"/>
      <c r="CH159" s="73"/>
      <c r="CI159" s="73"/>
      <c r="CJ159" s="73"/>
      <c r="CK159" s="73"/>
      <c r="CL159" s="73"/>
      <c r="CM159" s="73"/>
      <c r="CN159" s="72"/>
      <c r="CO159" s="72"/>
      <c r="CP159" s="72"/>
      <c r="CQ159" s="72"/>
    </row>
    <row r="160" spans="1:95" s="40" customFormat="1" x14ac:dyDescent="0.25">
      <c r="A160" s="90"/>
      <c r="B160" s="90"/>
      <c r="C160" s="90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90"/>
      <c r="AO160" s="90"/>
      <c r="AP160" s="90"/>
      <c r="AQ160" s="90"/>
      <c r="AR160" s="90"/>
      <c r="AS160" s="90"/>
      <c r="AT160" s="90"/>
      <c r="AU160" s="90"/>
      <c r="AV160" s="71"/>
      <c r="AW160" s="72"/>
      <c r="AX160" s="72"/>
      <c r="AY160" s="72"/>
      <c r="AZ160" s="72"/>
      <c r="BA160" s="73"/>
      <c r="BB160" s="73"/>
      <c r="BC160" s="73"/>
      <c r="BD160" s="73"/>
      <c r="BE160" s="73"/>
      <c r="BF160" s="73"/>
      <c r="BG160" s="73"/>
      <c r="BH160" s="73"/>
      <c r="BI160" s="73"/>
      <c r="BJ160" s="73"/>
      <c r="BK160" s="73"/>
      <c r="BL160" s="73"/>
      <c r="BM160" s="73"/>
      <c r="BN160" s="73"/>
      <c r="BO160" s="73"/>
      <c r="BP160" s="73"/>
      <c r="BQ160" s="73"/>
      <c r="BR160" s="73"/>
      <c r="BS160" s="73"/>
      <c r="BT160" s="73"/>
      <c r="BU160" s="73"/>
      <c r="BV160" s="73"/>
      <c r="BW160" s="73"/>
      <c r="BX160" s="73"/>
      <c r="BY160" s="73"/>
      <c r="BZ160" s="73"/>
      <c r="CA160" s="73"/>
      <c r="CB160" s="73"/>
      <c r="CC160" s="73"/>
      <c r="CD160" s="73"/>
      <c r="CE160" s="73"/>
      <c r="CF160" s="73"/>
      <c r="CG160" s="73"/>
      <c r="CH160" s="73"/>
      <c r="CI160" s="73"/>
      <c r="CJ160" s="73"/>
      <c r="CK160" s="73"/>
      <c r="CL160" s="73"/>
      <c r="CM160" s="73"/>
      <c r="CN160" s="72"/>
      <c r="CO160" s="72"/>
      <c r="CP160" s="72"/>
      <c r="CQ160" s="72"/>
    </row>
    <row r="161" spans="1:95" s="40" customFormat="1" x14ac:dyDescent="0.25">
      <c r="A161" s="90"/>
      <c r="B161" s="90"/>
      <c r="C161" s="90"/>
      <c r="D161" s="90"/>
      <c r="E161" s="90"/>
      <c r="F161" s="90"/>
      <c r="G161" s="90"/>
      <c r="H161" s="90"/>
      <c r="I161" s="90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90"/>
      <c r="AO161" s="90"/>
      <c r="AP161" s="90"/>
      <c r="AQ161" s="90"/>
      <c r="AR161" s="90"/>
      <c r="AS161" s="90"/>
      <c r="AT161" s="90"/>
      <c r="AU161" s="90"/>
      <c r="AV161" s="71"/>
      <c r="AW161" s="72"/>
      <c r="AX161" s="72"/>
      <c r="AY161" s="72"/>
      <c r="AZ161" s="72"/>
      <c r="BA161" s="73"/>
      <c r="BB161" s="73"/>
      <c r="BC161" s="73"/>
      <c r="BD161" s="73"/>
      <c r="BE161" s="73"/>
      <c r="BF161" s="73"/>
      <c r="BG161" s="73"/>
      <c r="BH161" s="73"/>
      <c r="BI161" s="73"/>
      <c r="BJ161" s="73"/>
      <c r="BK161" s="73"/>
      <c r="BL161" s="73"/>
      <c r="BM161" s="73"/>
      <c r="BN161" s="73"/>
      <c r="BO161" s="73"/>
      <c r="BP161" s="73"/>
      <c r="BQ161" s="73"/>
      <c r="BR161" s="73"/>
      <c r="BS161" s="73"/>
      <c r="BT161" s="73"/>
      <c r="BU161" s="73"/>
      <c r="BV161" s="73"/>
      <c r="BW161" s="73"/>
      <c r="BX161" s="73"/>
      <c r="BY161" s="73"/>
      <c r="BZ161" s="73"/>
      <c r="CA161" s="73"/>
      <c r="CB161" s="73"/>
      <c r="CC161" s="73"/>
      <c r="CD161" s="73"/>
      <c r="CE161" s="73"/>
      <c r="CF161" s="73"/>
      <c r="CG161" s="73"/>
      <c r="CH161" s="73"/>
      <c r="CI161" s="73"/>
      <c r="CJ161" s="73"/>
      <c r="CK161" s="73"/>
      <c r="CL161" s="73"/>
      <c r="CM161" s="73"/>
      <c r="CN161" s="72"/>
      <c r="CO161" s="72"/>
      <c r="CP161" s="72"/>
      <c r="CQ161" s="72"/>
    </row>
    <row r="162" spans="1:95" s="40" customFormat="1" x14ac:dyDescent="0.25">
      <c r="A162" s="90"/>
      <c r="B162" s="90"/>
      <c r="C162" s="90"/>
      <c r="D162" s="90"/>
      <c r="E162" s="90"/>
      <c r="F162" s="90"/>
      <c r="G162" s="90"/>
      <c r="H162" s="90"/>
      <c r="I162" s="90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90"/>
      <c r="AO162" s="90"/>
      <c r="AP162" s="90"/>
      <c r="AQ162" s="90"/>
      <c r="AR162" s="90"/>
      <c r="AS162" s="90"/>
      <c r="AT162" s="90"/>
      <c r="AU162" s="90"/>
      <c r="AV162" s="71"/>
      <c r="AW162" s="72"/>
      <c r="AX162" s="72"/>
      <c r="AY162" s="72"/>
      <c r="AZ162" s="72"/>
      <c r="BA162" s="73"/>
      <c r="BB162" s="73"/>
      <c r="BC162" s="73"/>
      <c r="BD162" s="73"/>
      <c r="BE162" s="73"/>
      <c r="BF162" s="73"/>
      <c r="BG162" s="73"/>
      <c r="BH162" s="73"/>
      <c r="BI162" s="73"/>
      <c r="BJ162" s="73"/>
      <c r="BK162" s="73"/>
      <c r="BL162" s="73"/>
      <c r="BM162" s="73"/>
      <c r="BN162" s="73"/>
      <c r="BO162" s="73"/>
      <c r="BP162" s="73"/>
      <c r="BQ162" s="73"/>
      <c r="BR162" s="73"/>
      <c r="BS162" s="73"/>
      <c r="BT162" s="73"/>
      <c r="BU162" s="73"/>
      <c r="BV162" s="73"/>
      <c r="BW162" s="73"/>
      <c r="BX162" s="73"/>
      <c r="BY162" s="73"/>
      <c r="BZ162" s="73"/>
      <c r="CA162" s="73"/>
      <c r="CB162" s="73"/>
      <c r="CC162" s="73"/>
      <c r="CD162" s="73"/>
      <c r="CE162" s="73"/>
      <c r="CF162" s="73"/>
      <c r="CG162" s="73"/>
      <c r="CH162" s="73"/>
      <c r="CI162" s="73"/>
      <c r="CJ162" s="73"/>
      <c r="CK162" s="73"/>
      <c r="CL162" s="73"/>
      <c r="CM162" s="73"/>
      <c r="CN162" s="72"/>
      <c r="CO162" s="72"/>
      <c r="CP162" s="72"/>
      <c r="CQ162" s="72"/>
    </row>
    <row r="163" spans="1:95" s="40" customFormat="1" x14ac:dyDescent="0.25">
      <c r="A163" s="90"/>
      <c r="B163" s="90"/>
      <c r="C163" s="90"/>
      <c r="D163" s="90"/>
      <c r="E163" s="90"/>
      <c r="F163" s="90"/>
      <c r="G163" s="90"/>
      <c r="H163" s="90"/>
      <c r="I163" s="90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90"/>
      <c r="AO163" s="90"/>
      <c r="AP163" s="90"/>
      <c r="AQ163" s="90"/>
      <c r="AR163" s="90"/>
      <c r="AS163" s="90"/>
      <c r="AT163" s="90"/>
      <c r="AU163" s="90"/>
      <c r="AV163" s="71"/>
      <c r="AW163" s="72"/>
      <c r="AX163" s="72"/>
      <c r="AY163" s="72"/>
      <c r="AZ163" s="72"/>
      <c r="BA163" s="73"/>
      <c r="BB163" s="73"/>
      <c r="BC163" s="73"/>
      <c r="BD163" s="73"/>
      <c r="BE163" s="73"/>
      <c r="BF163" s="73"/>
      <c r="BG163" s="73"/>
      <c r="BH163" s="73"/>
      <c r="BI163" s="73"/>
      <c r="BJ163" s="73"/>
      <c r="BK163" s="73"/>
      <c r="BL163" s="73"/>
      <c r="BM163" s="73"/>
      <c r="BN163" s="73"/>
      <c r="BO163" s="73"/>
      <c r="BP163" s="73"/>
      <c r="BQ163" s="73"/>
      <c r="BR163" s="73"/>
      <c r="BS163" s="73"/>
      <c r="BT163" s="73"/>
      <c r="BU163" s="73"/>
      <c r="BV163" s="73"/>
      <c r="BW163" s="73"/>
      <c r="BX163" s="73"/>
      <c r="BY163" s="73"/>
      <c r="BZ163" s="73"/>
      <c r="CA163" s="73"/>
      <c r="CB163" s="73"/>
      <c r="CC163" s="73"/>
      <c r="CD163" s="73"/>
      <c r="CE163" s="73"/>
      <c r="CF163" s="73"/>
      <c r="CG163" s="73"/>
      <c r="CH163" s="73"/>
      <c r="CI163" s="73"/>
      <c r="CJ163" s="73"/>
      <c r="CK163" s="73"/>
      <c r="CL163" s="73"/>
      <c r="CM163" s="73"/>
      <c r="CN163" s="72"/>
      <c r="CO163" s="72"/>
      <c r="CP163" s="72"/>
      <c r="CQ163" s="72"/>
    </row>
    <row r="164" spans="1:95" s="40" customFormat="1" x14ac:dyDescent="0.25">
      <c r="A164" s="90"/>
      <c r="B164" s="90"/>
      <c r="C164" s="90"/>
      <c r="D164" s="90"/>
      <c r="E164" s="90"/>
      <c r="F164" s="90"/>
      <c r="G164" s="90"/>
      <c r="H164" s="90"/>
      <c r="I164" s="90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90"/>
      <c r="AO164" s="90"/>
      <c r="AP164" s="90"/>
      <c r="AQ164" s="90"/>
      <c r="AR164" s="90"/>
      <c r="AS164" s="90"/>
      <c r="AT164" s="90"/>
      <c r="AU164" s="90"/>
      <c r="AV164" s="71"/>
      <c r="AW164" s="72"/>
      <c r="AX164" s="72"/>
      <c r="AY164" s="72"/>
      <c r="AZ164" s="72"/>
      <c r="BA164" s="73"/>
      <c r="BB164" s="73"/>
      <c r="BC164" s="73"/>
      <c r="BD164" s="73"/>
      <c r="BE164" s="73"/>
      <c r="BF164" s="73"/>
      <c r="BG164" s="73"/>
      <c r="BH164" s="73"/>
      <c r="BI164" s="73"/>
      <c r="BJ164" s="73"/>
      <c r="BK164" s="73"/>
      <c r="BL164" s="73"/>
      <c r="BM164" s="73"/>
      <c r="BN164" s="73"/>
      <c r="BO164" s="73"/>
      <c r="BP164" s="73"/>
      <c r="BQ164" s="73"/>
      <c r="BR164" s="73"/>
      <c r="BS164" s="73"/>
      <c r="BT164" s="73"/>
      <c r="BU164" s="73"/>
      <c r="BV164" s="73"/>
      <c r="BW164" s="73"/>
      <c r="BX164" s="73"/>
      <c r="BY164" s="73"/>
      <c r="BZ164" s="73"/>
      <c r="CA164" s="73"/>
      <c r="CB164" s="73"/>
      <c r="CC164" s="73"/>
      <c r="CD164" s="73"/>
      <c r="CE164" s="73"/>
      <c r="CF164" s="73"/>
      <c r="CG164" s="73"/>
      <c r="CH164" s="73"/>
      <c r="CI164" s="73"/>
      <c r="CJ164" s="73"/>
      <c r="CK164" s="73"/>
      <c r="CL164" s="73"/>
      <c r="CM164" s="73"/>
      <c r="CN164" s="72"/>
      <c r="CO164" s="72"/>
      <c r="CP164" s="72"/>
      <c r="CQ164" s="72"/>
    </row>
    <row r="165" spans="1:95" s="40" customFormat="1" x14ac:dyDescent="0.25">
      <c r="A165" s="90"/>
      <c r="B165" s="90"/>
      <c r="C165" s="90"/>
      <c r="D165" s="90"/>
      <c r="E165" s="90"/>
      <c r="F165" s="90"/>
      <c r="G165" s="90"/>
      <c r="H165" s="90"/>
      <c r="I165" s="90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90"/>
      <c r="AO165" s="90"/>
      <c r="AP165" s="90"/>
      <c r="AQ165" s="90"/>
      <c r="AR165" s="90"/>
      <c r="AS165" s="90"/>
      <c r="AT165" s="90"/>
      <c r="AU165" s="90"/>
      <c r="AV165" s="71"/>
      <c r="AW165" s="72"/>
      <c r="AX165" s="72"/>
      <c r="AY165" s="72"/>
      <c r="AZ165" s="72"/>
      <c r="BA165" s="73"/>
      <c r="BB165" s="73"/>
      <c r="BC165" s="73"/>
      <c r="BD165" s="73"/>
      <c r="BE165" s="73"/>
      <c r="BF165" s="73"/>
      <c r="BG165" s="73"/>
      <c r="BH165" s="73"/>
      <c r="BI165" s="73"/>
      <c r="BJ165" s="73"/>
      <c r="BK165" s="73"/>
      <c r="BL165" s="73"/>
      <c r="BM165" s="73"/>
      <c r="BN165" s="73"/>
      <c r="BO165" s="73"/>
      <c r="BP165" s="73"/>
      <c r="BQ165" s="73"/>
      <c r="BR165" s="73"/>
      <c r="BS165" s="73"/>
      <c r="BT165" s="73"/>
      <c r="BU165" s="73"/>
      <c r="BV165" s="73"/>
      <c r="BW165" s="73"/>
      <c r="BX165" s="73"/>
      <c r="BY165" s="73"/>
      <c r="BZ165" s="73"/>
      <c r="CA165" s="73"/>
      <c r="CB165" s="73"/>
      <c r="CC165" s="73"/>
      <c r="CD165" s="73"/>
      <c r="CE165" s="73"/>
      <c r="CF165" s="73"/>
      <c r="CG165" s="73"/>
      <c r="CH165" s="73"/>
      <c r="CI165" s="73"/>
      <c r="CJ165" s="73"/>
      <c r="CK165" s="73"/>
      <c r="CL165" s="73"/>
      <c r="CM165" s="73"/>
      <c r="CN165" s="72"/>
      <c r="CO165" s="72"/>
      <c r="CP165" s="72"/>
      <c r="CQ165" s="72"/>
    </row>
    <row r="166" spans="1:95" s="40" customFormat="1" x14ac:dyDescent="0.25">
      <c r="A166" s="90"/>
      <c r="B166" s="90"/>
      <c r="C166" s="90"/>
      <c r="D166" s="90"/>
      <c r="E166" s="90"/>
      <c r="F166" s="90"/>
      <c r="G166" s="90"/>
      <c r="H166" s="90"/>
      <c r="I166" s="90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90"/>
      <c r="AO166" s="90"/>
      <c r="AP166" s="90"/>
      <c r="AQ166" s="90"/>
      <c r="AR166" s="90"/>
      <c r="AS166" s="90"/>
      <c r="AT166" s="90"/>
      <c r="AU166" s="90"/>
      <c r="AV166" s="71"/>
      <c r="AW166" s="72"/>
      <c r="AX166" s="72"/>
      <c r="AY166" s="72"/>
      <c r="AZ166" s="72"/>
      <c r="BA166" s="73"/>
      <c r="BB166" s="73"/>
      <c r="BC166" s="73"/>
      <c r="BD166" s="73"/>
      <c r="BE166" s="73"/>
      <c r="BF166" s="73"/>
      <c r="BG166" s="73"/>
      <c r="BH166" s="73"/>
      <c r="BI166" s="73"/>
      <c r="BJ166" s="73"/>
      <c r="BK166" s="73"/>
      <c r="BL166" s="73"/>
      <c r="BM166" s="73"/>
      <c r="BN166" s="73"/>
      <c r="BO166" s="73"/>
      <c r="BP166" s="73"/>
      <c r="BQ166" s="73"/>
      <c r="BR166" s="73"/>
      <c r="BS166" s="73"/>
      <c r="BT166" s="73"/>
      <c r="BU166" s="73"/>
      <c r="BV166" s="73"/>
      <c r="BW166" s="73"/>
      <c r="BX166" s="73"/>
      <c r="BY166" s="73"/>
      <c r="BZ166" s="73"/>
      <c r="CA166" s="73"/>
      <c r="CB166" s="73"/>
      <c r="CC166" s="73"/>
      <c r="CD166" s="73"/>
      <c r="CE166" s="73"/>
      <c r="CF166" s="73"/>
      <c r="CG166" s="73"/>
      <c r="CH166" s="73"/>
      <c r="CI166" s="73"/>
      <c r="CJ166" s="73"/>
      <c r="CK166" s="73"/>
      <c r="CL166" s="73"/>
      <c r="CM166" s="73"/>
      <c r="CN166" s="72"/>
      <c r="CO166" s="72"/>
      <c r="CP166" s="72"/>
      <c r="CQ166" s="72"/>
    </row>
    <row r="167" spans="1:95" s="40" customFormat="1" x14ac:dyDescent="0.25">
      <c r="A167" s="90"/>
      <c r="B167" s="90"/>
      <c r="C167" s="90"/>
      <c r="D167" s="90"/>
      <c r="E167" s="90"/>
      <c r="F167" s="90"/>
      <c r="G167" s="90"/>
      <c r="H167" s="90"/>
      <c r="I167" s="90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90"/>
      <c r="AO167" s="90"/>
      <c r="AP167" s="90"/>
      <c r="AQ167" s="90"/>
      <c r="AR167" s="90"/>
      <c r="AS167" s="90"/>
      <c r="AT167" s="90"/>
      <c r="AU167" s="90"/>
      <c r="AV167" s="71"/>
      <c r="AW167" s="72"/>
      <c r="AX167" s="72"/>
      <c r="AY167" s="72"/>
      <c r="AZ167" s="72"/>
      <c r="BA167" s="73"/>
      <c r="BB167" s="73"/>
      <c r="BC167" s="73"/>
      <c r="BD167" s="73"/>
      <c r="BE167" s="73"/>
      <c r="BF167" s="73"/>
      <c r="BG167" s="73"/>
      <c r="BH167" s="73"/>
      <c r="BI167" s="73"/>
      <c r="BJ167" s="73"/>
      <c r="BK167" s="73"/>
      <c r="BL167" s="73"/>
      <c r="BM167" s="73"/>
      <c r="BN167" s="73"/>
      <c r="BO167" s="73"/>
      <c r="BP167" s="73"/>
      <c r="BQ167" s="73"/>
      <c r="BR167" s="73"/>
      <c r="BS167" s="73"/>
      <c r="BT167" s="73"/>
      <c r="BU167" s="73"/>
      <c r="BV167" s="73"/>
      <c r="BW167" s="73"/>
      <c r="BX167" s="73"/>
      <c r="BY167" s="73"/>
      <c r="BZ167" s="73"/>
      <c r="CA167" s="73"/>
      <c r="CB167" s="73"/>
      <c r="CC167" s="73"/>
      <c r="CD167" s="73"/>
      <c r="CE167" s="73"/>
      <c r="CF167" s="73"/>
      <c r="CG167" s="73"/>
      <c r="CH167" s="73"/>
      <c r="CI167" s="73"/>
      <c r="CJ167" s="73"/>
      <c r="CK167" s="73"/>
      <c r="CL167" s="73"/>
      <c r="CM167" s="73"/>
      <c r="CN167" s="72"/>
      <c r="CO167" s="72"/>
      <c r="CP167" s="72"/>
      <c r="CQ167" s="72"/>
    </row>
    <row r="168" spans="1:95" s="40" customFormat="1" x14ac:dyDescent="0.25">
      <c r="A168" s="90"/>
      <c r="B168" s="90"/>
      <c r="C168" s="90"/>
      <c r="D168" s="90"/>
      <c r="E168" s="90"/>
      <c r="F168" s="90"/>
      <c r="G168" s="90"/>
      <c r="H168" s="90"/>
      <c r="I168" s="90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90"/>
      <c r="AO168" s="90"/>
      <c r="AP168" s="90"/>
      <c r="AQ168" s="90"/>
      <c r="AR168" s="90"/>
      <c r="AS168" s="90"/>
      <c r="AT168" s="90"/>
      <c r="AU168" s="90"/>
      <c r="AV168" s="71"/>
      <c r="AW168" s="72"/>
      <c r="AX168" s="72"/>
      <c r="AY168" s="72"/>
      <c r="AZ168" s="72"/>
      <c r="BA168" s="73"/>
      <c r="BB168" s="73"/>
      <c r="BC168" s="73"/>
      <c r="BD168" s="73"/>
      <c r="BE168" s="73"/>
      <c r="BF168" s="73"/>
      <c r="BG168" s="73"/>
      <c r="BH168" s="73"/>
      <c r="BI168" s="73"/>
      <c r="BJ168" s="73"/>
      <c r="BK168" s="73"/>
      <c r="BL168" s="73"/>
      <c r="BM168" s="73"/>
      <c r="BN168" s="73"/>
      <c r="BO168" s="73"/>
      <c r="BP168" s="73"/>
      <c r="BQ168" s="73"/>
      <c r="BR168" s="73"/>
      <c r="BS168" s="73"/>
      <c r="BT168" s="73"/>
      <c r="BU168" s="73"/>
      <c r="BV168" s="73"/>
      <c r="BW168" s="73"/>
      <c r="BX168" s="73"/>
      <c r="BY168" s="73"/>
      <c r="BZ168" s="73"/>
      <c r="CA168" s="73"/>
      <c r="CB168" s="73"/>
      <c r="CC168" s="73"/>
      <c r="CD168" s="73"/>
      <c r="CE168" s="73"/>
      <c r="CF168" s="73"/>
      <c r="CG168" s="73"/>
      <c r="CH168" s="73"/>
      <c r="CI168" s="73"/>
      <c r="CJ168" s="73"/>
      <c r="CK168" s="73"/>
      <c r="CL168" s="73"/>
      <c r="CM168" s="73"/>
      <c r="CN168" s="72"/>
      <c r="CO168" s="72"/>
      <c r="CP168" s="72"/>
      <c r="CQ168" s="72"/>
    </row>
    <row r="169" spans="1:95" s="40" customFormat="1" x14ac:dyDescent="0.25">
      <c r="A169" s="90"/>
      <c r="B169" s="90"/>
      <c r="C169" s="90"/>
      <c r="D169" s="90"/>
      <c r="E169" s="90"/>
      <c r="F169" s="90"/>
      <c r="G169" s="90"/>
      <c r="H169" s="90"/>
      <c r="I169" s="90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90"/>
      <c r="AO169" s="90"/>
      <c r="AP169" s="90"/>
      <c r="AQ169" s="90"/>
      <c r="AR169" s="90"/>
      <c r="AS169" s="90"/>
      <c r="AT169" s="90"/>
      <c r="AU169" s="90"/>
      <c r="AV169" s="71"/>
      <c r="AW169" s="72"/>
      <c r="AX169" s="72"/>
      <c r="AY169" s="72"/>
      <c r="AZ169" s="72"/>
      <c r="BA169" s="73"/>
      <c r="BB169" s="73"/>
      <c r="BC169" s="73"/>
      <c r="BD169" s="73"/>
      <c r="BE169" s="73"/>
      <c r="BF169" s="73"/>
      <c r="BG169" s="73"/>
      <c r="BH169" s="73"/>
      <c r="BI169" s="73"/>
      <c r="BJ169" s="73"/>
      <c r="BK169" s="73"/>
      <c r="BL169" s="73"/>
      <c r="BM169" s="73"/>
      <c r="BN169" s="73"/>
      <c r="BO169" s="73"/>
      <c r="BP169" s="73"/>
      <c r="BQ169" s="73"/>
      <c r="BR169" s="73"/>
      <c r="BS169" s="73"/>
      <c r="BT169" s="73"/>
      <c r="BU169" s="73"/>
      <c r="BV169" s="73"/>
      <c r="BW169" s="73"/>
      <c r="BX169" s="73"/>
      <c r="BY169" s="73"/>
      <c r="BZ169" s="73"/>
      <c r="CA169" s="73"/>
      <c r="CB169" s="73"/>
      <c r="CC169" s="73"/>
      <c r="CD169" s="73"/>
      <c r="CE169" s="73"/>
      <c r="CF169" s="73"/>
      <c r="CG169" s="73"/>
      <c r="CH169" s="73"/>
      <c r="CI169" s="73"/>
      <c r="CJ169" s="73"/>
      <c r="CK169" s="73"/>
      <c r="CL169" s="73"/>
      <c r="CM169" s="73"/>
      <c r="CN169" s="72"/>
      <c r="CO169" s="72"/>
      <c r="CP169" s="72"/>
      <c r="CQ169" s="72"/>
    </row>
    <row r="170" spans="1:95" s="40" customFormat="1" x14ac:dyDescent="0.25">
      <c r="A170" s="90"/>
      <c r="B170" s="90"/>
      <c r="C170" s="90"/>
      <c r="D170" s="90"/>
      <c r="E170" s="90"/>
      <c r="F170" s="90"/>
      <c r="G170" s="90"/>
      <c r="H170" s="90"/>
      <c r="I170" s="90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90"/>
      <c r="AO170" s="90"/>
      <c r="AP170" s="90"/>
      <c r="AQ170" s="90"/>
      <c r="AR170" s="90"/>
      <c r="AS170" s="90"/>
      <c r="AT170" s="90"/>
      <c r="AU170" s="90"/>
      <c r="AV170" s="71"/>
      <c r="AW170" s="72"/>
      <c r="AX170" s="72"/>
      <c r="AY170" s="72"/>
      <c r="AZ170" s="72"/>
      <c r="BA170" s="73"/>
      <c r="BB170" s="73"/>
      <c r="BC170" s="73"/>
      <c r="BD170" s="73"/>
      <c r="BE170" s="73"/>
      <c r="BF170" s="73"/>
      <c r="BG170" s="73"/>
      <c r="BH170" s="73"/>
      <c r="BI170" s="73"/>
      <c r="BJ170" s="73"/>
      <c r="BK170" s="73"/>
      <c r="BL170" s="73"/>
      <c r="BM170" s="73"/>
      <c r="BN170" s="73"/>
      <c r="BO170" s="73"/>
      <c r="BP170" s="73"/>
      <c r="BQ170" s="73"/>
      <c r="BR170" s="73"/>
      <c r="BS170" s="73"/>
      <c r="BT170" s="73"/>
      <c r="BU170" s="73"/>
      <c r="BV170" s="73"/>
      <c r="BW170" s="73"/>
      <c r="BX170" s="73"/>
      <c r="BY170" s="73"/>
      <c r="BZ170" s="73"/>
      <c r="CA170" s="73"/>
      <c r="CB170" s="73"/>
      <c r="CC170" s="73"/>
      <c r="CD170" s="73"/>
      <c r="CE170" s="73"/>
      <c r="CF170" s="73"/>
      <c r="CG170" s="73"/>
      <c r="CH170" s="73"/>
      <c r="CI170" s="73"/>
      <c r="CJ170" s="73"/>
      <c r="CK170" s="73"/>
      <c r="CL170" s="73"/>
      <c r="CM170" s="73"/>
      <c r="CN170" s="72"/>
      <c r="CO170" s="72"/>
      <c r="CP170" s="72"/>
      <c r="CQ170" s="72"/>
    </row>
    <row r="171" spans="1:95" s="40" customFormat="1" x14ac:dyDescent="0.25">
      <c r="A171" s="90"/>
      <c r="B171" s="90"/>
      <c r="C171" s="90"/>
      <c r="D171" s="90"/>
      <c r="E171" s="90"/>
      <c r="F171" s="90"/>
      <c r="G171" s="90"/>
      <c r="H171" s="90"/>
      <c r="I171" s="90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90"/>
      <c r="AO171" s="90"/>
      <c r="AP171" s="90"/>
      <c r="AQ171" s="90"/>
      <c r="AR171" s="90"/>
      <c r="AS171" s="90"/>
      <c r="AT171" s="90"/>
      <c r="AU171" s="90"/>
      <c r="AV171" s="71"/>
      <c r="AW171" s="72"/>
      <c r="AX171" s="72"/>
      <c r="AY171" s="72"/>
      <c r="AZ171" s="72"/>
      <c r="BA171" s="73"/>
      <c r="BB171" s="73"/>
      <c r="BC171" s="73"/>
      <c r="BD171" s="73"/>
      <c r="BE171" s="73"/>
      <c r="BF171" s="73"/>
      <c r="BG171" s="73"/>
      <c r="BH171" s="73"/>
      <c r="BI171" s="73"/>
      <c r="BJ171" s="73"/>
      <c r="BK171" s="73"/>
      <c r="BL171" s="73"/>
      <c r="BM171" s="73"/>
      <c r="BN171" s="73"/>
      <c r="BO171" s="73"/>
      <c r="BP171" s="73"/>
      <c r="BQ171" s="73"/>
      <c r="BR171" s="73"/>
      <c r="BS171" s="73"/>
      <c r="BT171" s="73"/>
      <c r="BU171" s="73"/>
      <c r="BV171" s="73"/>
      <c r="BW171" s="73"/>
      <c r="BX171" s="73"/>
      <c r="BY171" s="73"/>
      <c r="BZ171" s="73"/>
      <c r="CA171" s="73"/>
      <c r="CB171" s="73"/>
      <c r="CC171" s="73"/>
      <c r="CD171" s="73"/>
      <c r="CE171" s="73"/>
      <c r="CF171" s="73"/>
      <c r="CG171" s="73"/>
      <c r="CH171" s="73"/>
      <c r="CI171" s="73"/>
      <c r="CJ171" s="73"/>
      <c r="CK171" s="73"/>
      <c r="CL171" s="73"/>
      <c r="CM171" s="73"/>
      <c r="CN171" s="72"/>
      <c r="CO171" s="72"/>
      <c r="CP171" s="72"/>
      <c r="CQ171" s="72"/>
    </row>
    <row r="172" spans="1:95" s="40" customFormat="1" x14ac:dyDescent="0.25">
      <c r="A172" s="90"/>
      <c r="B172" s="90"/>
      <c r="C172" s="90"/>
      <c r="D172" s="90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90"/>
      <c r="AO172" s="90"/>
      <c r="AP172" s="90"/>
      <c r="AQ172" s="90"/>
      <c r="AR172" s="90"/>
      <c r="AS172" s="90"/>
      <c r="AT172" s="90"/>
      <c r="AU172" s="90"/>
      <c r="AV172" s="71"/>
      <c r="AW172" s="72"/>
      <c r="AX172" s="72"/>
      <c r="AY172" s="72"/>
      <c r="AZ172" s="72"/>
      <c r="BA172" s="73"/>
      <c r="BB172" s="73"/>
      <c r="BC172" s="73"/>
      <c r="BD172" s="73"/>
      <c r="BE172" s="73"/>
      <c r="BF172" s="73"/>
      <c r="BG172" s="73"/>
      <c r="BH172" s="73"/>
      <c r="BI172" s="73"/>
      <c r="BJ172" s="73"/>
      <c r="BK172" s="73"/>
      <c r="BL172" s="73"/>
      <c r="BM172" s="73"/>
      <c r="BN172" s="73"/>
      <c r="BO172" s="73"/>
      <c r="BP172" s="73"/>
      <c r="BQ172" s="73"/>
      <c r="BR172" s="73"/>
      <c r="BS172" s="73"/>
      <c r="BT172" s="73"/>
      <c r="BU172" s="73"/>
      <c r="BV172" s="73"/>
      <c r="BW172" s="73"/>
      <c r="BX172" s="73"/>
      <c r="BY172" s="73"/>
      <c r="BZ172" s="73"/>
      <c r="CA172" s="73"/>
      <c r="CB172" s="73"/>
      <c r="CC172" s="73"/>
      <c r="CD172" s="73"/>
      <c r="CE172" s="73"/>
      <c r="CF172" s="73"/>
      <c r="CG172" s="73"/>
      <c r="CH172" s="73"/>
      <c r="CI172" s="73"/>
      <c r="CJ172" s="73"/>
      <c r="CK172" s="73"/>
      <c r="CL172" s="73"/>
      <c r="CM172" s="73"/>
      <c r="CN172" s="72"/>
      <c r="CO172" s="72"/>
      <c r="CP172" s="72"/>
      <c r="CQ172" s="72"/>
    </row>
    <row r="173" spans="1:95" s="40" customFormat="1" x14ac:dyDescent="0.25">
      <c r="A173" s="90"/>
      <c r="B173" s="90"/>
      <c r="C173" s="90"/>
      <c r="D173" s="90"/>
      <c r="E173" s="90"/>
      <c r="F173" s="90"/>
      <c r="G173" s="90"/>
      <c r="H173" s="90"/>
      <c r="I173" s="90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90"/>
      <c r="AO173" s="90"/>
      <c r="AP173" s="90"/>
      <c r="AQ173" s="90"/>
      <c r="AR173" s="90"/>
      <c r="AS173" s="90"/>
      <c r="AT173" s="90"/>
      <c r="AU173" s="90"/>
      <c r="AV173" s="71"/>
      <c r="AW173" s="72"/>
      <c r="AX173" s="72"/>
      <c r="AY173" s="72"/>
      <c r="AZ173" s="72"/>
      <c r="BA173" s="73"/>
      <c r="BB173" s="73"/>
      <c r="BC173" s="73"/>
      <c r="BD173" s="73"/>
      <c r="BE173" s="73"/>
      <c r="BF173" s="73"/>
      <c r="BG173" s="73"/>
      <c r="BH173" s="73"/>
      <c r="BI173" s="73"/>
      <c r="BJ173" s="73"/>
      <c r="BK173" s="73"/>
      <c r="BL173" s="73"/>
      <c r="BM173" s="73"/>
      <c r="BN173" s="73"/>
      <c r="BO173" s="73"/>
      <c r="BP173" s="73"/>
      <c r="BQ173" s="73"/>
      <c r="BR173" s="73"/>
      <c r="BS173" s="73"/>
      <c r="BT173" s="73"/>
      <c r="BU173" s="73"/>
      <c r="BV173" s="73"/>
      <c r="BW173" s="73"/>
      <c r="BX173" s="73"/>
      <c r="BY173" s="73"/>
      <c r="BZ173" s="73"/>
      <c r="CA173" s="73"/>
      <c r="CB173" s="73"/>
      <c r="CC173" s="73"/>
      <c r="CD173" s="73"/>
      <c r="CE173" s="73"/>
      <c r="CF173" s="73"/>
      <c r="CG173" s="73"/>
      <c r="CH173" s="73"/>
      <c r="CI173" s="73"/>
      <c r="CJ173" s="73"/>
      <c r="CK173" s="73"/>
      <c r="CL173" s="73"/>
      <c r="CM173" s="73"/>
      <c r="CN173" s="72"/>
      <c r="CO173" s="72"/>
      <c r="CP173" s="72"/>
      <c r="CQ173" s="72"/>
    </row>
    <row r="174" spans="1:95" s="40" customFormat="1" x14ac:dyDescent="0.25">
      <c r="A174" s="90"/>
      <c r="B174" s="90"/>
      <c r="C174" s="90"/>
      <c r="D174" s="90"/>
      <c r="E174" s="90"/>
      <c r="F174" s="90"/>
      <c r="G174" s="90"/>
      <c r="H174" s="90"/>
      <c r="I174" s="90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90"/>
      <c r="AO174" s="90"/>
      <c r="AP174" s="90"/>
      <c r="AQ174" s="90"/>
      <c r="AR174" s="90"/>
      <c r="AS174" s="90"/>
      <c r="AT174" s="90"/>
      <c r="AU174" s="90"/>
      <c r="AV174" s="71"/>
      <c r="AW174" s="72"/>
      <c r="AX174" s="72"/>
      <c r="AY174" s="72"/>
      <c r="AZ174" s="72"/>
      <c r="BA174" s="73"/>
      <c r="BB174" s="73"/>
      <c r="BC174" s="73"/>
      <c r="BD174" s="73"/>
      <c r="BE174" s="73"/>
      <c r="BF174" s="73"/>
      <c r="BG174" s="73"/>
      <c r="BH174" s="73"/>
      <c r="BI174" s="73"/>
      <c r="BJ174" s="73"/>
      <c r="BK174" s="73"/>
      <c r="BL174" s="73"/>
      <c r="BM174" s="73"/>
      <c r="BN174" s="73"/>
      <c r="BO174" s="73"/>
      <c r="BP174" s="73"/>
      <c r="BQ174" s="73"/>
      <c r="BR174" s="73"/>
      <c r="BS174" s="73"/>
      <c r="BT174" s="73"/>
      <c r="BU174" s="73"/>
      <c r="BV174" s="73"/>
      <c r="BW174" s="73"/>
      <c r="BX174" s="73"/>
      <c r="BY174" s="73"/>
      <c r="BZ174" s="73"/>
      <c r="CA174" s="73"/>
      <c r="CB174" s="73"/>
      <c r="CC174" s="73"/>
      <c r="CD174" s="73"/>
      <c r="CE174" s="73"/>
      <c r="CF174" s="73"/>
      <c r="CG174" s="73"/>
      <c r="CH174" s="73"/>
      <c r="CI174" s="73"/>
      <c r="CJ174" s="73"/>
      <c r="CK174" s="73"/>
      <c r="CL174" s="73"/>
      <c r="CM174" s="73"/>
      <c r="CN174" s="72"/>
      <c r="CO174" s="72"/>
      <c r="CP174" s="72"/>
      <c r="CQ174" s="72"/>
    </row>
    <row r="175" spans="1:95" s="40" customFormat="1" x14ac:dyDescent="0.25">
      <c r="A175" s="90"/>
      <c r="B175" s="90"/>
      <c r="C175" s="90"/>
      <c r="D175" s="90"/>
      <c r="E175" s="90"/>
      <c r="F175" s="90"/>
      <c r="G175" s="90"/>
      <c r="H175" s="90"/>
      <c r="I175" s="90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90"/>
      <c r="AO175" s="90"/>
      <c r="AP175" s="90"/>
      <c r="AQ175" s="90"/>
      <c r="AR175" s="90"/>
      <c r="AS175" s="90"/>
      <c r="AT175" s="90"/>
      <c r="AU175" s="90"/>
      <c r="AV175" s="71"/>
      <c r="AW175" s="72"/>
      <c r="AX175" s="72"/>
      <c r="AY175" s="72"/>
      <c r="AZ175" s="72"/>
      <c r="BA175" s="73"/>
      <c r="BB175" s="73"/>
      <c r="BC175" s="73"/>
      <c r="BD175" s="73"/>
      <c r="BE175" s="73"/>
      <c r="BF175" s="73"/>
      <c r="BG175" s="73"/>
      <c r="BH175" s="73"/>
      <c r="BI175" s="73"/>
      <c r="BJ175" s="73"/>
      <c r="BK175" s="73"/>
      <c r="BL175" s="73"/>
      <c r="BM175" s="73"/>
      <c r="BN175" s="73"/>
      <c r="BO175" s="73"/>
      <c r="BP175" s="73"/>
      <c r="BQ175" s="73"/>
      <c r="BR175" s="73"/>
      <c r="BS175" s="73"/>
      <c r="BT175" s="73"/>
      <c r="BU175" s="73"/>
      <c r="BV175" s="73"/>
      <c r="BW175" s="73"/>
      <c r="BX175" s="73"/>
      <c r="BY175" s="73"/>
      <c r="BZ175" s="73"/>
      <c r="CA175" s="73"/>
      <c r="CB175" s="73"/>
      <c r="CC175" s="73"/>
      <c r="CD175" s="73"/>
      <c r="CE175" s="73"/>
      <c r="CF175" s="73"/>
      <c r="CG175" s="73"/>
      <c r="CH175" s="73"/>
      <c r="CI175" s="73"/>
      <c r="CJ175" s="73"/>
      <c r="CK175" s="73"/>
      <c r="CL175" s="73"/>
      <c r="CM175" s="73"/>
      <c r="CN175" s="72"/>
      <c r="CO175" s="72"/>
      <c r="CP175" s="72"/>
      <c r="CQ175" s="72"/>
    </row>
    <row r="176" spans="1:95" s="40" customFormat="1" x14ac:dyDescent="0.25">
      <c r="A176" s="90"/>
      <c r="B176" s="90"/>
      <c r="C176" s="90"/>
      <c r="D176" s="90"/>
      <c r="E176" s="90"/>
      <c r="F176" s="90"/>
      <c r="G176" s="90"/>
      <c r="H176" s="90"/>
      <c r="I176" s="90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90"/>
      <c r="AO176" s="90"/>
      <c r="AP176" s="90"/>
      <c r="AQ176" s="90"/>
      <c r="AR176" s="90"/>
      <c r="AS176" s="90"/>
      <c r="AT176" s="90"/>
      <c r="AU176" s="90"/>
      <c r="AV176" s="71"/>
      <c r="AW176" s="72"/>
      <c r="AX176" s="72"/>
      <c r="AY176" s="72"/>
      <c r="AZ176" s="72"/>
      <c r="BA176" s="73"/>
      <c r="BB176" s="73"/>
      <c r="BC176" s="73"/>
      <c r="BD176" s="73"/>
      <c r="BE176" s="73"/>
      <c r="BF176" s="73"/>
      <c r="BG176" s="73"/>
      <c r="BH176" s="73"/>
      <c r="BI176" s="73"/>
      <c r="BJ176" s="73"/>
      <c r="BK176" s="73"/>
      <c r="BL176" s="73"/>
      <c r="BM176" s="73"/>
      <c r="BN176" s="73"/>
      <c r="BO176" s="73"/>
      <c r="BP176" s="73"/>
      <c r="BQ176" s="73"/>
      <c r="BR176" s="73"/>
      <c r="BS176" s="73"/>
      <c r="BT176" s="73"/>
      <c r="BU176" s="73"/>
      <c r="BV176" s="73"/>
      <c r="BW176" s="73"/>
      <c r="BX176" s="73"/>
      <c r="BY176" s="73"/>
      <c r="BZ176" s="73"/>
      <c r="CA176" s="73"/>
      <c r="CB176" s="73"/>
      <c r="CC176" s="73"/>
      <c r="CD176" s="73"/>
      <c r="CE176" s="73"/>
      <c r="CF176" s="73"/>
      <c r="CG176" s="73"/>
      <c r="CH176" s="73"/>
      <c r="CI176" s="73"/>
      <c r="CJ176" s="73"/>
      <c r="CK176" s="73"/>
      <c r="CL176" s="73"/>
      <c r="CM176" s="73"/>
      <c r="CN176" s="72"/>
      <c r="CO176" s="72"/>
      <c r="CP176" s="72"/>
      <c r="CQ176" s="72"/>
    </row>
    <row r="177" spans="1:95" s="40" customFormat="1" x14ac:dyDescent="0.25">
      <c r="A177" s="90"/>
      <c r="B177" s="90"/>
      <c r="C177" s="90"/>
      <c r="D177" s="90"/>
      <c r="E177" s="90"/>
      <c r="F177" s="90"/>
      <c r="G177" s="90"/>
      <c r="H177" s="90"/>
      <c r="I177" s="90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90"/>
      <c r="AO177" s="90"/>
      <c r="AP177" s="90"/>
      <c r="AQ177" s="90"/>
      <c r="AR177" s="90"/>
      <c r="AS177" s="90"/>
      <c r="AT177" s="90"/>
      <c r="AU177" s="90"/>
      <c r="AV177" s="71"/>
      <c r="AW177" s="72"/>
      <c r="AX177" s="72"/>
      <c r="AY177" s="72"/>
      <c r="AZ177" s="72"/>
      <c r="BA177" s="73"/>
      <c r="BB177" s="73"/>
      <c r="BC177" s="73"/>
      <c r="BD177" s="73"/>
      <c r="BE177" s="73"/>
      <c r="BF177" s="73"/>
      <c r="BG177" s="73"/>
      <c r="BH177" s="73"/>
      <c r="BI177" s="73"/>
      <c r="BJ177" s="73"/>
      <c r="BK177" s="73"/>
      <c r="BL177" s="73"/>
      <c r="BM177" s="73"/>
      <c r="BN177" s="73"/>
      <c r="BO177" s="73"/>
      <c r="BP177" s="73"/>
      <c r="BQ177" s="73"/>
      <c r="BR177" s="73"/>
      <c r="BS177" s="73"/>
      <c r="BT177" s="73"/>
      <c r="BU177" s="73"/>
      <c r="BV177" s="73"/>
      <c r="BW177" s="73"/>
      <c r="BX177" s="73"/>
      <c r="BY177" s="73"/>
      <c r="BZ177" s="73"/>
      <c r="CA177" s="73"/>
      <c r="CB177" s="73"/>
      <c r="CC177" s="73"/>
      <c r="CD177" s="73"/>
      <c r="CE177" s="73"/>
      <c r="CF177" s="73"/>
      <c r="CG177" s="73"/>
      <c r="CH177" s="73"/>
      <c r="CI177" s="73"/>
      <c r="CJ177" s="73"/>
      <c r="CK177" s="73"/>
      <c r="CL177" s="73"/>
      <c r="CM177" s="73"/>
      <c r="CN177" s="72"/>
      <c r="CO177" s="72"/>
      <c r="CP177" s="72"/>
      <c r="CQ177" s="72"/>
    </row>
    <row r="178" spans="1:95" s="40" customFormat="1" x14ac:dyDescent="0.25">
      <c r="A178" s="90"/>
      <c r="B178" s="90"/>
      <c r="C178" s="90"/>
      <c r="D178" s="90"/>
      <c r="E178" s="90"/>
      <c r="F178" s="90"/>
      <c r="G178" s="90"/>
      <c r="H178" s="90"/>
      <c r="I178" s="90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90"/>
      <c r="AO178" s="90"/>
      <c r="AP178" s="90"/>
      <c r="AQ178" s="90"/>
      <c r="AR178" s="90"/>
      <c r="AS178" s="90"/>
      <c r="AT178" s="90"/>
      <c r="AU178" s="90"/>
      <c r="AV178" s="71"/>
      <c r="AW178" s="72"/>
      <c r="AX178" s="72"/>
      <c r="AY178" s="72"/>
      <c r="AZ178" s="72"/>
      <c r="BA178" s="73"/>
      <c r="BB178" s="73"/>
      <c r="BC178" s="73"/>
      <c r="BD178" s="73"/>
      <c r="BE178" s="73"/>
      <c r="BF178" s="73"/>
      <c r="BG178" s="73"/>
      <c r="BH178" s="73"/>
      <c r="BI178" s="73"/>
      <c r="BJ178" s="73"/>
      <c r="BK178" s="73"/>
      <c r="BL178" s="73"/>
      <c r="BM178" s="73"/>
      <c r="BN178" s="73"/>
      <c r="BO178" s="73"/>
      <c r="BP178" s="73"/>
      <c r="BQ178" s="73"/>
      <c r="BR178" s="73"/>
      <c r="BS178" s="73"/>
      <c r="BT178" s="73"/>
      <c r="BU178" s="73"/>
      <c r="BV178" s="73"/>
      <c r="BW178" s="73"/>
      <c r="BX178" s="73"/>
      <c r="BY178" s="73"/>
      <c r="BZ178" s="73"/>
      <c r="CA178" s="73"/>
      <c r="CB178" s="73"/>
      <c r="CC178" s="73"/>
      <c r="CD178" s="73"/>
      <c r="CE178" s="73"/>
      <c r="CF178" s="73"/>
      <c r="CG178" s="73"/>
      <c r="CH178" s="73"/>
      <c r="CI178" s="73"/>
      <c r="CJ178" s="73"/>
      <c r="CK178" s="73"/>
      <c r="CL178" s="73"/>
      <c r="CM178" s="73"/>
      <c r="CN178" s="72"/>
      <c r="CO178" s="72"/>
      <c r="CP178" s="72"/>
      <c r="CQ178" s="72"/>
    </row>
    <row r="179" spans="1:95" s="40" customFormat="1" x14ac:dyDescent="0.25">
      <c r="A179" s="90"/>
      <c r="B179" s="90"/>
      <c r="C179" s="90"/>
      <c r="D179" s="90"/>
      <c r="E179" s="90"/>
      <c r="F179" s="90"/>
      <c r="G179" s="90"/>
      <c r="H179" s="90"/>
      <c r="I179" s="90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90"/>
      <c r="AO179" s="90"/>
      <c r="AP179" s="90"/>
      <c r="AQ179" s="90"/>
      <c r="AR179" s="90"/>
      <c r="AS179" s="90"/>
      <c r="AT179" s="90"/>
      <c r="AU179" s="90"/>
      <c r="AV179" s="71"/>
      <c r="AW179" s="72"/>
      <c r="AX179" s="72"/>
      <c r="AY179" s="72"/>
      <c r="AZ179" s="72"/>
      <c r="BA179" s="73"/>
      <c r="BB179" s="73"/>
      <c r="BC179" s="73"/>
      <c r="BD179" s="73"/>
      <c r="BE179" s="73"/>
      <c r="BF179" s="73"/>
      <c r="BG179" s="73"/>
      <c r="BH179" s="73"/>
      <c r="BI179" s="73"/>
      <c r="BJ179" s="73"/>
      <c r="BK179" s="73"/>
      <c r="BL179" s="73"/>
      <c r="BM179" s="73"/>
      <c r="BN179" s="73"/>
      <c r="BO179" s="73"/>
      <c r="BP179" s="73"/>
      <c r="BQ179" s="73"/>
      <c r="BR179" s="73"/>
      <c r="BS179" s="73"/>
      <c r="BT179" s="73"/>
      <c r="BU179" s="73"/>
      <c r="BV179" s="73"/>
      <c r="BW179" s="73"/>
      <c r="BX179" s="73"/>
      <c r="BY179" s="73"/>
      <c r="BZ179" s="73"/>
      <c r="CA179" s="73"/>
      <c r="CB179" s="73"/>
      <c r="CC179" s="73"/>
      <c r="CD179" s="73"/>
      <c r="CE179" s="73"/>
      <c r="CF179" s="73"/>
      <c r="CG179" s="73"/>
      <c r="CH179" s="73"/>
      <c r="CI179" s="73"/>
      <c r="CJ179" s="73"/>
      <c r="CK179" s="73"/>
      <c r="CL179" s="73"/>
      <c r="CM179" s="73"/>
      <c r="CN179" s="72"/>
      <c r="CO179" s="72"/>
      <c r="CP179" s="72"/>
      <c r="CQ179" s="72"/>
    </row>
    <row r="180" spans="1:95" s="40" customFormat="1" x14ac:dyDescent="0.25">
      <c r="A180" s="90"/>
      <c r="B180" s="90"/>
      <c r="C180" s="90"/>
      <c r="D180" s="90"/>
      <c r="E180" s="90"/>
      <c r="F180" s="90"/>
      <c r="G180" s="90"/>
      <c r="H180" s="90"/>
      <c r="I180" s="90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90"/>
      <c r="AO180" s="90"/>
      <c r="AP180" s="90"/>
      <c r="AQ180" s="90"/>
      <c r="AR180" s="90"/>
      <c r="AS180" s="90"/>
      <c r="AT180" s="90"/>
      <c r="AU180" s="90"/>
      <c r="AV180" s="71"/>
      <c r="AW180" s="72"/>
      <c r="AX180" s="72"/>
      <c r="AY180" s="72"/>
      <c r="AZ180" s="72"/>
      <c r="BA180" s="73"/>
      <c r="BB180" s="73"/>
      <c r="BC180" s="73"/>
      <c r="BD180" s="73"/>
      <c r="BE180" s="73"/>
      <c r="BF180" s="73"/>
      <c r="BG180" s="73"/>
      <c r="BH180" s="73"/>
      <c r="BI180" s="73"/>
      <c r="BJ180" s="73"/>
      <c r="BK180" s="73"/>
      <c r="BL180" s="73"/>
      <c r="BM180" s="73"/>
      <c r="BN180" s="73"/>
      <c r="BO180" s="73"/>
      <c r="BP180" s="73"/>
      <c r="BQ180" s="73"/>
      <c r="BR180" s="73"/>
      <c r="BS180" s="73"/>
      <c r="BT180" s="73"/>
      <c r="BU180" s="73"/>
      <c r="BV180" s="73"/>
      <c r="BW180" s="73"/>
      <c r="BX180" s="73"/>
      <c r="BY180" s="73"/>
      <c r="BZ180" s="73"/>
      <c r="CA180" s="73"/>
      <c r="CB180" s="73"/>
      <c r="CC180" s="73"/>
      <c r="CD180" s="73"/>
      <c r="CE180" s="73"/>
      <c r="CF180" s="73"/>
      <c r="CG180" s="73"/>
      <c r="CH180" s="73"/>
      <c r="CI180" s="73"/>
      <c r="CJ180" s="73"/>
      <c r="CK180" s="73"/>
      <c r="CL180" s="73"/>
      <c r="CM180" s="73"/>
      <c r="CN180" s="72"/>
      <c r="CO180" s="72"/>
      <c r="CP180" s="72"/>
      <c r="CQ180" s="72"/>
    </row>
    <row r="181" spans="1:95" x14ac:dyDescent="0.25">
      <c r="AZ181" s="15"/>
      <c r="CM181" s="75"/>
    </row>
    <row r="182" spans="1:95" x14ac:dyDescent="0.25">
      <c r="AZ182" s="15"/>
      <c r="CM182" s="75"/>
    </row>
    <row r="183" spans="1:95" x14ac:dyDescent="0.25">
      <c r="AZ183" s="15"/>
      <c r="CM183" s="75"/>
    </row>
    <row r="184" spans="1:95" x14ac:dyDescent="0.25">
      <c r="AZ184" s="15"/>
      <c r="CM184" s="75"/>
    </row>
    <row r="185" spans="1:95" x14ac:dyDescent="0.25">
      <c r="AZ185" s="15"/>
      <c r="CM185" s="75"/>
    </row>
    <row r="186" spans="1:95" x14ac:dyDescent="0.25">
      <c r="AZ186" s="15"/>
      <c r="CM186" s="75"/>
    </row>
    <row r="187" spans="1:95" x14ac:dyDescent="0.25">
      <c r="AZ187" s="15"/>
      <c r="CM187" s="75"/>
    </row>
    <row r="188" spans="1:95" x14ac:dyDescent="0.25">
      <c r="AZ188" s="15"/>
      <c r="CM188" s="75"/>
    </row>
    <row r="189" spans="1:95" x14ac:dyDescent="0.25">
      <c r="AZ189" s="15"/>
      <c r="CM189" s="75"/>
    </row>
    <row r="190" spans="1:95" x14ac:dyDescent="0.25">
      <c r="AZ190" s="15"/>
      <c r="CM190" s="75"/>
    </row>
    <row r="191" spans="1:95" x14ac:dyDescent="0.25">
      <c r="AZ191" s="15"/>
      <c r="CM191" s="75"/>
    </row>
    <row r="192" spans="1:95" x14ac:dyDescent="0.25">
      <c r="AZ192" s="15"/>
      <c r="CM192" s="75"/>
    </row>
    <row r="193" spans="52:91" x14ac:dyDescent="0.25">
      <c r="AZ193" s="15"/>
      <c r="CM193" s="75"/>
    </row>
    <row r="194" spans="52:91" x14ac:dyDescent="0.25">
      <c r="AZ194" s="15"/>
      <c r="CM194" s="75"/>
    </row>
    <row r="195" spans="52:91" x14ac:dyDescent="0.25">
      <c r="AZ195" s="15"/>
      <c r="CM195" s="75"/>
    </row>
    <row r="196" spans="52:91" x14ac:dyDescent="0.25">
      <c r="AZ196" s="15"/>
      <c r="CM196" s="75"/>
    </row>
    <row r="197" spans="52:91" x14ac:dyDescent="0.25">
      <c r="AZ197" s="15"/>
      <c r="CM197" s="75"/>
    </row>
    <row r="198" spans="52:91" x14ac:dyDescent="0.25">
      <c r="AZ198" s="15"/>
      <c r="CM198" s="75"/>
    </row>
    <row r="199" spans="52:91" x14ac:dyDescent="0.25">
      <c r="AZ199" s="15"/>
      <c r="CM199" s="75"/>
    </row>
    <row r="200" spans="52:91" x14ac:dyDescent="0.25">
      <c r="AZ200" s="15"/>
      <c r="CM200" s="75"/>
    </row>
    <row r="201" spans="52:91" x14ac:dyDescent="0.25">
      <c r="AZ201" s="15"/>
      <c r="CM201" s="75"/>
    </row>
    <row r="202" spans="52:91" x14ac:dyDescent="0.25">
      <c r="AZ202" s="15"/>
      <c r="CM202" s="75"/>
    </row>
    <row r="203" spans="52:91" x14ac:dyDescent="0.25">
      <c r="AZ203" s="15"/>
      <c r="CM203" s="75"/>
    </row>
    <row r="204" spans="52:91" x14ac:dyDescent="0.25">
      <c r="AZ204" s="15"/>
      <c r="CM204" s="75"/>
    </row>
    <row r="205" spans="52:91" x14ac:dyDescent="0.25">
      <c r="AZ205" s="15"/>
      <c r="CM205" s="75"/>
    </row>
    <row r="206" spans="52:91" x14ac:dyDescent="0.25">
      <c r="AZ206" s="15"/>
      <c r="CM206" s="75"/>
    </row>
    <row r="207" spans="52:91" x14ac:dyDescent="0.25">
      <c r="AZ207" s="15"/>
      <c r="CM207" s="75"/>
    </row>
    <row r="208" spans="52:91" x14ac:dyDescent="0.25">
      <c r="AZ208" s="15"/>
      <c r="CM208" s="75"/>
    </row>
    <row r="209" spans="52:91" x14ac:dyDescent="0.25">
      <c r="AZ209" s="15"/>
      <c r="CM209" s="75"/>
    </row>
    <row r="210" spans="52:91" x14ac:dyDescent="0.25">
      <c r="AZ210" s="15"/>
      <c r="CM210" s="75"/>
    </row>
    <row r="211" spans="52:91" x14ac:dyDescent="0.25">
      <c r="AZ211" s="15"/>
      <c r="CM211" s="75"/>
    </row>
    <row r="212" spans="52:91" x14ac:dyDescent="0.25">
      <c r="AZ212" s="15"/>
      <c r="CM212" s="75"/>
    </row>
    <row r="213" spans="52:91" x14ac:dyDescent="0.25">
      <c r="AZ213" s="15"/>
      <c r="CM213" s="75"/>
    </row>
    <row r="214" spans="52:91" x14ac:dyDescent="0.25">
      <c r="AZ214" s="15"/>
      <c r="CM214" s="75"/>
    </row>
    <row r="215" spans="52:91" x14ac:dyDescent="0.25">
      <c r="AZ215" s="15"/>
      <c r="CM215" s="75"/>
    </row>
    <row r="216" spans="52:91" x14ac:dyDescent="0.25">
      <c r="AZ216" s="15"/>
      <c r="CM216" s="75"/>
    </row>
    <row r="217" spans="52:91" x14ac:dyDescent="0.25">
      <c r="AZ217" s="15"/>
      <c r="CM217" s="75"/>
    </row>
    <row r="218" spans="52:91" x14ac:dyDescent="0.25">
      <c r="AZ218" s="15"/>
      <c r="CM218" s="75"/>
    </row>
    <row r="219" spans="52:91" x14ac:dyDescent="0.25">
      <c r="AZ219" s="15"/>
      <c r="CM219" s="75"/>
    </row>
    <row r="220" spans="52:91" x14ac:dyDescent="0.25">
      <c r="AZ220" s="15"/>
      <c r="CM220" s="75"/>
    </row>
    <row r="221" spans="52:91" x14ac:dyDescent="0.25">
      <c r="AZ221" s="15"/>
      <c r="CM221" s="75"/>
    </row>
    <row r="222" spans="52:91" x14ac:dyDescent="0.25">
      <c r="AZ222" s="15"/>
      <c r="CM222" s="75"/>
    </row>
    <row r="223" spans="52:91" x14ac:dyDescent="0.25">
      <c r="AZ223" s="15"/>
      <c r="CM223" s="75"/>
    </row>
    <row r="224" spans="52:91" x14ac:dyDescent="0.25">
      <c r="AZ224" s="15"/>
      <c r="CM224" s="75"/>
    </row>
    <row r="225" spans="52:91" x14ac:dyDescent="0.25">
      <c r="AZ225" s="15"/>
      <c r="CM225" s="75"/>
    </row>
    <row r="226" spans="52:91" x14ac:dyDescent="0.25">
      <c r="AZ226" s="15"/>
      <c r="CM226" s="75"/>
    </row>
    <row r="227" spans="52:91" x14ac:dyDescent="0.25">
      <c r="AZ227" s="15"/>
      <c r="CM227" s="75"/>
    </row>
    <row r="228" spans="52:91" x14ac:dyDescent="0.25">
      <c r="AZ228" s="15"/>
      <c r="CM228" s="75"/>
    </row>
    <row r="229" spans="52:91" x14ac:dyDescent="0.25">
      <c r="AZ229" s="15"/>
      <c r="CM229" s="75"/>
    </row>
    <row r="230" spans="52:91" x14ac:dyDescent="0.25">
      <c r="AZ230" s="15"/>
      <c r="CM230" s="75"/>
    </row>
    <row r="231" spans="52:91" x14ac:dyDescent="0.25">
      <c r="AZ231" s="15"/>
      <c r="CM231" s="75"/>
    </row>
    <row r="232" spans="52:91" x14ac:dyDescent="0.25">
      <c r="AZ232" s="15"/>
      <c r="CM232" s="75"/>
    </row>
    <row r="233" spans="52:91" x14ac:dyDescent="0.25">
      <c r="AZ233" s="15"/>
      <c r="CM233" s="75"/>
    </row>
    <row r="234" spans="52:91" x14ac:dyDescent="0.25">
      <c r="AZ234" s="15"/>
      <c r="CM234" s="75"/>
    </row>
    <row r="235" spans="52:91" x14ac:dyDescent="0.25">
      <c r="AZ235" s="15"/>
      <c r="CM235" s="75"/>
    </row>
    <row r="236" spans="52:91" x14ac:dyDescent="0.25">
      <c r="AZ236" s="15"/>
      <c r="CM236" s="75"/>
    </row>
    <row r="237" spans="52:91" x14ac:dyDescent="0.25">
      <c r="AZ237" s="15"/>
      <c r="CM237" s="75"/>
    </row>
    <row r="238" spans="52:91" x14ac:dyDescent="0.25">
      <c r="AZ238" s="15"/>
      <c r="CM238" s="75"/>
    </row>
    <row r="239" spans="52:91" x14ac:dyDescent="0.25">
      <c r="AZ239" s="15"/>
      <c r="CM239" s="75"/>
    </row>
    <row r="240" spans="52:91" x14ac:dyDescent="0.25">
      <c r="AZ240" s="15"/>
      <c r="CM240" s="75"/>
    </row>
    <row r="241" spans="52:91" x14ac:dyDescent="0.25">
      <c r="AZ241" s="15"/>
      <c r="CM241" s="75"/>
    </row>
    <row r="242" spans="52:91" x14ac:dyDescent="0.25">
      <c r="AZ242" s="15"/>
      <c r="CM242" s="75"/>
    </row>
    <row r="243" spans="52:91" x14ac:dyDescent="0.25">
      <c r="AZ243" s="15"/>
      <c r="CM243" s="75"/>
    </row>
    <row r="244" spans="52:91" x14ac:dyDescent="0.25">
      <c r="AZ244" s="15"/>
      <c r="CM244" s="75"/>
    </row>
    <row r="245" spans="52:91" x14ac:dyDescent="0.25">
      <c r="AZ245" s="15"/>
      <c r="CM245" s="75"/>
    </row>
    <row r="246" spans="52:91" x14ac:dyDescent="0.25">
      <c r="AZ246" s="15"/>
      <c r="CM246" s="75"/>
    </row>
    <row r="247" spans="52:91" x14ac:dyDescent="0.25">
      <c r="AZ247" s="15"/>
      <c r="CM247" s="75"/>
    </row>
    <row r="248" spans="52:91" x14ac:dyDescent="0.25">
      <c r="AZ248" s="15"/>
      <c r="CM248" s="75"/>
    </row>
    <row r="249" spans="52:91" x14ac:dyDescent="0.25">
      <c r="AZ249" s="15"/>
      <c r="CM249" s="75"/>
    </row>
    <row r="250" spans="52:91" x14ac:dyDescent="0.25">
      <c r="AZ250" s="15"/>
      <c r="CM250" s="75"/>
    </row>
    <row r="251" spans="52:91" x14ac:dyDescent="0.25">
      <c r="AZ251" s="15"/>
      <c r="CM251" s="75"/>
    </row>
    <row r="252" spans="52:91" x14ac:dyDescent="0.25">
      <c r="AZ252" s="15"/>
      <c r="CM252" s="75"/>
    </row>
    <row r="253" spans="52:91" x14ac:dyDescent="0.25">
      <c r="AZ253" s="15"/>
      <c r="CM253" s="75"/>
    </row>
    <row r="254" spans="52:91" x14ac:dyDescent="0.25">
      <c r="AZ254" s="15"/>
      <c r="CM254" s="75"/>
    </row>
    <row r="255" spans="52:91" x14ac:dyDescent="0.25">
      <c r="AZ255" s="15"/>
      <c r="CM255" s="75"/>
    </row>
    <row r="256" spans="52:91" x14ac:dyDescent="0.25">
      <c r="AZ256" s="15"/>
      <c r="CM256" s="75"/>
    </row>
    <row r="257" spans="52:91" x14ac:dyDescent="0.25">
      <c r="AZ257" s="15"/>
      <c r="CM257" s="75"/>
    </row>
    <row r="258" spans="52:91" x14ac:dyDescent="0.25">
      <c r="AZ258" s="15"/>
      <c r="CM258" s="75"/>
    </row>
    <row r="259" spans="52:91" x14ac:dyDescent="0.25">
      <c r="AZ259" s="15"/>
      <c r="CM259" s="75"/>
    </row>
    <row r="260" spans="52:91" x14ac:dyDescent="0.25">
      <c r="AZ260" s="15"/>
      <c r="CM260" s="75"/>
    </row>
    <row r="261" spans="52:91" x14ac:dyDescent="0.25">
      <c r="AZ261" s="15"/>
      <c r="CM261" s="75"/>
    </row>
    <row r="262" spans="52:91" x14ac:dyDescent="0.25">
      <c r="AZ262" s="15"/>
      <c r="CM262" s="75"/>
    </row>
    <row r="263" spans="52:91" x14ac:dyDescent="0.25">
      <c r="AZ263" s="15"/>
      <c r="CM263" s="75"/>
    </row>
    <row r="264" spans="52:91" x14ac:dyDescent="0.25">
      <c r="AZ264" s="15"/>
      <c r="CM264" s="75"/>
    </row>
    <row r="265" spans="52:91" x14ac:dyDescent="0.25">
      <c r="AZ265" s="15"/>
      <c r="CM265" s="75"/>
    </row>
    <row r="266" spans="52:91" x14ac:dyDescent="0.25">
      <c r="AZ266" s="15"/>
      <c r="CM266" s="75"/>
    </row>
    <row r="267" spans="52:91" x14ac:dyDescent="0.25">
      <c r="AZ267" s="15"/>
      <c r="CM267" s="75"/>
    </row>
    <row r="268" spans="52:91" x14ac:dyDescent="0.25">
      <c r="AZ268" s="15"/>
      <c r="CM268" s="75"/>
    </row>
    <row r="269" spans="52:91" x14ac:dyDescent="0.25">
      <c r="AZ269" s="15"/>
      <c r="CM269" s="75"/>
    </row>
    <row r="270" spans="52:91" x14ac:dyDescent="0.25">
      <c r="AZ270" s="15"/>
      <c r="CM270" s="75"/>
    </row>
    <row r="271" spans="52:91" x14ac:dyDescent="0.25">
      <c r="AZ271" s="15"/>
      <c r="CM271" s="75"/>
    </row>
    <row r="272" spans="52:91" x14ac:dyDescent="0.25">
      <c r="AZ272" s="15"/>
      <c r="CM272" s="75"/>
    </row>
    <row r="273" spans="52:91" x14ac:dyDescent="0.25">
      <c r="AZ273" s="15"/>
      <c r="CM273" s="75"/>
    </row>
  </sheetData>
  <mergeCells count="569">
    <mergeCell ref="S38:U38"/>
    <mergeCell ref="BC48:CG48"/>
    <mergeCell ref="BC49:CG49"/>
    <mergeCell ref="BC50:CG50"/>
    <mergeCell ref="BC51:CG51"/>
    <mergeCell ref="BC52:CG52"/>
    <mergeCell ref="BC53:CG53"/>
    <mergeCell ref="BC54:CG54"/>
    <mergeCell ref="BC39:CG39"/>
    <mergeCell ref="BC40:CG40"/>
    <mergeCell ref="BC41:CG41"/>
    <mergeCell ref="BC42:CG42"/>
    <mergeCell ref="BC43:CG43"/>
    <mergeCell ref="BC44:CG44"/>
    <mergeCell ref="BC45:CG45"/>
    <mergeCell ref="BC46:CG46"/>
    <mergeCell ref="BC47:CG47"/>
    <mergeCell ref="AB39:AC39"/>
    <mergeCell ref="AB40:AC40"/>
    <mergeCell ref="AB41:AC41"/>
    <mergeCell ref="AB42:AC42"/>
    <mergeCell ref="AB43:AC43"/>
    <mergeCell ref="AB44:AC44"/>
    <mergeCell ref="AB45:AC45"/>
    <mergeCell ref="BC58:CG58"/>
    <mergeCell ref="AD56:AF56"/>
    <mergeCell ref="AD57:AF57"/>
    <mergeCell ref="BC62:CG62"/>
    <mergeCell ref="BC63:CG63"/>
    <mergeCell ref="BC64:CG64"/>
    <mergeCell ref="BC65:CG65"/>
    <mergeCell ref="AD64:AF64"/>
    <mergeCell ref="BC55:CG55"/>
    <mergeCell ref="BC56:CG56"/>
    <mergeCell ref="AQ65:AT65"/>
    <mergeCell ref="AM65:AP65"/>
    <mergeCell ref="AQ60:AT60"/>
    <mergeCell ref="AU62:AW62"/>
    <mergeCell ref="AU63:AW63"/>
    <mergeCell ref="AM57:AP57"/>
    <mergeCell ref="AM58:AP58"/>
    <mergeCell ref="AM59:AP59"/>
    <mergeCell ref="AM60:AP60"/>
    <mergeCell ref="AM62:AP62"/>
    <mergeCell ref="AM63:AP63"/>
    <mergeCell ref="AM64:AP64"/>
    <mergeCell ref="BC59:CG59"/>
    <mergeCell ref="BC60:CG60"/>
    <mergeCell ref="BC61:CG61"/>
    <mergeCell ref="AB48:AC48"/>
    <mergeCell ref="AB49:AC49"/>
    <mergeCell ref="AB50:AC50"/>
    <mergeCell ref="AB51:AC51"/>
    <mergeCell ref="AB52:AC52"/>
    <mergeCell ref="AB53:AC53"/>
    <mergeCell ref="AB54:AC54"/>
    <mergeCell ref="AB55:AC55"/>
    <mergeCell ref="AU61:AW61"/>
    <mergeCell ref="AM61:AP61"/>
    <mergeCell ref="AG60:AI60"/>
    <mergeCell ref="AG61:AI61"/>
    <mergeCell ref="AJ57:AL57"/>
    <mergeCell ref="AD50:AF50"/>
    <mergeCell ref="AD51:AF51"/>
    <mergeCell ref="AD52:AF52"/>
    <mergeCell ref="AQ48:AT48"/>
    <mergeCell ref="AQ49:AT49"/>
    <mergeCell ref="AQ50:AT50"/>
    <mergeCell ref="AD53:AF53"/>
    <mergeCell ref="BC57:CG57"/>
    <mergeCell ref="AQ57:AT57"/>
    <mergeCell ref="AQ58:AT58"/>
    <mergeCell ref="Z65:AA65"/>
    <mergeCell ref="AB65:AC65"/>
    <mergeCell ref="AB56:AC56"/>
    <mergeCell ref="AB57:AC57"/>
    <mergeCell ref="AB58:AC58"/>
    <mergeCell ref="AB59:AC59"/>
    <mergeCell ref="AB60:AC60"/>
    <mergeCell ref="AB61:AC61"/>
    <mergeCell ref="AB62:AC62"/>
    <mergeCell ref="AB63:AC63"/>
    <mergeCell ref="AB64:AC64"/>
    <mergeCell ref="Z56:AA56"/>
    <mergeCell ref="Z57:AA57"/>
    <mergeCell ref="Z58:AA58"/>
    <mergeCell ref="Z59:AA59"/>
    <mergeCell ref="Z60:AA60"/>
    <mergeCell ref="Z61:AA61"/>
    <mergeCell ref="AB46:AC46"/>
    <mergeCell ref="AB47:AC47"/>
    <mergeCell ref="X56:Y56"/>
    <mergeCell ref="X57:Y57"/>
    <mergeCell ref="X58:Y58"/>
    <mergeCell ref="X59:Y59"/>
    <mergeCell ref="X62:Y62"/>
    <mergeCell ref="X63:Y63"/>
    <mergeCell ref="X65:Y65"/>
    <mergeCell ref="Z48:AA48"/>
    <mergeCell ref="Z49:AA49"/>
    <mergeCell ref="Z50:AA50"/>
    <mergeCell ref="Z51:AA51"/>
    <mergeCell ref="Z52:AA52"/>
    <mergeCell ref="Z53:AA53"/>
    <mergeCell ref="Z54:AA54"/>
    <mergeCell ref="Z55:AA55"/>
    <mergeCell ref="X47:Y47"/>
    <mergeCell ref="X48:Y48"/>
    <mergeCell ref="X49:Y49"/>
    <mergeCell ref="X50:Y50"/>
    <mergeCell ref="X51:Y51"/>
    <mergeCell ref="X52:Y52"/>
    <mergeCell ref="X53:Y53"/>
    <mergeCell ref="Z39:AA39"/>
    <mergeCell ref="Z40:AA40"/>
    <mergeCell ref="Z41:AA41"/>
    <mergeCell ref="Z42:AA42"/>
    <mergeCell ref="Z43:AA43"/>
    <mergeCell ref="Z44:AA44"/>
    <mergeCell ref="Z45:AA45"/>
    <mergeCell ref="Z46:AA46"/>
    <mergeCell ref="Z47:AA47"/>
    <mergeCell ref="X54:Y54"/>
    <mergeCell ref="X55:Y55"/>
    <mergeCell ref="AQ59:AT59"/>
    <mergeCell ref="AQ39:AT39"/>
    <mergeCell ref="AQ40:AT40"/>
    <mergeCell ref="AQ41:AT41"/>
    <mergeCell ref="AQ42:AT42"/>
    <mergeCell ref="AQ43:AT43"/>
    <mergeCell ref="AQ44:AT44"/>
    <mergeCell ref="AQ45:AT45"/>
    <mergeCell ref="AQ46:AT46"/>
    <mergeCell ref="AQ47:AT47"/>
    <mergeCell ref="AM39:AP39"/>
    <mergeCell ref="AM40:AP40"/>
    <mergeCell ref="AM41:AP41"/>
    <mergeCell ref="AM42:AP42"/>
    <mergeCell ref="AM43:AP43"/>
    <mergeCell ref="AM44:AP44"/>
    <mergeCell ref="AM45:AP45"/>
    <mergeCell ref="AM46:AP46"/>
    <mergeCell ref="AM47:AP47"/>
    <mergeCell ref="AD48:AF48"/>
    <mergeCell ref="AD49:AF49"/>
    <mergeCell ref="AD54:AF54"/>
    <mergeCell ref="G38:I38"/>
    <mergeCell ref="AJ65:AL65"/>
    <mergeCell ref="AJ48:AL48"/>
    <mergeCell ref="AJ49:AL49"/>
    <mergeCell ref="AJ50:AL50"/>
    <mergeCell ref="AJ51:AL51"/>
    <mergeCell ref="AJ52:AL52"/>
    <mergeCell ref="AJ53:AL53"/>
    <mergeCell ref="AJ54:AL54"/>
    <mergeCell ref="AJ55:AL55"/>
    <mergeCell ref="AJ56:AL56"/>
    <mergeCell ref="F41:G41"/>
    <mergeCell ref="F42:G42"/>
    <mergeCell ref="F43:G43"/>
    <mergeCell ref="F44:G44"/>
    <mergeCell ref="F45:G45"/>
    <mergeCell ref="F46:G46"/>
    <mergeCell ref="AD40:AF40"/>
    <mergeCell ref="AD41:AF41"/>
    <mergeCell ref="AD42:AF42"/>
    <mergeCell ref="V65:W65"/>
    <mergeCell ref="X39:Y39"/>
    <mergeCell ref="X40:Y40"/>
    <mergeCell ref="X41:Y41"/>
    <mergeCell ref="N43:O43"/>
    <mergeCell ref="N44:O44"/>
    <mergeCell ref="N45:O45"/>
    <mergeCell ref="N46:O46"/>
    <mergeCell ref="N47:O47"/>
    <mergeCell ref="AQ62:AT62"/>
    <mergeCell ref="AQ63:AT63"/>
    <mergeCell ref="AQ64:AT64"/>
    <mergeCell ref="AQ61:AT61"/>
    <mergeCell ref="AM48:AP48"/>
    <mergeCell ref="AM49:AP49"/>
    <mergeCell ref="AM50:AP50"/>
    <mergeCell ref="AM51:AP51"/>
    <mergeCell ref="AM52:AP52"/>
    <mergeCell ref="AM53:AP53"/>
    <mergeCell ref="AM54:AP54"/>
    <mergeCell ref="AM55:AP55"/>
    <mergeCell ref="AM56:AP56"/>
    <mergeCell ref="AQ51:AT51"/>
    <mergeCell ref="AQ52:AT52"/>
    <mergeCell ref="AQ53:AT53"/>
    <mergeCell ref="AQ54:AT54"/>
    <mergeCell ref="AQ55:AT55"/>
    <mergeCell ref="AQ56:AT56"/>
    <mergeCell ref="P43:Q43"/>
    <mergeCell ref="P44:Q44"/>
    <mergeCell ref="P45:Q45"/>
    <mergeCell ref="P46:Q46"/>
    <mergeCell ref="P47:Q47"/>
    <mergeCell ref="AJ39:AL39"/>
    <mergeCell ref="AJ40:AL40"/>
    <mergeCell ref="AJ41:AL41"/>
    <mergeCell ref="AJ42:AL42"/>
    <mergeCell ref="AJ43:AL43"/>
    <mergeCell ref="AJ44:AL44"/>
    <mergeCell ref="AJ45:AL45"/>
    <mergeCell ref="AJ46:AL46"/>
    <mergeCell ref="AJ47:AL47"/>
    <mergeCell ref="AD43:AF43"/>
    <mergeCell ref="AD44:AF44"/>
    <mergeCell ref="AD45:AF45"/>
    <mergeCell ref="AD46:AF46"/>
    <mergeCell ref="AD47:AF47"/>
    <mergeCell ref="X42:Y42"/>
    <mergeCell ref="X43:Y43"/>
    <mergeCell ref="X44:Y44"/>
    <mergeCell ref="X45:Y45"/>
    <mergeCell ref="X46:Y46"/>
    <mergeCell ref="T65:U65"/>
    <mergeCell ref="AD39:AF39"/>
    <mergeCell ref="AG39:AI39"/>
    <mergeCell ref="AG40:AI40"/>
    <mergeCell ref="AG41:AI41"/>
    <mergeCell ref="AG42:AI42"/>
    <mergeCell ref="AG43:AI43"/>
    <mergeCell ref="AG44:AI44"/>
    <mergeCell ref="AG45:AI45"/>
    <mergeCell ref="AG46:AI46"/>
    <mergeCell ref="AG47:AI47"/>
    <mergeCell ref="AG48:AI48"/>
    <mergeCell ref="AG49:AI49"/>
    <mergeCell ref="AG50:AI50"/>
    <mergeCell ref="AG51:AI51"/>
    <mergeCell ref="AG52:AI52"/>
    <mergeCell ref="AG53:AI53"/>
    <mergeCell ref="AG54:AI54"/>
    <mergeCell ref="AG55:AI55"/>
    <mergeCell ref="AG56:AI56"/>
    <mergeCell ref="AG57:AI57"/>
    <mergeCell ref="V39:W39"/>
    <mergeCell ref="V40:W40"/>
    <mergeCell ref="V41:W41"/>
    <mergeCell ref="R65:S65"/>
    <mergeCell ref="T39:U39"/>
    <mergeCell ref="T41:U41"/>
    <mergeCell ref="T42:U42"/>
    <mergeCell ref="T43:U43"/>
    <mergeCell ref="T44:U44"/>
    <mergeCell ref="T45:U45"/>
    <mergeCell ref="T46:U46"/>
    <mergeCell ref="T47:U47"/>
    <mergeCell ref="T48:U48"/>
    <mergeCell ref="T49:U49"/>
    <mergeCell ref="T50:U50"/>
    <mergeCell ref="T51:U51"/>
    <mergeCell ref="T52:U52"/>
    <mergeCell ref="T53:U53"/>
    <mergeCell ref="T54:U54"/>
    <mergeCell ref="T55:U55"/>
    <mergeCell ref="T56:U56"/>
    <mergeCell ref="T57:U57"/>
    <mergeCell ref="T58:U58"/>
    <mergeCell ref="R39:S39"/>
    <mergeCell ref="R56:S56"/>
    <mergeCell ref="R57:S57"/>
    <mergeCell ref="R58:S58"/>
    <mergeCell ref="R62:S62"/>
    <mergeCell ref="R63:S63"/>
    <mergeCell ref="R64:S64"/>
    <mergeCell ref="R41:S41"/>
    <mergeCell ref="R42:S42"/>
    <mergeCell ref="R43:S43"/>
    <mergeCell ref="R44:S44"/>
    <mergeCell ref="R45:S45"/>
    <mergeCell ref="R46:S46"/>
    <mergeCell ref="R47:S47"/>
    <mergeCell ref="R48:S48"/>
    <mergeCell ref="R49:S49"/>
    <mergeCell ref="R59:S59"/>
    <mergeCell ref="R52:S52"/>
    <mergeCell ref="R53:S53"/>
    <mergeCell ref="R54:S54"/>
    <mergeCell ref="R55:S55"/>
    <mergeCell ref="R60:S60"/>
    <mergeCell ref="R61:S61"/>
    <mergeCell ref="R51:S51"/>
    <mergeCell ref="V42:W42"/>
    <mergeCell ref="V43:W43"/>
    <mergeCell ref="V44:W44"/>
    <mergeCell ref="V45:W45"/>
    <mergeCell ref="V46:W46"/>
    <mergeCell ref="V47:W47"/>
    <mergeCell ref="V48:W48"/>
    <mergeCell ref="V49:W49"/>
    <mergeCell ref="T59:U59"/>
    <mergeCell ref="X60:Y60"/>
    <mergeCell ref="X61:Y61"/>
    <mergeCell ref="AD62:AF62"/>
    <mergeCell ref="T60:U60"/>
    <mergeCell ref="V63:W63"/>
    <mergeCell ref="V64:W64"/>
    <mergeCell ref="X64:Y64"/>
    <mergeCell ref="T63:U63"/>
    <mergeCell ref="T64:U64"/>
    <mergeCell ref="Z62:AA62"/>
    <mergeCell ref="Z63:AA63"/>
    <mergeCell ref="Z64:AA64"/>
    <mergeCell ref="AD55:AF55"/>
    <mergeCell ref="AG62:AI62"/>
    <mergeCell ref="AG63:AI63"/>
    <mergeCell ref="AG64:AI64"/>
    <mergeCell ref="AJ60:AL60"/>
    <mergeCell ref="AJ61:AL61"/>
    <mergeCell ref="AJ62:AL62"/>
    <mergeCell ref="AJ63:AL63"/>
    <mergeCell ref="AJ64:AL64"/>
    <mergeCell ref="AG58:AI58"/>
    <mergeCell ref="AG59:AI59"/>
    <mergeCell ref="AJ58:AL58"/>
    <mergeCell ref="AJ59:AL59"/>
    <mergeCell ref="AD60:AF60"/>
    <mergeCell ref="AD61:AF61"/>
    <mergeCell ref="F64:G64"/>
    <mergeCell ref="F65:G65"/>
    <mergeCell ref="F40:G40"/>
    <mergeCell ref="H40:I40"/>
    <mergeCell ref="J40:K40"/>
    <mergeCell ref="F52:G52"/>
    <mergeCell ref="F53:G53"/>
    <mergeCell ref="F54:G54"/>
    <mergeCell ref="F55:G55"/>
    <mergeCell ref="F56:G56"/>
    <mergeCell ref="F57:G57"/>
    <mergeCell ref="F58:G58"/>
    <mergeCell ref="F59:G59"/>
    <mergeCell ref="H60:I60"/>
    <mergeCell ref="H61:I61"/>
    <mergeCell ref="H62:I62"/>
    <mergeCell ref="H63:I63"/>
    <mergeCell ref="H64:I64"/>
    <mergeCell ref="F47:G47"/>
    <mergeCell ref="H55:I55"/>
    <mergeCell ref="H56:I56"/>
    <mergeCell ref="H57:I57"/>
    <mergeCell ref="H58:I58"/>
    <mergeCell ref="H59:I59"/>
    <mergeCell ref="L43:M43"/>
    <mergeCell ref="L44:M44"/>
    <mergeCell ref="R50:S50"/>
    <mergeCell ref="AD58:AF58"/>
    <mergeCell ref="AD59:AF59"/>
    <mergeCell ref="F60:G60"/>
    <mergeCell ref="F61:G61"/>
    <mergeCell ref="F62:G62"/>
    <mergeCell ref="F63:G63"/>
    <mergeCell ref="T61:U61"/>
    <mergeCell ref="T62:U62"/>
    <mergeCell ref="V50:W50"/>
    <mergeCell ref="V51:W51"/>
    <mergeCell ref="V52:W52"/>
    <mergeCell ref="V53:W53"/>
    <mergeCell ref="V54:W54"/>
    <mergeCell ref="V55:W55"/>
    <mergeCell ref="V56:W56"/>
    <mergeCell ref="V57:W57"/>
    <mergeCell ref="V58:W58"/>
    <mergeCell ref="V59:W59"/>
    <mergeCell ref="V60:W60"/>
    <mergeCell ref="V61:W61"/>
    <mergeCell ref="V62:W62"/>
    <mergeCell ref="N48:O48"/>
    <mergeCell ref="H65:I65"/>
    <mergeCell ref="H52:I52"/>
    <mergeCell ref="R40:S40"/>
    <mergeCell ref="T40:U40"/>
    <mergeCell ref="F48:G48"/>
    <mergeCell ref="F49:G49"/>
    <mergeCell ref="F50:G50"/>
    <mergeCell ref="F51:G51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L41:M41"/>
    <mergeCell ref="L45:M45"/>
    <mergeCell ref="H53:I53"/>
    <mergeCell ref="H54:I54"/>
    <mergeCell ref="L46:M46"/>
    <mergeCell ref="L47:M47"/>
    <mergeCell ref="L48:M48"/>
    <mergeCell ref="J62:K62"/>
    <mergeCell ref="J63:K63"/>
    <mergeCell ref="J64:K64"/>
    <mergeCell ref="J65:K65"/>
    <mergeCell ref="J41:K41"/>
    <mergeCell ref="J42:K42"/>
    <mergeCell ref="J43:K43"/>
    <mergeCell ref="J44:K44"/>
    <mergeCell ref="J45:K45"/>
    <mergeCell ref="J46:K46"/>
    <mergeCell ref="J47:K47"/>
    <mergeCell ref="J48:K48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58:K58"/>
    <mergeCell ref="J59:K59"/>
    <mergeCell ref="J60:K60"/>
    <mergeCell ref="L63:M63"/>
    <mergeCell ref="L64:M64"/>
    <mergeCell ref="L65:M65"/>
    <mergeCell ref="L49:M49"/>
    <mergeCell ref="L50:M50"/>
    <mergeCell ref="L51:M51"/>
    <mergeCell ref="L52:M52"/>
    <mergeCell ref="L53:M53"/>
    <mergeCell ref="J61:K61"/>
    <mergeCell ref="N49:O49"/>
    <mergeCell ref="N50:O50"/>
    <mergeCell ref="N51:O51"/>
    <mergeCell ref="L58:M58"/>
    <mergeCell ref="L59:M59"/>
    <mergeCell ref="L60:M60"/>
    <mergeCell ref="L61:M61"/>
    <mergeCell ref="L62:M62"/>
    <mergeCell ref="L54:M54"/>
    <mergeCell ref="L55:M55"/>
    <mergeCell ref="L56:M56"/>
    <mergeCell ref="L57:M57"/>
    <mergeCell ref="N63:O63"/>
    <mergeCell ref="N64:O64"/>
    <mergeCell ref="N65:O65"/>
    <mergeCell ref="N52:O52"/>
    <mergeCell ref="N53:O53"/>
    <mergeCell ref="N54:O54"/>
    <mergeCell ref="N55:O55"/>
    <mergeCell ref="P64:Q64"/>
    <mergeCell ref="P65:Q65"/>
    <mergeCell ref="P57:Q57"/>
    <mergeCell ref="P58:Q58"/>
    <mergeCell ref="P59:Q59"/>
    <mergeCell ref="P60:Q60"/>
    <mergeCell ref="P61:Q61"/>
    <mergeCell ref="P62:Q62"/>
    <mergeCell ref="N56:O56"/>
    <mergeCell ref="N57:O57"/>
    <mergeCell ref="N58:O58"/>
    <mergeCell ref="N59:O59"/>
    <mergeCell ref="N60:O60"/>
    <mergeCell ref="N62:O62"/>
    <mergeCell ref="P48:Q48"/>
    <mergeCell ref="P49:Q49"/>
    <mergeCell ref="P50:Q50"/>
    <mergeCell ref="P51:Q51"/>
    <mergeCell ref="P52:Q52"/>
    <mergeCell ref="P53:Q53"/>
    <mergeCell ref="P54:Q54"/>
    <mergeCell ref="P55:Q55"/>
    <mergeCell ref="P56:Q56"/>
    <mergeCell ref="B48:E48"/>
    <mergeCell ref="B49:E49"/>
    <mergeCell ref="B47:E47"/>
    <mergeCell ref="B40:E40"/>
    <mergeCell ref="B41:E41"/>
    <mergeCell ref="B42:E42"/>
    <mergeCell ref="B43:E43"/>
    <mergeCell ref="B44:E44"/>
    <mergeCell ref="B45:E45"/>
    <mergeCell ref="B46:E46"/>
    <mergeCell ref="B39:E39"/>
    <mergeCell ref="F39:G39"/>
    <mergeCell ref="H39:I39"/>
    <mergeCell ref="J39:K39"/>
    <mergeCell ref="L39:M39"/>
    <mergeCell ref="N39:O39"/>
    <mergeCell ref="P39:Q39"/>
    <mergeCell ref="N41:O41"/>
    <mergeCell ref="N42:O42"/>
    <mergeCell ref="L40:M40"/>
    <mergeCell ref="N40:O40"/>
    <mergeCell ref="P40:Q40"/>
    <mergeCell ref="L42:M42"/>
    <mergeCell ref="P41:Q41"/>
    <mergeCell ref="P42:Q42"/>
    <mergeCell ref="AU56:AW56"/>
    <mergeCell ref="AU57:AW57"/>
    <mergeCell ref="AU60:AW60"/>
    <mergeCell ref="AD65:AF65"/>
    <mergeCell ref="P63:Q63"/>
    <mergeCell ref="AG65:AI65"/>
    <mergeCell ref="B50:E50"/>
    <mergeCell ref="B51:E51"/>
    <mergeCell ref="B52:E52"/>
    <mergeCell ref="B53:E53"/>
    <mergeCell ref="B54:E54"/>
    <mergeCell ref="B55:E55"/>
    <mergeCell ref="B60:E60"/>
    <mergeCell ref="B61:E61"/>
    <mergeCell ref="B62:E62"/>
    <mergeCell ref="B63:E63"/>
    <mergeCell ref="B64:E64"/>
    <mergeCell ref="B65:E65"/>
    <mergeCell ref="B58:E58"/>
    <mergeCell ref="B59:E59"/>
    <mergeCell ref="B56:E56"/>
    <mergeCell ref="B57:E57"/>
    <mergeCell ref="AD63:AF63"/>
    <mergeCell ref="N61:O61"/>
    <mergeCell ref="AX61:BA61"/>
    <mergeCell ref="AX62:BA62"/>
    <mergeCell ref="AX63:BA63"/>
    <mergeCell ref="AU48:AW48"/>
    <mergeCell ref="AU59:AW59"/>
    <mergeCell ref="AU64:AW64"/>
    <mergeCell ref="AU65:AW65"/>
    <mergeCell ref="AU58:AW58"/>
    <mergeCell ref="AU49:AW49"/>
    <mergeCell ref="AU50:AW50"/>
    <mergeCell ref="AU51:AW51"/>
    <mergeCell ref="AU52:AW52"/>
    <mergeCell ref="AU53:AW53"/>
    <mergeCell ref="AU54:AW54"/>
    <mergeCell ref="AU55:AW55"/>
    <mergeCell ref="AX64:BA64"/>
    <mergeCell ref="AX65:BA65"/>
    <mergeCell ref="AX48:BA48"/>
    <mergeCell ref="AX49:BA49"/>
    <mergeCell ref="AX50:BA50"/>
    <mergeCell ref="AX51:BA51"/>
    <mergeCell ref="AX52:BA52"/>
    <mergeCell ref="AX53:BA53"/>
    <mergeCell ref="AX54:BA54"/>
    <mergeCell ref="AU39:AW39"/>
    <mergeCell ref="AU40:AW40"/>
    <mergeCell ref="AU41:AW41"/>
    <mergeCell ref="AU42:AW42"/>
    <mergeCell ref="AU43:AW43"/>
    <mergeCell ref="AU44:AW44"/>
    <mergeCell ref="AU45:AW45"/>
    <mergeCell ref="AU46:AW46"/>
    <mergeCell ref="AU47:AW47"/>
    <mergeCell ref="AX55:BA55"/>
    <mergeCell ref="AX56:BA56"/>
    <mergeCell ref="AX57:BA57"/>
    <mergeCell ref="AX58:BA58"/>
    <mergeCell ref="AX59:BA59"/>
    <mergeCell ref="AX60:BA60"/>
    <mergeCell ref="AX39:BA39"/>
    <mergeCell ref="AX40:BA40"/>
    <mergeCell ref="AX41:BA41"/>
    <mergeCell ref="AX42:BA42"/>
    <mergeCell ref="AX43:BA43"/>
    <mergeCell ref="AX44:BA44"/>
    <mergeCell ref="AX45:BA45"/>
    <mergeCell ref="AX46:BA46"/>
    <mergeCell ref="AX47:BA47"/>
  </mergeCells>
  <conditionalFormatting sqref="A4:CF35">
    <cfRule type="expression" dxfId="1396" priority="1">
      <formula>AND($S$38="ja",IF(COUNTIF(A$4:A$35,A4)&gt;1,1,0))</formula>
    </cfRule>
    <cfRule type="expression" dxfId="1395" priority="196">
      <formula>AND(A4="T",$AU$59="ja")</formula>
    </cfRule>
    <cfRule type="expression" dxfId="1394" priority="195">
      <formula>AND(A4="U",$AU$60="ja")</formula>
    </cfRule>
    <cfRule type="expression" dxfId="1393" priority="194">
      <formula>AND(A4="V",$AU$61="ja")</formula>
    </cfRule>
    <cfRule type="expression" dxfId="1392" priority="217">
      <formula>$CM4=2</formula>
    </cfRule>
    <cfRule type="expression" dxfId="1391" priority="216">
      <formula>$CM4=1</formula>
    </cfRule>
    <cfRule type="expression" dxfId="1390" priority="215">
      <formula>AND(A4="A",$AU$40="ja")</formula>
    </cfRule>
    <cfRule type="expression" dxfId="1389" priority="214">
      <formula>AND(A4="B",$AU$41="ja")</formula>
    </cfRule>
    <cfRule type="expression" dxfId="1388" priority="213">
      <formula>AND(A4="C",$AU$42="ja")</formula>
    </cfRule>
    <cfRule type="expression" dxfId="1387" priority="212">
      <formula>AND(A4="D",$AU$43="ja")</formula>
    </cfRule>
    <cfRule type="expression" dxfId="1386" priority="211">
      <formula>AND(A4="E",$AU$44="ja")</formula>
    </cfRule>
    <cfRule type="expression" dxfId="1385" priority="210">
      <formula>AND(A4="F",$AU$45="ja")</formula>
    </cfRule>
    <cfRule type="expression" dxfId="1384" priority="209">
      <formula>AND(A4="G",$AU$46="ja")</formula>
    </cfRule>
    <cfRule type="expression" dxfId="1383" priority="208">
      <formula>AND(A4="H",$AU$47="ja")</formula>
    </cfRule>
    <cfRule type="expression" dxfId="1382" priority="207">
      <formula>AND(A4="I",$AU$48="ja")</formula>
    </cfRule>
    <cfRule type="expression" dxfId="1381" priority="206">
      <formula>AND(A4="J",$AU$49="ja")</formula>
    </cfRule>
    <cfRule type="expression" dxfId="1380" priority="205">
      <formula>AND(A4="K",$AU$50="ja")</formula>
    </cfRule>
    <cfRule type="expression" dxfId="1379" priority="204">
      <formula>AND(A4="L",$AU$51="ja")</formula>
    </cfRule>
    <cfRule type="expression" dxfId="1378" priority="203">
      <formula>AND(A4="M",$AU$52="ja")</formula>
    </cfRule>
    <cfRule type="expression" dxfId="1377" priority="202">
      <formula>AND(A4="N",$AU$53="ja")</formula>
    </cfRule>
    <cfRule type="expression" dxfId="1376" priority="201">
      <formula>AND(A4="O",$AU$54="ja")</formula>
    </cfRule>
    <cfRule type="expression" dxfId="1375" priority="193">
      <formula>AND(A4="W",$AU$62="ja")</formula>
    </cfRule>
    <cfRule type="expression" dxfId="1374" priority="200">
      <formula>AND(A4="P",$AU$55="ja")</formula>
    </cfRule>
    <cfRule type="expression" dxfId="1373" priority="199">
      <formula>AND(A4="Q",$AU$56="ja")</formula>
    </cfRule>
    <cfRule type="expression" dxfId="1372" priority="197">
      <formula>AND(A4="S",$AU$58="ja")</formula>
    </cfRule>
    <cfRule type="expression" dxfId="1371" priority="192">
      <formula>AND(A4="X",$AU$63="ja")</formula>
    </cfRule>
    <cfRule type="expression" dxfId="1370" priority="191">
      <formula>AND(A4="Y",$AU$64="ja")</formula>
    </cfRule>
    <cfRule type="expression" dxfId="1369" priority="190">
      <formula>AND(A4="Z",$AU$65="ja")</formula>
    </cfRule>
    <cfRule type="expression" dxfId="1368" priority="198">
      <formula>AND(A4="R",$AU$57="ja")</formula>
    </cfRule>
  </conditionalFormatting>
  <conditionalFormatting sqref="A6:CF6">
    <cfRule type="expression" dxfId="1367" priority="120">
      <formula>AND(A6="D",$AU$43="ja")</formula>
    </cfRule>
    <cfRule type="expression" dxfId="1366" priority="121">
      <formula>AND(A6="C",$AU$42="ja")</formula>
    </cfRule>
    <cfRule type="expression" dxfId="1365" priority="122">
      <formula>AND(A6="B",$AU$41="ja")</formula>
    </cfRule>
    <cfRule type="expression" dxfId="1364" priority="124">
      <formula>$CM6=1</formula>
    </cfRule>
    <cfRule type="expression" dxfId="1363" priority="123">
      <formula>AND(A6="A",$AU$40="ja")</formula>
    </cfRule>
    <cfRule type="expression" dxfId="1362" priority="98">
      <formula>AND(A6="Z",$AU$65="ja")</formula>
    </cfRule>
    <cfRule type="expression" dxfId="1361" priority="99">
      <formula>AND(A6="Y",$AU$64="ja")</formula>
    </cfRule>
    <cfRule type="expression" dxfId="1360" priority="100">
      <formula>AND(A6="X",$AU$63="ja")</formula>
    </cfRule>
    <cfRule type="expression" dxfId="1359" priority="101">
      <formula>AND(A6="W",$AU$62="ja")</formula>
    </cfRule>
    <cfRule type="expression" dxfId="1358" priority="102">
      <formula>AND(A6="V",$AU$61="ja")</formula>
    </cfRule>
    <cfRule type="expression" dxfId="1357" priority="103">
      <formula>AND(A6="U",$AU$60="ja")</formula>
    </cfRule>
    <cfRule type="expression" dxfId="1356" priority="104">
      <formula>AND(A6="T",$AU$59="ja")</formula>
    </cfRule>
    <cfRule type="expression" dxfId="1355" priority="105">
      <formula>AND(A6="S",$AU$58="ja")</formula>
    </cfRule>
    <cfRule type="expression" dxfId="1354" priority="125">
      <formula>$CM6=2</formula>
    </cfRule>
    <cfRule type="expression" dxfId="1353" priority="106">
      <formula>AND(A6="R",$AU$57="ja")</formula>
    </cfRule>
    <cfRule type="expression" dxfId="1352" priority="107">
      <formula>AND(A6="Q",$AU$56="ja")</formula>
    </cfRule>
    <cfRule type="expression" dxfId="1351" priority="108">
      <formula>AND(A6="P",$AU$55="ja")</formula>
    </cfRule>
    <cfRule type="expression" dxfId="1350" priority="109">
      <formula>AND(A6="O",$AU$54="ja")</formula>
    </cfRule>
    <cfRule type="expression" dxfId="1349" priority="110">
      <formula>AND(A6="N",$AU$53="ja")</formula>
    </cfRule>
    <cfRule type="expression" dxfId="1348" priority="111">
      <formula>AND(A6="M",$AU$52="ja")</formula>
    </cfRule>
    <cfRule type="expression" dxfId="1347" priority="112">
      <formula>AND(A6="L",$AU$51="ja")</formula>
    </cfRule>
    <cfRule type="expression" dxfId="1346" priority="113">
      <formula>AND(A6="K",$AU$50="ja")</formula>
    </cfRule>
    <cfRule type="expression" dxfId="1345" priority="114">
      <formula>AND(A6="J",$AU$49="ja")</formula>
    </cfRule>
    <cfRule type="expression" dxfId="1344" priority="115">
      <formula>AND(A6="I",$AU$48="ja")</formula>
    </cfRule>
    <cfRule type="expression" dxfId="1343" priority="116">
      <formula>AND(A6="H",$AU$47="ja")</formula>
    </cfRule>
    <cfRule type="expression" dxfId="1342" priority="117">
      <formula>AND(A6="G",$AU$46="ja")</formula>
    </cfRule>
    <cfRule type="expression" dxfId="1341" priority="118">
      <formula>AND(A6="F",$AU$45="ja")</formula>
    </cfRule>
    <cfRule type="expression" dxfId="1340" priority="119">
      <formula>AND(A6="E",$AU$44="ja")</formula>
    </cfRule>
  </conditionalFormatting>
  <conditionalFormatting sqref="A8:CF9">
    <cfRule type="expression" dxfId="1339" priority="64">
      <formula>$CM8=1</formula>
    </cfRule>
    <cfRule type="expression" dxfId="1338" priority="65">
      <formula>$CM8=2</formula>
    </cfRule>
    <cfRule type="expression" dxfId="1337" priority="47">
      <formula>AND(A8="Q",$AU$56="ja")</formula>
    </cfRule>
    <cfRule type="expression" dxfId="1336" priority="38">
      <formula>AND(A8="Z",$AU$65="ja")</formula>
    </cfRule>
    <cfRule type="expression" dxfId="1335" priority="39">
      <formula>AND(A8="Y",$AU$64="ja")</formula>
    </cfRule>
    <cfRule type="expression" dxfId="1334" priority="40">
      <formula>AND(A8="X",$AU$63="ja")</formula>
    </cfRule>
    <cfRule type="expression" dxfId="1333" priority="41">
      <formula>AND(A8="W",$AU$62="ja")</formula>
    </cfRule>
    <cfRule type="expression" dxfId="1332" priority="42">
      <formula>AND(A8="V",$AU$61="ja")</formula>
    </cfRule>
    <cfRule type="expression" dxfId="1331" priority="43">
      <formula>AND(A8="U",$AU$60="ja")</formula>
    </cfRule>
    <cfRule type="expression" dxfId="1330" priority="44">
      <formula>AND(A8="T",$AU$59="ja")</formula>
    </cfRule>
    <cfRule type="expression" dxfId="1329" priority="45">
      <formula>AND(A8="S",$AU$58="ja")</formula>
    </cfRule>
    <cfRule type="expression" dxfId="1328" priority="46">
      <formula>AND(A8="R",$AU$57="ja")</formula>
    </cfRule>
    <cfRule type="expression" dxfId="1327" priority="48">
      <formula>AND(A8="P",$AU$55="ja")</formula>
    </cfRule>
    <cfRule type="expression" dxfId="1326" priority="49">
      <formula>AND(A8="O",$AU$54="ja")</formula>
    </cfRule>
    <cfRule type="expression" dxfId="1325" priority="50">
      <formula>AND(A8="N",$AU$53="ja")</formula>
    </cfRule>
    <cfRule type="expression" dxfId="1324" priority="51">
      <formula>AND(A8="M",$AU$52="ja")</formula>
    </cfRule>
    <cfRule type="expression" dxfId="1323" priority="52">
      <formula>AND(A8="L",$AU$51="ja")</formula>
    </cfRule>
    <cfRule type="expression" dxfId="1322" priority="53">
      <formula>AND(A8="K",$AU$50="ja")</formula>
    </cfRule>
    <cfRule type="expression" dxfId="1321" priority="54">
      <formula>AND(A8="J",$AU$49="ja")</formula>
    </cfRule>
    <cfRule type="expression" dxfId="1320" priority="55">
      <formula>AND(A8="I",$AU$48="ja")</formula>
    </cfRule>
    <cfRule type="expression" dxfId="1319" priority="56">
      <formula>AND(A8="H",$AU$47="ja")</formula>
    </cfRule>
    <cfRule type="expression" dxfId="1318" priority="57">
      <formula>AND(A8="G",$AU$46="ja")</formula>
    </cfRule>
    <cfRule type="expression" dxfId="1317" priority="58">
      <formula>AND(A8="F",$AU$45="ja")</formula>
    </cfRule>
    <cfRule type="expression" dxfId="1316" priority="59">
      <formula>AND(A8="E",$AU$44="ja")</formula>
    </cfRule>
    <cfRule type="expression" dxfId="1315" priority="60">
      <formula>AND(A8="D",$AU$43="ja")</formula>
    </cfRule>
    <cfRule type="expression" dxfId="1314" priority="61">
      <formula>AND(A8="C",$AU$42="ja")</formula>
    </cfRule>
    <cfRule type="expression" dxfId="1313" priority="62">
      <formula>AND(A8="B",$AU$41="ja")</formula>
    </cfRule>
    <cfRule type="expression" dxfId="1312" priority="63">
      <formula>AND(A8="A",$AU$40="ja")</formula>
    </cfRule>
  </conditionalFormatting>
  <conditionalFormatting sqref="A11:CF14">
    <cfRule type="expression" dxfId="1311" priority="32">
      <formula>AND(A11="B",$AU$41="ja")</formula>
    </cfRule>
    <cfRule type="expression" dxfId="1310" priority="33">
      <formula>AND(A11="A",$AU$40="ja")</formula>
    </cfRule>
    <cfRule type="expression" dxfId="1309" priority="34">
      <formula>$CM11=1</formula>
    </cfRule>
    <cfRule type="expression" dxfId="1308" priority="24">
      <formula>AND(A11="J",$AU$49="ja")</formula>
    </cfRule>
    <cfRule type="expression" dxfId="1307" priority="35">
      <formula>$CM11=2</formula>
    </cfRule>
    <cfRule type="expression" dxfId="1306" priority="8">
      <formula>AND(A11="Z",$AU$65="ja")</formula>
    </cfRule>
    <cfRule type="expression" dxfId="1305" priority="9">
      <formula>AND(A11="Y",$AU$64="ja")</formula>
    </cfRule>
    <cfRule type="expression" dxfId="1304" priority="10">
      <formula>AND(A11="X",$AU$63="ja")</formula>
    </cfRule>
    <cfRule type="expression" dxfId="1303" priority="11">
      <formula>AND(A11="W",$AU$62="ja")</formula>
    </cfRule>
    <cfRule type="expression" dxfId="1302" priority="12">
      <formula>AND(A11="V",$AU$61="ja")</formula>
    </cfRule>
    <cfRule type="expression" dxfId="1301" priority="13">
      <formula>AND(A11="U",$AU$60="ja")</formula>
    </cfRule>
    <cfRule type="expression" dxfId="1300" priority="16">
      <formula>AND(A11="R",$AU$57="ja")</formula>
    </cfRule>
    <cfRule type="expression" dxfId="1299" priority="14">
      <formula>AND(A11="T",$AU$59="ja")</formula>
    </cfRule>
    <cfRule type="expression" dxfId="1298" priority="15">
      <formula>AND(A11="S",$AU$58="ja")</formula>
    </cfRule>
    <cfRule type="expression" dxfId="1297" priority="17">
      <formula>AND(A11="Q",$AU$56="ja")</formula>
    </cfRule>
    <cfRule type="expression" dxfId="1296" priority="18">
      <formula>AND(A11="P",$AU$55="ja")</formula>
    </cfRule>
    <cfRule type="expression" dxfId="1295" priority="19">
      <formula>AND(A11="O",$AU$54="ja")</formula>
    </cfRule>
    <cfRule type="expression" dxfId="1294" priority="20">
      <formula>AND(A11="N",$AU$53="ja")</formula>
    </cfRule>
    <cfRule type="expression" dxfId="1293" priority="21">
      <formula>AND(A11="M",$AU$52="ja")</formula>
    </cfRule>
    <cfRule type="expression" dxfId="1292" priority="22">
      <formula>AND(A11="L",$AU$51="ja")</formula>
    </cfRule>
    <cfRule type="expression" dxfId="1291" priority="23">
      <formula>AND(A11="K",$AU$50="ja")</formula>
    </cfRule>
    <cfRule type="expression" dxfId="1290" priority="25">
      <formula>AND(A11="I",$AU$48="ja")</formula>
    </cfRule>
    <cfRule type="expression" dxfId="1289" priority="26">
      <formula>AND(A11="H",$AU$47="ja")</formula>
    </cfRule>
    <cfRule type="expression" dxfId="1288" priority="27">
      <formula>AND(A11="G",$AU$46="ja")</formula>
    </cfRule>
    <cfRule type="expression" dxfId="1287" priority="28">
      <formula>AND(A11="F",$AU$45="ja")</formula>
    </cfRule>
    <cfRule type="expression" dxfId="1286" priority="29">
      <formula>AND(A11="E",$AU$44="ja")</formula>
    </cfRule>
    <cfRule type="expression" dxfId="1285" priority="30">
      <formula>AND(A11="D",$AU$43="ja")</formula>
    </cfRule>
    <cfRule type="expression" dxfId="1284" priority="31">
      <formula>AND(A11="C",$AU$42="ja")</formula>
    </cfRule>
  </conditionalFormatting>
  <conditionalFormatting sqref="A16:CF16">
    <cfRule type="expression" dxfId="1283" priority="183">
      <formula>AND(A16="A",$AU$40="ja")</formula>
    </cfRule>
    <cfRule type="expression" dxfId="1282" priority="184">
      <formula>$CM16=1</formula>
    </cfRule>
    <cfRule type="expression" dxfId="1281" priority="185">
      <formula>$CM16=2</formula>
    </cfRule>
    <cfRule type="expression" dxfId="1280" priority="173">
      <formula>AND(A16="K",$AU$50="ja")</formula>
    </cfRule>
    <cfRule type="expression" dxfId="1279" priority="158">
      <formula>AND(A16="Z",$AU$65="ja")</formula>
    </cfRule>
    <cfRule type="expression" dxfId="1278" priority="159">
      <formula>AND(A16="Y",$AU$64="ja")</formula>
    </cfRule>
    <cfRule type="expression" dxfId="1277" priority="160">
      <formula>AND(A16="X",$AU$63="ja")</formula>
    </cfRule>
    <cfRule type="expression" dxfId="1276" priority="161">
      <formula>AND(A16="W",$AU$62="ja")</formula>
    </cfRule>
    <cfRule type="expression" dxfId="1275" priority="162">
      <formula>AND(A16="V",$AU$61="ja")</formula>
    </cfRule>
    <cfRule type="expression" dxfId="1274" priority="163">
      <formula>AND(A16="U",$AU$60="ja")</formula>
    </cfRule>
    <cfRule type="expression" dxfId="1273" priority="164">
      <formula>AND(A16="T",$AU$59="ja")</formula>
    </cfRule>
    <cfRule type="expression" dxfId="1272" priority="165">
      <formula>AND(A16="S",$AU$58="ja")</formula>
    </cfRule>
    <cfRule type="expression" dxfId="1271" priority="166">
      <formula>AND(A16="R",$AU$57="ja")</formula>
    </cfRule>
    <cfRule type="expression" dxfId="1270" priority="167">
      <formula>AND(A16="Q",$AU$56="ja")</formula>
    </cfRule>
    <cfRule type="expression" dxfId="1269" priority="168">
      <formula>AND(A16="P",$AU$55="ja")</formula>
    </cfRule>
    <cfRule type="expression" dxfId="1268" priority="169">
      <formula>AND(A16="O",$AU$54="ja")</formula>
    </cfRule>
    <cfRule type="expression" dxfId="1267" priority="170">
      <formula>AND(A16="N",$AU$53="ja")</formula>
    </cfRule>
    <cfRule type="expression" dxfId="1266" priority="171">
      <formula>AND(A16="M",$AU$52="ja")</formula>
    </cfRule>
    <cfRule type="expression" dxfId="1265" priority="172">
      <formula>AND(A16="L",$AU$51="ja")</formula>
    </cfRule>
    <cfRule type="expression" dxfId="1264" priority="174">
      <formula>AND(A16="J",$AU$49="ja")</formula>
    </cfRule>
    <cfRule type="expression" dxfId="1263" priority="175">
      <formula>AND(A16="I",$AU$48="ja")</formula>
    </cfRule>
    <cfRule type="expression" dxfId="1262" priority="176">
      <formula>AND(A16="H",$AU$47="ja")</formula>
    </cfRule>
    <cfRule type="expression" dxfId="1261" priority="177">
      <formula>AND(A16="G",$AU$46="ja")</formula>
    </cfRule>
    <cfRule type="expression" dxfId="1260" priority="178">
      <formula>AND(A16="F",$AU$45="ja")</formula>
    </cfRule>
    <cfRule type="expression" dxfId="1259" priority="179">
      <formula>AND(A16="E",$AU$44="ja")</formula>
    </cfRule>
    <cfRule type="expression" dxfId="1258" priority="180">
      <formula>AND(A16="D",$AU$43="ja")</formula>
    </cfRule>
    <cfRule type="expression" dxfId="1257" priority="181">
      <formula>AND(A16="C",$AU$42="ja")</formula>
    </cfRule>
    <cfRule type="expression" dxfId="1256" priority="182">
      <formula>AND(A16="B",$AU$41="ja")</formula>
    </cfRule>
  </conditionalFormatting>
  <conditionalFormatting sqref="A19:CF22">
    <cfRule type="expression" dxfId="1255" priority="135">
      <formula>AND(A19="S",$AU$58="ja")</formula>
    </cfRule>
    <cfRule type="expression" dxfId="1254" priority="131">
      <formula>AND(A19="W",$AU$62="ja")</formula>
    </cfRule>
    <cfRule type="expression" dxfId="1253" priority="130">
      <formula>AND(A19="X",$AU$63="ja")</formula>
    </cfRule>
    <cfRule type="expression" dxfId="1252" priority="128">
      <formula>AND(A19="Z",$AU$65="ja")</formula>
    </cfRule>
    <cfRule type="expression" dxfId="1251" priority="154">
      <formula>$CM19=1</formula>
    </cfRule>
    <cfRule type="expression" dxfId="1250" priority="153">
      <formula>AND(A19="A",$AU$40="ja")</formula>
    </cfRule>
    <cfRule type="expression" dxfId="1249" priority="152">
      <formula>AND(A19="B",$AU$41="ja")</formula>
    </cfRule>
    <cfRule type="expression" dxfId="1248" priority="151">
      <formula>AND(A19="C",$AU$42="ja")</formula>
    </cfRule>
    <cfRule type="expression" dxfId="1247" priority="150">
      <formula>AND(A19="D",$AU$43="ja")</formula>
    </cfRule>
    <cfRule type="expression" dxfId="1246" priority="149">
      <formula>AND(A19="E",$AU$44="ja")</formula>
    </cfRule>
    <cfRule type="expression" dxfId="1245" priority="148">
      <formula>AND(A19="F",$AU$45="ja")</formula>
    </cfRule>
    <cfRule type="expression" dxfId="1244" priority="147">
      <formula>AND(A19="G",$AU$46="ja")</formula>
    </cfRule>
    <cfRule type="expression" dxfId="1243" priority="155">
      <formula>$CM19=2</formula>
    </cfRule>
    <cfRule type="expression" dxfId="1242" priority="129">
      <formula>AND(A19="Y",$AU$64="ja")</formula>
    </cfRule>
    <cfRule type="expression" dxfId="1241" priority="145">
      <formula>AND(A19="I",$AU$48="ja")</formula>
    </cfRule>
    <cfRule type="expression" dxfId="1240" priority="144">
      <formula>AND(A19="J",$AU$49="ja")</formula>
    </cfRule>
    <cfRule type="expression" dxfId="1239" priority="143">
      <formula>AND(A19="K",$AU$50="ja")</formula>
    </cfRule>
    <cfRule type="expression" dxfId="1238" priority="142">
      <formula>AND(A19="L",$AU$51="ja")</formula>
    </cfRule>
    <cfRule type="expression" dxfId="1237" priority="141">
      <formula>AND(A19="M",$AU$52="ja")</formula>
    </cfRule>
    <cfRule type="expression" dxfId="1236" priority="140">
      <formula>AND(A19="N",$AU$53="ja")</formula>
    </cfRule>
    <cfRule type="expression" dxfId="1235" priority="139">
      <formula>AND(A19="O",$AU$54="ja")</formula>
    </cfRule>
    <cfRule type="expression" dxfId="1234" priority="138">
      <formula>AND(A19="P",$AU$55="ja")</formula>
    </cfRule>
    <cfRule type="expression" dxfId="1233" priority="146">
      <formula>AND(A19="H",$AU$47="ja")</formula>
    </cfRule>
    <cfRule type="expression" dxfId="1232" priority="137">
      <formula>AND(A19="Q",$AU$56="ja")</formula>
    </cfRule>
    <cfRule type="expression" dxfId="1231" priority="136">
      <formula>AND(A19="R",$AU$57="ja")</formula>
    </cfRule>
    <cfRule type="expression" dxfId="1230" priority="134">
      <formula>AND(A19="T",$AU$59="ja")</formula>
    </cfRule>
    <cfRule type="expression" dxfId="1229" priority="133">
      <formula>AND(A19="U",$AU$60="ja")</formula>
    </cfRule>
    <cfRule type="expression" dxfId="1228" priority="132">
      <formula>AND(A19="V",$AU$61="ja")</formula>
    </cfRule>
  </conditionalFormatting>
  <conditionalFormatting sqref="CG3">
    <cfRule type="expression" dxfId="1227" priority="807">
      <formula>$CM$4=1</formula>
    </cfRule>
  </conditionalFormatting>
  <conditionalFormatting sqref="CG4:CG35">
    <cfRule type="expression" dxfId="1226" priority="6">
      <formula>$CM4=2</formula>
    </cfRule>
    <cfRule type="expression" dxfId="1225" priority="7">
      <formula>$CM4=1</formula>
    </cfRule>
  </conditionalFormatting>
  <conditionalFormatting sqref="CG7:CG8">
    <cfRule type="expression" dxfId="1224" priority="3">
      <formula>$CM7=1</formula>
    </cfRule>
    <cfRule type="expression" dxfId="1223" priority="2">
      <formula>$CM7=2</formula>
    </cfRule>
  </conditionalFormatting>
  <conditionalFormatting sqref="CG36">
    <cfRule type="expression" dxfId="1222" priority="806">
      <formula>$CM$4=1</formula>
    </cfRule>
  </conditionalFormatting>
  <dataValidations count="1">
    <dataValidation type="list" allowBlank="1" showInputMessage="1" showErrorMessage="1" sqref="G38:I38" xr:uid="{00000000-0002-0000-0000-000000000000}">
      <formula1>Ukedager</formula1>
    </dataValidation>
  </dataValidations>
  <hyperlinks>
    <hyperlink ref="A40" location="'Ansatt A'!A1" display="A" xr:uid="{00000000-0004-0000-0000-000000000000}"/>
    <hyperlink ref="A41" location="'Ansatt B'!A1" display="B" xr:uid="{00000000-0004-0000-0000-000001000000}"/>
    <hyperlink ref="A42" location="'Ansatt C'!A1" display="C" xr:uid="{00000000-0004-0000-0000-000002000000}"/>
    <hyperlink ref="A43" location="'Ansatt D'!A1" display="D" xr:uid="{00000000-0004-0000-0000-000003000000}"/>
    <hyperlink ref="A44" location="'Ansatt E'!A1" display="E" xr:uid="{00000000-0004-0000-0000-000004000000}"/>
    <hyperlink ref="A45" location="'Ansatt F'!A1" display="F" xr:uid="{00000000-0004-0000-0000-000005000000}"/>
    <hyperlink ref="A46" location="'Ansatt G'!A1" display="G" xr:uid="{00000000-0004-0000-0000-000006000000}"/>
    <hyperlink ref="A47" location="'Ansatt H'!A1" display="H" xr:uid="{00000000-0004-0000-0000-000007000000}"/>
    <hyperlink ref="A48" location="'Ansatt I'!A1" display="I" xr:uid="{00000000-0004-0000-0000-000008000000}"/>
    <hyperlink ref="A49" location="'Ansatt J'!A1" display="J" xr:uid="{00000000-0004-0000-0000-000009000000}"/>
    <hyperlink ref="A50" location="'Ansatt K'!A1" display="K" xr:uid="{00000000-0004-0000-0000-00000A000000}"/>
    <hyperlink ref="A51" location="'Ansatt L'!A1" display="L" xr:uid="{00000000-0004-0000-0000-00000B000000}"/>
    <hyperlink ref="A52" location="'Ansatt M'!A1" display="M" xr:uid="{00000000-0004-0000-0000-00000C000000}"/>
    <hyperlink ref="A53" location="'Ansatt N'!A1" display="N" xr:uid="{00000000-0004-0000-0000-00000D000000}"/>
    <hyperlink ref="A54" location="'Ansatt O'!A1" display="O" xr:uid="{00000000-0004-0000-0000-00000E000000}"/>
    <hyperlink ref="A55" location="'Ansatt P'!A1" display="P" xr:uid="{00000000-0004-0000-0000-00000F000000}"/>
    <hyperlink ref="A56" location="'Ansatt P'!A1" display="Q" xr:uid="{00000000-0004-0000-0000-000010000000}"/>
    <hyperlink ref="A57" location="'Ansatt R'!A1" display="R" xr:uid="{00000000-0004-0000-0000-000011000000}"/>
    <hyperlink ref="A58" location="'Ansatt S'!A1" display="S" xr:uid="{00000000-0004-0000-0000-000012000000}"/>
    <hyperlink ref="A59" location="'Ansatt T'!A1" display="T" xr:uid="{00000000-0004-0000-0000-000013000000}"/>
    <hyperlink ref="A60" location="'Ansatt U'!A1" display="U" xr:uid="{00000000-0004-0000-0000-000014000000}"/>
    <hyperlink ref="A61" location="'Ansatt V'!A1" display="V" xr:uid="{00000000-0004-0000-0000-000015000000}"/>
    <hyperlink ref="A62" location="'Ansatt W'!A1" display="W" xr:uid="{00000000-0004-0000-0000-000016000000}"/>
    <hyperlink ref="A63" location="'Ansatt X'!A1" display="X" xr:uid="{00000000-0004-0000-0000-000017000000}"/>
    <hyperlink ref="A64" location="'Ansatt Y'!A1" display="Y" xr:uid="{00000000-0004-0000-0000-000018000000}"/>
    <hyperlink ref="A65" location="'Ansatt Z'!A1" display="Z" xr:uid="{00000000-0004-0000-0000-000019000000}"/>
  </hyperlink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AQ95"/>
  <sheetViews>
    <sheetView tabSelected="1" zoomScale="40" zoomScaleNormal="40" workbookViewId="0">
      <pane ySplit="24" topLeftCell="A42" activePane="bottomLeft" state="frozen"/>
      <selection activeCell="AK37" sqref="AK37"/>
      <selection pane="bottomLeft" activeCell="A46" sqref="A46"/>
    </sheetView>
  </sheetViews>
  <sheetFormatPr defaultColWidth="9.08984375" defaultRowHeight="12.5" x14ac:dyDescent="0.25"/>
  <cols>
    <col min="1" max="1" width="10.7265625" style="3" customWidth="1"/>
    <col min="2" max="2" width="7.6328125" style="3" customWidth="1"/>
    <col min="3" max="3" width="7.81640625" style="3" customWidth="1"/>
    <col min="4" max="4" width="4.36328125" style="3" bestFit="1" customWidth="1"/>
    <col min="5" max="6" width="10" style="3" customWidth="1"/>
    <col min="7" max="7" width="7" style="3" customWidth="1"/>
    <col min="8" max="8" width="7.6328125" style="3" customWidth="1"/>
    <col min="9" max="9" width="4.36328125" style="3" bestFit="1" customWidth="1"/>
    <col min="10" max="11" width="10" style="3" customWidth="1"/>
    <col min="12" max="12" width="7.26953125" style="3" customWidth="1"/>
    <col min="13" max="13" width="7.7265625" style="3" customWidth="1"/>
    <col min="14" max="14" width="4.36328125" style="3" bestFit="1" customWidth="1"/>
    <col min="15" max="15" width="10.08984375" style="3" bestFit="1" customWidth="1"/>
    <col min="16" max="16" width="10.08984375" style="3" customWidth="1"/>
    <col min="17" max="17" width="7.6328125" style="3" customWidth="1"/>
    <col min="18" max="18" width="7.7265625" style="3" customWidth="1"/>
    <col min="19" max="19" width="4.36328125" style="3" bestFit="1" customWidth="1"/>
    <col min="20" max="20" width="10.08984375" style="3" bestFit="1" customWidth="1"/>
    <col min="21" max="21" width="10.08984375" style="3" customWidth="1"/>
    <col min="22" max="22" width="8.36328125" style="3" customWidth="1"/>
    <col min="23" max="23" width="8.81640625" style="3" customWidth="1"/>
    <col min="24" max="24" width="4.36328125" style="3" bestFit="1" customWidth="1"/>
    <col min="25" max="26" width="10" style="3" customWidth="1"/>
    <col min="27" max="28" width="7.81640625" style="3" customWidth="1"/>
    <col min="29" max="29" width="4.36328125" style="3" bestFit="1" customWidth="1"/>
    <col min="30" max="31" width="9.7265625" style="3" customWidth="1"/>
    <col min="32" max="32" width="6.81640625" style="3" customWidth="1"/>
    <col min="33" max="33" width="7.6328125" style="3" customWidth="1"/>
    <col min="34" max="34" width="4.36328125" style="3" bestFit="1" customWidth="1"/>
    <col min="35" max="36" width="9.6328125" style="3" customWidth="1"/>
    <col min="37" max="37" width="15.36328125" style="3" bestFit="1" customWidth="1"/>
    <col min="38" max="16384" width="9.08984375" style="3"/>
  </cols>
  <sheetData>
    <row r="1" spans="1:39" ht="13" x14ac:dyDescent="0.3">
      <c r="A1" s="98" t="s">
        <v>66</v>
      </c>
      <c r="B1" s="98"/>
      <c r="C1" s="98"/>
      <c r="D1" s="88"/>
      <c r="E1" s="5" t="str">
        <f>Vaktplan!G38</f>
        <v>mandag</v>
      </c>
      <c r="H1" s="98" t="s">
        <v>67</v>
      </c>
      <c r="I1" s="98"/>
      <c r="J1" s="98"/>
      <c r="K1" s="98"/>
      <c r="L1" s="98"/>
      <c r="M1" s="5">
        <f>Vaktplan!AJ40</f>
        <v>4</v>
      </c>
    </row>
    <row r="2" spans="1:39" ht="13" x14ac:dyDescent="0.3">
      <c r="A2" s="98" t="s">
        <v>36</v>
      </c>
      <c r="B2" s="98"/>
      <c r="C2" s="98"/>
      <c r="D2" s="88"/>
      <c r="E2" s="8">
        <f>Vaktplan!AM40</f>
        <v>1</v>
      </c>
      <c r="I2" s="106"/>
      <c r="J2" s="106"/>
    </row>
    <row r="3" spans="1:39" ht="13" x14ac:dyDescent="0.3">
      <c r="A3" s="98" t="s">
        <v>68</v>
      </c>
      <c r="B3" s="98"/>
      <c r="C3" s="98"/>
      <c r="D3" s="88"/>
      <c r="E3" s="5">
        <f>Vaktplan!AQ40</f>
        <v>0</v>
      </c>
      <c r="F3" s="4" t="s">
        <v>69</v>
      </c>
    </row>
    <row r="4" spans="1:39" ht="13" x14ac:dyDescent="0.3">
      <c r="A4" s="89" t="s">
        <v>70</v>
      </c>
      <c r="B4" s="103" t="str">
        <f>TEXT(AG39,"DDDD")</f>
        <v>Monday</v>
      </c>
      <c r="C4" s="104"/>
      <c r="D4" s="104"/>
      <c r="E4" s="104"/>
      <c r="F4" s="105"/>
      <c r="G4" s="102" t="str">
        <f>TEXT($AG$39+1,"DDDD")</f>
        <v>Tuesday</v>
      </c>
      <c r="H4" s="102"/>
      <c r="I4" s="102"/>
      <c r="J4" s="102"/>
      <c r="K4" s="89"/>
      <c r="L4" s="102" t="str">
        <f>TEXT($AG$39+2,"DDDD")</f>
        <v>Wednesday</v>
      </c>
      <c r="M4" s="102"/>
      <c r="N4" s="102"/>
      <c r="O4" s="102"/>
      <c r="P4" s="89"/>
      <c r="Q4" s="102" t="str">
        <f>TEXT($AG$39+3,"DDDD")</f>
        <v>Thursday</v>
      </c>
      <c r="R4" s="102"/>
      <c r="S4" s="102"/>
      <c r="T4" s="102"/>
      <c r="U4" s="89"/>
      <c r="V4" s="102" t="str">
        <f>TEXT($AG$39+4,"DDDD")</f>
        <v>Friday</v>
      </c>
      <c r="W4" s="102"/>
      <c r="X4" s="102"/>
      <c r="Y4" s="102"/>
      <c r="Z4" s="89"/>
      <c r="AA4" s="102" t="str">
        <f>TEXT($AG$39+5,"DDDD")</f>
        <v>Saturday</v>
      </c>
      <c r="AB4" s="102"/>
      <c r="AC4" s="102"/>
      <c r="AD4" s="102"/>
      <c r="AE4" s="89"/>
      <c r="AF4" s="102" t="str">
        <f>TEXT($AG$39+6,"DDDD")</f>
        <v>Sunday</v>
      </c>
      <c r="AG4" s="102"/>
      <c r="AH4" s="102"/>
      <c r="AI4" s="102"/>
      <c r="AJ4" s="89"/>
      <c r="AK4" s="7" t="s">
        <v>71</v>
      </c>
    </row>
    <row r="5" spans="1:39" x14ac:dyDescent="0.25">
      <c r="A5" s="6"/>
      <c r="B5" s="6" t="s">
        <v>72</v>
      </c>
      <c r="C5" s="6" t="s">
        <v>73</v>
      </c>
      <c r="D5" s="6" t="s">
        <v>55</v>
      </c>
      <c r="E5" s="6" t="s">
        <v>74</v>
      </c>
      <c r="F5" s="6" t="s">
        <v>75</v>
      </c>
      <c r="G5" s="6" t="s">
        <v>72</v>
      </c>
      <c r="H5" s="6" t="s">
        <v>73</v>
      </c>
      <c r="I5" s="6" t="s">
        <v>55</v>
      </c>
      <c r="J5" s="6" t="s">
        <v>74</v>
      </c>
      <c r="K5" s="6" t="s">
        <v>75</v>
      </c>
      <c r="L5" s="6" t="s">
        <v>72</v>
      </c>
      <c r="M5" s="6" t="s">
        <v>73</v>
      </c>
      <c r="N5" s="6" t="s">
        <v>55</v>
      </c>
      <c r="O5" s="6" t="s">
        <v>74</v>
      </c>
      <c r="P5" s="6" t="s">
        <v>75</v>
      </c>
      <c r="Q5" s="6" t="s">
        <v>72</v>
      </c>
      <c r="R5" s="6" t="s">
        <v>73</v>
      </c>
      <c r="S5" s="6" t="s">
        <v>55</v>
      </c>
      <c r="T5" s="6" t="s">
        <v>74</v>
      </c>
      <c r="U5" s="6" t="s">
        <v>75</v>
      </c>
      <c r="V5" s="6" t="s">
        <v>72</v>
      </c>
      <c r="W5" s="6" t="s">
        <v>73</v>
      </c>
      <c r="X5" s="6" t="s">
        <v>55</v>
      </c>
      <c r="Y5" s="6" t="s">
        <v>74</v>
      </c>
      <c r="Z5" s="6" t="s">
        <v>75</v>
      </c>
      <c r="AA5" s="6" t="s">
        <v>72</v>
      </c>
      <c r="AB5" s="6" t="s">
        <v>73</v>
      </c>
      <c r="AC5" s="6" t="s">
        <v>55</v>
      </c>
      <c r="AD5" s="6" t="s">
        <v>74</v>
      </c>
      <c r="AE5" s="6" t="s">
        <v>75</v>
      </c>
      <c r="AF5" s="6" t="s">
        <v>72</v>
      </c>
      <c r="AG5" s="6" t="s">
        <v>73</v>
      </c>
      <c r="AH5" s="6" t="s">
        <v>55</v>
      </c>
      <c r="AI5" s="6" t="s">
        <v>74</v>
      </c>
      <c r="AJ5" s="6" t="s">
        <v>75</v>
      </c>
      <c r="AK5" s="6"/>
    </row>
    <row r="6" spans="1:39" ht="13" x14ac:dyDescent="0.25">
      <c r="A6" s="7">
        <f>IF(M1&gt;=1,1,0)</f>
        <v>1</v>
      </c>
      <c r="B6" s="77">
        <f>IFERROR(VLOOKUP(Vaktplan!$A$40,Vaktplan!$A$4:$CL$35,87-AH59,FALSE),0)</f>
        <v>0.29166666666666669</v>
      </c>
      <c r="C6" s="77">
        <f>IFERROR(VLOOKUP(Vaktplan!$A$40,Vaktplan!$A$4:$CL$35,87-AG59,FALSE),0)</f>
        <v>0.83333333333333337</v>
      </c>
      <c r="D6" s="9">
        <f>IFERROR(VLOOKUP(Vaktplan!$A$40,Vaktplan!$A$4:$CL$35,89-AG59,FALSE),0)</f>
        <v>0.5</v>
      </c>
      <c r="E6" s="9">
        <f>IF(AND(B6=0,C6=0),0,IF(B6&lt;C6,((C6-B6)*24)-D6,(((1-B6)+C6)*24)-D6))</f>
        <v>12.500000000000002</v>
      </c>
      <c r="F6" s="9">
        <f>IF(AND(C6=0,G6=0),24,IF(C6=0,12+(G6*24),IF(C6&lt;G6,((G6-C6)*24),IF(G6=0,(1-C6+0.5)*24,((1-C6)+G6)*24))))</f>
        <v>11</v>
      </c>
      <c r="G6" s="77">
        <f>IFERROR(VLOOKUP(Vaktplan!$A$40,Vaktplan!$B$4:$CL$35,86-AH59,FALSE),0)</f>
        <v>0.29166666666666669</v>
      </c>
      <c r="H6" s="77">
        <f>IFERROR(VLOOKUP(Vaktplan!$A$40,Vaktplan!$B$4:$CL$35,86-AG59,FALSE),0)</f>
        <v>0.83333333333333337</v>
      </c>
      <c r="I6" s="9">
        <f>IFERROR(VLOOKUP(Vaktplan!$A$40,Vaktplan!$B$4:$CL$35,89-$AH59,FALSE),0)</f>
        <v>0.5</v>
      </c>
      <c r="J6" s="9">
        <f>IF(AND(G6=0,H6=0),0,IF(G6&lt;H6,((H6-G6)*24)-I6,(((1-G6)+H6)*24)-I6))</f>
        <v>12.500000000000002</v>
      </c>
      <c r="K6" s="9">
        <f>IF(AND(H6=0,L6=0),24,IF(H6=0,12+(L6*24),IF(H6&lt;L6,((L6-H6)*24),IF(L6=0,(1-H6+0.5)*24,((1-H6)+L6)*24))))</f>
        <v>11</v>
      </c>
      <c r="L6" s="77">
        <f>IFERROR(VLOOKUP(Vaktplan!$A$40,Vaktplan!$C$4:$CL$35,86-AI59,FALSE),0)</f>
        <v>0.29166666666666669</v>
      </c>
      <c r="M6" s="77">
        <f>IFERROR(VLOOKUP(Vaktplan!$A$40,Vaktplan!$C$4:$CL$35,86-AH59,FALSE),0)</f>
        <v>0.83333333333333337</v>
      </c>
      <c r="N6" s="9">
        <f>IFERROR(VLOOKUP(Vaktplan!$A$40,Vaktplan!$C$4:$CL$35,89-$AI59,FALSE),0)</f>
        <v>0.5</v>
      </c>
      <c r="O6" s="9">
        <f>IF(AND(L6=0,M6=0),0,IF(L6&lt;M6,((M6-L6)*24)-N6,(((1-L6)+M6)*24)-N6))</f>
        <v>12.500000000000002</v>
      </c>
      <c r="P6" s="9">
        <f>IF(AND(M6=0,Q6=0),24,IF(M6=0,12+(Q6*24),IF(M6&lt;Q6,((Q6-M6)*24),IF(Q6=0,(1-M6+0.5)*24,((1-M6)+Q6)*24))))</f>
        <v>11</v>
      </c>
      <c r="Q6" s="77">
        <f>IFERROR(VLOOKUP(Vaktplan!$A$40,Vaktplan!$D$4:$CL$35,86-AJ59,FALSE),0)</f>
        <v>0.29166666666666669</v>
      </c>
      <c r="R6" s="77">
        <f>IFERROR(VLOOKUP(Vaktplan!$A$40,Vaktplan!$D$4:$CL$35,86-AI59,FALSE),0)</f>
        <v>0.83333333333333337</v>
      </c>
      <c r="S6" s="9">
        <f>IFERROR(VLOOKUP(Vaktplan!$A$40,Vaktplan!$D$4:$CL$35,89-$AJ59,FALSE),0)</f>
        <v>0.5</v>
      </c>
      <c r="T6" s="9">
        <f t="shared" ref="T6:T17" si="0">IF(AND(Q6=0,R6=0),0,IF(Q6&lt;R6,((R6-Q6)*24)-S6,(((1-Q6)+R6)*24)-S6))</f>
        <v>12.500000000000002</v>
      </c>
      <c r="U6" s="9">
        <f>IF(AND(R6=0,V6=0),24,IF(R6=0,12+(V6*24),IF(R6&lt;V6,((V6-R6)*24),IF(V6=0,(1-R6+0.5)*24,((1-R6)+V6)*24))))</f>
        <v>11</v>
      </c>
      <c r="V6" s="77">
        <f>IFERROR(VLOOKUP(Vaktplan!$A$40,Vaktplan!$E$4:$CL$35,86-AK59,FALSE),0)</f>
        <v>0.29166666666666669</v>
      </c>
      <c r="W6" s="77">
        <f>IFERROR(VLOOKUP(Vaktplan!$A$40,Vaktplan!$E$4:$CL$35,86-AJ59,FALSE),0)</f>
        <v>0.83333333333333337</v>
      </c>
      <c r="X6" s="9">
        <f>IFERROR(VLOOKUP(Vaktplan!$A$40,Vaktplan!$E$4:$CL$35,89-$AK59,FALSE),0)</f>
        <v>0.5</v>
      </c>
      <c r="Y6" s="9">
        <f>IF(AND(V6=0,W6=0),0,IF(V6&lt;W6,((W6-V6)*24)-X6,(((1-V6)+W6)*24)-X6))</f>
        <v>12.500000000000002</v>
      </c>
      <c r="Z6" s="9">
        <f>IF(AND(W6=0,AA6=0),24,IF(W6=0,12+(AA6*24),IF(W6&lt;AA6,((AA6-W6)*24),IF(AA6=0,(1-W6+0.5)*24,((1-W6)+AA6)*24))))</f>
        <v>11</v>
      </c>
      <c r="AA6" s="77">
        <f>IFERROR(VLOOKUP(Vaktplan!$A$40,Vaktplan!$F$4:$CL$35,86-AL59,FALSE),0)</f>
        <v>0.29166666666666669</v>
      </c>
      <c r="AB6" s="77">
        <f>IFERROR(VLOOKUP(Vaktplan!$A$40,Vaktplan!$F$4:$CL$35,86-AK59,FALSE),0)</f>
        <v>0.83333333333333337</v>
      </c>
      <c r="AC6" s="9">
        <f>IFERROR(VLOOKUP(Vaktplan!$A$40,Vaktplan!$F$4:$CL$35,89-$AL59,FALSE),0)</f>
        <v>0.5</v>
      </c>
      <c r="AD6" s="9">
        <f>IF(AND(AA6=0,AB6=0),0,IF(AA6&lt;AB6,((AB6-AA6)*24)-AC6,(((1-AA6)+AB6)*24)-AC6))</f>
        <v>12.500000000000002</v>
      </c>
      <c r="AE6" s="9">
        <f>IF(AND(AB6=0,AF6=0),24,IF(AB6=0,12+(AF6*24),IF(AB6&lt;AF6,((AF6-AB6)*24),IF(AF6=0,(1-AB6+0.5)*24,((1-AB6)+AF6)*24))))</f>
        <v>16</v>
      </c>
      <c r="AF6" s="77">
        <f>IFERROR(VLOOKUP(Vaktplan!$A$40,Vaktplan!$G$4:$CL$35,86-AM59,FALSE),0)</f>
        <v>0</v>
      </c>
      <c r="AG6" s="77">
        <f>IFERROR(VLOOKUP(Vaktplan!$A$40,Vaktplan!$G$4:$CL$35,86-AL59,FALSE),0)</f>
        <v>0</v>
      </c>
      <c r="AH6" s="9">
        <f>IFERROR(VLOOKUP(Vaktplan!$A$40,Vaktplan!$G$4:$CL$35,89-$AM59,FALSE),0)</f>
        <v>0</v>
      </c>
      <c r="AI6" s="9">
        <f>IF(AND(AF6=0,AG6=0),0,IF(AF6&lt;AG6,((AG6-AF6)*24)-AH6,(((1-AF6)+AG6)*24)-AH6))</f>
        <v>0</v>
      </c>
      <c r="AJ6" s="9">
        <f>IF($M$1=AL28,IF(AND(AG6=0,B6=0),24,IF(AG6=0,12+($B$6*24),IF(AG6&lt;$B$6,(($B$6-AG6)*24),IF($B$6=0,(1-AG6+1)*24,((1-AG6)+$B$6)*24)))),IF(AND(AG6=0,B7=0),24,IF(AG6=0,12+(B7*24),IF(AG6&lt;B7,((B7-AG6)*24),IF(B7=0,(1-AG6+1)*24,((1-AG6)+B7)*24)))))</f>
        <v>24</v>
      </c>
      <c r="AK6" s="9">
        <f t="shared" ref="AK6:AK17" si="1">E6+J6+O6+T6+Y6+AD6+AI6</f>
        <v>75.000000000000014</v>
      </c>
      <c r="AL6" s="10">
        <f>AJ6</f>
        <v>24</v>
      </c>
      <c r="AM6" s="10">
        <f>AK6</f>
        <v>75.000000000000014</v>
      </c>
    </row>
    <row r="7" spans="1:39" ht="13" x14ac:dyDescent="0.25">
      <c r="A7" s="7">
        <f>IF($M$1&gt;=2,2,0)</f>
        <v>2</v>
      </c>
      <c r="B7" s="77">
        <f>IFERROR(VLOOKUP(Vaktplan!$A$40,Vaktplan!$H$4:$CL$35,87-AH60,FALSE),0)</f>
        <v>0</v>
      </c>
      <c r="C7" s="77">
        <f>IFERROR(VLOOKUP(Vaktplan!$A$40,Vaktplan!$H$4:$CL$35,87-AG60,FALSE),0)</f>
        <v>0</v>
      </c>
      <c r="D7" s="9">
        <f>IFERROR(VLOOKUP(Vaktplan!$A$40,Vaktplan!$H$4:$CL$35,89-AG60,FALSE),0)</f>
        <v>0</v>
      </c>
      <c r="E7" s="9">
        <f>IF(AND(B7=0,C7=0),0,IF(B7&lt;C7,((C7-B7)*24)-D7,(((1-B7)+C7)*24)-D7))</f>
        <v>0</v>
      </c>
      <c r="F7" s="9">
        <f t="shared" ref="F7:F17" si="2">IF(AND(C7=0,G7=0),24,IF(C7=0,12+(G7*24),IF(C7&lt;G7,((G7-C7)*24),IF(G7=0,(1-C7+0.5)*24,((1-C7)+G7)*24))))</f>
        <v>24</v>
      </c>
      <c r="G7" s="77">
        <f>IFERROR(VLOOKUP(Vaktplan!$A$40,Vaktplan!$I$4:$CL$35,86-AH60,FALSE),0)</f>
        <v>0</v>
      </c>
      <c r="H7" s="77">
        <f>IFERROR(VLOOKUP(Vaktplan!$A$40,Vaktplan!$I$4:$CL$35,86-AG60,FALSE),0)</f>
        <v>0</v>
      </c>
      <c r="I7" s="9">
        <f>IFERROR(VLOOKUP(Vaktplan!$A$40,Vaktplan!$I$4:$CL$35,89-$AH60,FALSE),0)</f>
        <v>0</v>
      </c>
      <c r="J7" s="9">
        <f t="shared" ref="J7:J17" si="3">IF(AND(G7=0,H7=0),0,IF(G7&lt;H7,((H7-G7)*24)-I7,(((1-G7)+H7)*24)-I7))</f>
        <v>0</v>
      </c>
      <c r="K7" s="9">
        <f t="shared" ref="K7:K17" si="4">IF(AND(H7=0,L7=0),24,IF(H7=0,12+(L7*24),IF(H7&lt;L7,((L7-H7)*24),IF(L7=0,(1-H7+0.5)*24,((1-H7)+L7)*24))))</f>
        <v>24</v>
      </c>
      <c r="L7" s="77">
        <f>IFERROR(VLOOKUP(Vaktplan!$A$40,Vaktplan!$J$4:$CL$35,86-AI60,FALSE),0)</f>
        <v>0</v>
      </c>
      <c r="M7" s="77">
        <f>IFERROR(VLOOKUP(Vaktplan!$A$40,Vaktplan!$J$4:$CL$35,86-AH60,FALSE),0)</f>
        <v>0</v>
      </c>
      <c r="N7" s="9">
        <f>IFERROR(VLOOKUP(Vaktplan!$A$40,Vaktplan!$J$4:$CL$35,89-$AI60,FALSE),0)</f>
        <v>0</v>
      </c>
      <c r="O7" s="9">
        <f t="shared" ref="O7:O17" si="5">IF(AND(L7=0,M7=0),0,IF(L7&lt;M7,((M7-L7)*24)-N7,(((1-L7)+M7)*24)-N7))</f>
        <v>0</v>
      </c>
      <c r="P7" s="9">
        <f t="shared" ref="P7:P17" si="6">IF(AND(M7=0,Q7=0),24,IF(M7=0,12+(Q7*24),IF(M7&lt;Q7,((Q7-M7)*24),IF(Q7=0,(1-M7+0.5)*24,((1-M7)+Q7)*24))))</f>
        <v>24</v>
      </c>
      <c r="Q7" s="77">
        <f>IFERROR(VLOOKUP(Vaktplan!$A$40,Vaktplan!$K$4:$CL$35,86-AJ60,FALSE),0)</f>
        <v>0</v>
      </c>
      <c r="R7" s="77">
        <f>IFERROR(VLOOKUP(Vaktplan!$A$40,Vaktplan!$K$4:$CL$35,86-AI60,FALSE),0)</f>
        <v>0</v>
      </c>
      <c r="S7" s="9">
        <f>IFERROR(VLOOKUP(Vaktplan!$A$40,Vaktplan!$K$4:$CL$35,89-$AJ60,FALSE),0)</f>
        <v>0</v>
      </c>
      <c r="T7" s="9">
        <f t="shared" si="0"/>
        <v>0</v>
      </c>
      <c r="U7" s="9">
        <f t="shared" ref="U7:U17" si="7">IF(AND(R7=0,V7=0),24,IF(R7=0,12+(V7*24),IF(R7&lt;V7,((V7-R7)*24),IF(V7=0,(1-R7+0.5)*24,((1-R7)+V7)*24))))</f>
        <v>24</v>
      </c>
      <c r="V7" s="77">
        <f>IFERROR(VLOOKUP(Vaktplan!$A$40,Vaktplan!$L$4:$CL$35,86-AK60,FALSE),0)</f>
        <v>0</v>
      </c>
      <c r="W7" s="77">
        <f>IFERROR(VLOOKUP(Vaktplan!$A$40,Vaktplan!$L$4:$CL$35,86-AJ60,FALSE),0)</f>
        <v>0</v>
      </c>
      <c r="X7" s="9">
        <f>IFERROR(VLOOKUP(Vaktplan!$A$40,Vaktplan!$L$4:$CL$35,89-$AK60,FALSE),0)</f>
        <v>0</v>
      </c>
      <c r="Y7" s="9">
        <f t="shared" ref="Y7:Y13" si="8">IF(AND(V7=0,W7=0),0,IF(V7&lt;W7,((W7-V7)*24)-X7,(((1-V7)+W7)*24)-X7))</f>
        <v>0</v>
      </c>
      <c r="Z7" s="9">
        <f t="shared" ref="Z7:Z17" si="9">IF(AND(W7=0,AA7=0),24,IF(W7=0,12+(AA7*24),IF(W7&lt;AA7,((AA7-W7)*24),IF(AA7=0,(1-W7+0.5)*24,((1-W7)+AA7)*24))))</f>
        <v>24</v>
      </c>
      <c r="AA7" s="77">
        <f>IFERROR(VLOOKUP(Vaktplan!$A$40,Vaktplan!$M$4:$CL$35,86-AL60,FALSE),0)</f>
        <v>0</v>
      </c>
      <c r="AB7" s="77">
        <f>IFERROR(VLOOKUP(Vaktplan!$A$40,Vaktplan!$M$4:$CL$35,86-AK60,FALSE),0)</f>
        <v>0</v>
      </c>
      <c r="AC7" s="9">
        <f>IFERROR(VLOOKUP(Vaktplan!$A$40,Vaktplan!$M$4:$CL$35,89-$AL60,FALSE),0)</f>
        <v>0</v>
      </c>
      <c r="AD7" s="9">
        <f t="shared" ref="AD7:AD13" si="10">IF(AND(AA7=0,AB7=0),0,IF(AA7&lt;AB7,((AB7-AA7)*24)-AC7,(((1-AA7)+AB7)*24)-AC7))</f>
        <v>0</v>
      </c>
      <c r="AE7" s="9">
        <f t="shared" ref="AE7:AE17" si="11">IF(AND(AB7=0,AF7=0),24,IF(AB7=0,12+(AF7*24),IF(AB7&lt;AF7,((AF7-AB7)*24),IF(AF7=0,(1-AB7+0.5)*24,((1-AB7)+AF7)*24))))</f>
        <v>24</v>
      </c>
      <c r="AF7" s="77">
        <f>IFERROR(VLOOKUP(Vaktplan!$A$40,Vaktplan!$N$4:$CL$35,86-AM60,FALSE),0)</f>
        <v>0</v>
      </c>
      <c r="AG7" s="77">
        <f>IFERROR(VLOOKUP(Vaktplan!$A$40,Vaktplan!$N$4:$CL$35,86-AL60,FALSE),0)</f>
        <v>0</v>
      </c>
      <c r="AH7" s="9">
        <f>IFERROR(VLOOKUP(Vaktplan!$A$40,Vaktplan!$N$4:$CL$35,89-$AM60,FALSE),0)</f>
        <v>0</v>
      </c>
      <c r="AI7" s="9">
        <f t="shared" ref="AI7:AI13" si="12">IF(AND(AF7=0,AG7=0),0,IF(AF7&lt;AG7,((AG7-AF7)*24)-AH7,(((1-AF7)+AG7)*24)-AH7))</f>
        <v>0</v>
      </c>
      <c r="AJ7" s="9">
        <f t="shared" ref="AJ7:AJ17" si="13">IF($M$1=AL29,IF(AND(AG7=0,B7=0),24,IF(AG7=0,12+($B$6*24),IF(AG7&lt;$B$6,(($B$6-AG7)*24),IF($B$6=0,(1-AG7+1)*24,((1-AG7)+$B$6)*24)))),IF(AND(AG7=0,B8=0),24,IF(AG7=0,12+(B8*24),IF(AG7&lt;B8,((B8-AG7)*24),IF(B8=0,(1-AG7+1)*24,((1-AG7)+B8)*24)))))</f>
        <v>24</v>
      </c>
      <c r="AK7" s="9">
        <f t="shared" si="1"/>
        <v>0</v>
      </c>
      <c r="AL7" s="10">
        <f t="shared" ref="AL7:AM13" si="14">AJ7</f>
        <v>24</v>
      </c>
      <c r="AM7" s="10">
        <f t="shared" si="14"/>
        <v>0</v>
      </c>
    </row>
    <row r="8" spans="1:39" ht="13" x14ac:dyDescent="0.25">
      <c r="A8" s="7">
        <f>IF($M$1&gt;=3,3,0)</f>
        <v>3</v>
      </c>
      <c r="B8" s="77">
        <f>IFERROR(VLOOKUP(Vaktplan!$A$40,Vaktplan!$O$4:$CL$35,87-AH61,FALSE),0)</f>
        <v>0</v>
      </c>
      <c r="C8" s="77">
        <f>IFERROR(VLOOKUP(Vaktplan!$A$40,Vaktplan!$O$4:$CL$35,87-AG61,FALSE),0)</f>
        <v>0</v>
      </c>
      <c r="D8" s="9">
        <f>IFERROR(VLOOKUP(Vaktplan!$A$40,Vaktplan!$O$4:$CL$35,89-AG61,FALSE),0)</f>
        <v>0</v>
      </c>
      <c r="E8" s="9">
        <f t="shared" ref="E8:E17" si="15">IF(AND(B8=0,C8=0),0,IF(B8&lt;C8,((C8-B8)*24)-D8,(((1-B8)+C8)*24)-D8))</f>
        <v>0</v>
      </c>
      <c r="F8" s="9">
        <f t="shared" si="2"/>
        <v>24</v>
      </c>
      <c r="G8" s="77">
        <f>IFERROR(VLOOKUP(Vaktplan!$A$40,Vaktplan!$P$4:$CL$35,86-AH61,FALSE),0)</f>
        <v>0</v>
      </c>
      <c r="H8" s="77">
        <f>IFERROR(VLOOKUP(Vaktplan!$A$40,Vaktplan!$P$4:$CL$35,86-AG61,FALSE),0)</f>
        <v>0</v>
      </c>
      <c r="I8" s="9">
        <f>IFERROR(VLOOKUP(Vaktplan!$A$40,Vaktplan!$P$4:$CL$35,89-$AH61,FALSE),0)</f>
        <v>0</v>
      </c>
      <c r="J8" s="9">
        <f>IF(AND(G8=0,H8=0),0,IF(G8&lt;H8,((H8-G8)*24)-I8,(((1-G8)+H8)*24)-I8))</f>
        <v>0</v>
      </c>
      <c r="K8" s="9">
        <f t="shared" si="4"/>
        <v>24</v>
      </c>
      <c r="L8" s="77">
        <f>IFERROR(VLOOKUP(Vaktplan!$A$40,Vaktplan!$Q$4:$CL$35,86-AI61,FALSE),0)</f>
        <v>0</v>
      </c>
      <c r="M8" s="77">
        <f>IFERROR(VLOOKUP(Vaktplan!$A$40,Vaktplan!$Q$4:$CL$35,86-AH61,FALSE),0)</f>
        <v>0</v>
      </c>
      <c r="N8" s="9">
        <f>IFERROR(VLOOKUP(Vaktplan!$A$40,Vaktplan!$Q$4:$CL$35,89-$AI61,FALSE),0)</f>
        <v>0</v>
      </c>
      <c r="O8" s="9">
        <f t="shared" si="5"/>
        <v>0</v>
      </c>
      <c r="P8" s="9">
        <f t="shared" si="6"/>
        <v>24</v>
      </c>
      <c r="Q8" s="77">
        <f>IFERROR(VLOOKUP(Vaktplan!$A$40,Vaktplan!$R$4:$CL$35,86-AJ61,FALSE),0)</f>
        <v>0</v>
      </c>
      <c r="R8" s="77">
        <f>IFERROR(VLOOKUP(Vaktplan!$A$40,Vaktplan!$R$4:$CL$35,86-AI61,FALSE),0)</f>
        <v>0</v>
      </c>
      <c r="S8" s="9">
        <f>IFERROR(VLOOKUP(Vaktplan!$A$40,Vaktplan!$R$4:$CL$35,89-$AJ61,FALSE),0)</f>
        <v>0</v>
      </c>
      <c r="T8" s="9">
        <f t="shared" si="0"/>
        <v>0</v>
      </c>
      <c r="U8" s="9">
        <f t="shared" si="7"/>
        <v>24</v>
      </c>
      <c r="V8" s="77">
        <f>IFERROR(VLOOKUP(Vaktplan!$A$40,Vaktplan!$S$4:$CL$35,86-AK61,FALSE),0)</f>
        <v>0</v>
      </c>
      <c r="W8" s="77">
        <f>IFERROR(VLOOKUP(Vaktplan!$A$40,Vaktplan!$S$4:$CL$35,86-AJ61,FALSE),0)</f>
        <v>0</v>
      </c>
      <c r="X8" s="9">
        <f>IFERROR(VLOOKUP(Vaktplan!$A$40,Vaktplan!$S$4:$CL$35,89-$AK61,FALSE),0)</f>
        <v>0</v>
      </c>
      <c r="Y8" s="9">
        <f t="shared" si="8"/>
        <v>0</v>
      </c>
      <c r="Z8" s="9">
        <f t="shared" si="9"/>
        <v>24</v>
      </c>
      <c r="AA8" s="77">
        <f>IFERROR(VLOOKUP(Vaktplan!$A$40,Vaktplan!$T$4:$CL$35,86-AL61,FALSE),0)</f>
        <v>0</v>
      </c>
      <c r="AB8" s="77">
        <f>IFERROR(VLOOKUP(Vaktplan!$A$40,Vaktplan!$T$4:$CL$35,86-AK61,FALSE),0)</f>
        <v>0</v>
      </c>
      <c r="AC8" s="9">
        <f>IFERROR(VLOOKUP(Vaktplan!$A$40,Vaktplan!$T$4:$CL$35,89-$AL61,FALSE),0)</f>
        <v>0</v>
      </c>
      <c r="AD8" s="9">
        <f t="shared" si="10"/>
        <v>0</v>
      </c>
      <c r="AE8" s="9">
        <f t="shared" si="11"/>
        <v>24</v>
      </c>
      <c r="AF8" s="77">
        <f>IFERROR(VLOOKUP(Vaktplan!$A$40,Vaktplan!$U$4:$CL$35,86-AM61,FALSE),0)</f>
        <v>0</v>
      </c>
      <c r="AG8" s="77">
        <f>IFERROR(VLOOKUP(Vaktplan!$A$40,Vaktplan!$U$4:$CL$35,86-AL61,FALSE),0)</f>
        <v>0</v>
      </c>
      <c r="AH8" s="9">
        <f>IFERROR(VLOOKUP(Vaktplan!$A$40,Vaktplan!$U$4:$CL$35,89-$AM61,FALSE),0)</f>
        <v>0</v>
      </c>
      <c r="AI8" s="9">
        <f t="shared" si="12"/>
        <v>0</v>
      </c>
      <c r="AJ8" s="9">
        <f t="shared" si="13"/>
        <v>24</v>
      </c>
      <c r="AK8" s="9">
        <f t="shared" si="1"/>
        <v>0</v>
      </c>
      <c r="AL8" s="10">
        <f t="shared" si="14"/>
        <v>24</v>
      </c>
      <c r="AM8" s="10">
        <f t="shared" si="14"/>
        <v>0</v>
      </c>
    </row>
    <row r="9" spans="1:39" ht="13" x14ac:dyDescent="0.25">
      <c r="A9" s="7">
        <f>IF($M$1&gt;=4,4,0)</f>
        <v>4</v>
      </c>
      <c r="B9" s="77">
        <f>IFERROR(VLOOKUP(Vaktplan!$A$40,Vaktplan!$V$4:$CL$35,87-AH62,FALSE),0)</f>
        <v>0</v>
      </c>
      <c r="C9" s="77">
        <f>IFERROR(VLOOKUP(Vaktplan!$A$40,Vaktplan!$V$4:$CL$35,87-AG62,FALSE),0)</f>
        <v>0</v>
      </c>
      <c r="D9" s="9">
        <f>IFERROR(VLOOKUP(Vaktplan!$A$40,Vaktplan!$V$4:$CL$35,89-AG62,FALSE),0)</f>
        <v>0</v>
      </c>
      <c r="E9" s="9">
        <f t="shared" si="15"/>
        <v>0</v>
      </c>
      <c r="F9" s="9">
        <f t="shared" si="2"/>
        <v>24</v>
      </c>
      <c r="G9" s="77">
        <f>IFERROR(VLOOKUP(Vaktplan!$A$40,Vaktplan!$W$4:$CL$35,86-AH62,FALSE),0)</f>
        <v>0</v>
      </c>
      <c r="H9" s="77">
        <f>IFERROR(VLOOKUP(Vaktplan!$A$40,Vaktplan!$W$4:$CL$35,86-AG62,FALSE),0)</f>
        <v>0</v>
      </c>
      <c r="I9" s="9">
        <f>IFERROR(VLOOKUP(Vaktplan!$A$40,Vaktplan!$W$4:$CL$35,89-$AH62,FALSE),0)</f>
        <v>0</v>
      </c>
      <c r="J9" s="9">
        <f t="shared" si="3"/>
        <v>0</v>
      </c>
      <c r="K9" s="9">
        <f t="shared" si="4"/>
        <v>24</v>
      </c>
      <c r="L9" s="77">
        <f>IFERROR(VLOOKUP(Vaktplan!$A$40,Vaktplan!$X$4:$CL$35,86-AI62,FALSE),0)</f>
        <v>0</v>
      </c>
      <c r="M9" s="77">
        <f>IFERROR(VLOOKUP(Vaktplan!$A$40,Vaktplan!$X$4:$CL$35,86-AH62,FALSE),0)</f>
        <v>0</v>
      </c>
      <c r="N9" s="9">
        <f>IFERROR(VLOOKUP(Vaktplan!$A$40,Vaktplan!$X$4:$CL$35,89-$AI62,FALSE),0)</f>
        <v>0</v>
      </c>
      <c r="O9" s="9">
        <f t="shared" si="5"/>
        <v>0</v>
      </c>
      <c r="P9" s="9">
        <f t="shared" si="6"/>
        <v>24</v>
      </c>
      <c r="Q9" s="77">
        <f>IFERROR(VLOOKUP(Vaktplan!$A$40,Vaktplan!$Y$4:$CL$35,86-AJ62,FALSE),0)</f>
        <v>0</v>
      </c>
      <c r="R9" s="77">
        <f>IFERROR(VLOOKUP(Vaktplan!$A$40,Vaktplan!$Y$4:$CL$35,86-AI62,FALSE),0)</f>
        <v>0</v>
      </c>
      <c r="S9" s="9">
        <f>IFERROR(VLOOKUP(Vaktplan!$A$40,Vaktplan!$Y$4:$CL$35,89-$AJ62,FALSE),0)</f>
        <v>0</v>
      </c>
      <c r="T9" s="9">
        <f t="shared" si="0"/>
        <v>0</v>
      </c>
      <c r="U9" s="9">
        <f t="shared" si="7"/>
        <v>24</v>
      </c>
      <c r="V9" s="77">
        <f>IFERROR(VLOOKUP(Vaktplan!$A$40,Vaktplan!$Z$4:$CL$35,86-AK62,FALSE),0)</f>
        <v>0</v>
      </c>
      <c r="W9" s="77">
        <f>IFERROR(VLOOKUP(Vaktplan!$A$40,Vaktplan!$Z$4:$CL$35,86-AJ62,FALSE),0)</f>
        <v>0</v>
      </c>
      <c r="X9" s="9">
        <f>IFERROR(VLOOKUP(Vaktplan!$A$40,Vaktplan!$Z$4:$CL$35,89-$AK62,FALSE),0)</f>
        <v>0</v>
      </c>
      <c r="Y9" s="9">
        <f t="shared" si="8"/>
        <v>0</v>
      </c>
      <c r="Z9" s="9">
        <f t="shared" si="9"/>
        <v>24</v>
      </c>
      <c r="AA9" s="77">
        <f>IFERROR(VLOOKUP(Vaktplan!$A$40,Vaktplan!$AA$4:$CL$35,86-AL62,FALSE),0)</f>
        <v>0</v>
      </c>
      <c r="AB9" s="77">
        <f>IFERROR(VLOOKUP(Vaktplan!$A$40,Vaktplan!$AA$4:$CL$35,86-AK62,FALSE),0)</f>
        <v>0</v>
      </c>
      <c r="AC9" s="9">
        <f>IFERROR(VLOOKUP(Vaktplan!$A$40,Vaktplan!$AA$4:$CL$35,89-$AL62,FALSE),0)</f>
        <v>0</v>
      </c>
      <c r="AD9" s="9">
        <f t="shared" si="10"/>
        <v>0</v>
      </c>
      <c r="AE9" s="9">
        <f t="shared" si="11"/>
        <v>24</v>
      </c>
      <c r="AF9" s="77">
        <f>IFERROR(VLOOKUP(Vaktplan!$A$40,Vaktplan!$AB$4:$CL$35,86-AM62,FALSE),0)</f>
        <v>0</v>
      </c>
      <c r="AG9" s="77">
        <f>IFERROR(VLOOKUP(Vaktplan!$A$40,Vaktplan!$AB$4:$CL$35,86-AL62,FALSE),0)</f>
        <v>0</v>
      </c>
      <c r="AH9" s="9">
        <f>IFERROR(VLOOKUP(Vaktplan!$A$40,Vaktplan!$AB$4:$CL$35,89-$AM62,FALSE),0)</f>
        <v>0</v>
      </c>
      <c r="AI9" s="9">
        <f t="shared" si="12"/>
        <v>0</v>
      </c>
      <c r="AJ9" s="9">
        <f t="shared" si="13"/>
        <v>24</v>
      </c>
      <c r="AK9" s="9">
        <f t="shared" si="1"/>
        <v>0</v>
      </c>
      <c r="AL9" s="10">
        <f t="shared" si="14"/>
        <v>24</v>
      </c>
      <c r="AM9" s="10">
        <f t="shared" si="14"/>
        <v>0</v>
      </c>
    </row>
    <row r="10" spans="1:39" ht="13" x14ac:dyDescent="0.25">
      <c r="A10" s="7">
        <f>IF($M$1&gt;=5,5,0)</f>
        <v>0</v>
      </c>
      <c r="B10" s="77">
        <f>IFERROR(VLOOKUP(Vaktplan!$A$40,Vaktplan!$AC$4:$CL$35,87-AH63,FALSE),0)</f>
        <v>0</v>
      </c>
      <c r="C10" s="77">
        <f>IFERROR(VLOOKUP(Vaktplan!$A$40,Vaktplan!$AC$4:$CL$35,87-AG63,FALSE),0)</f>
        <v>0</v>
      </c>
      <c r="D10" s="9">
        <f>IFERROR(VLOOKUP(Vaktplan!$A$40,Vaktplan!$AC$4:$CL$35,89-AG63,FALSE),0)</f>
        <v>0</v>
      </c>
      <c r="E10" s="9">
        <f t="shared" si="15"/>
        <v>0</v>
      </c>
      <c r="F10" s="9">
        <f t="shared" si="2"/>
        <v>24</v>
      </c>
      <c r="G10" s="77">
        <f>IFERROR(VLOOKUP(Vaktplan!$A$40,Vaktplan!$AD$4:$CL$35,86-AH63,FALSE),0)</f>
        <v>0</v>
      </c>
      <c r="H10" s="77">
        <f>IFERROR(VLOOKUP(Vaktplan!$A$40,Vaktplan!$AD$4:$CL$35,86-AG63,FALSE),0)</f>
        <v>0</v>
      </c>
      <c r="I10" s="9">
        <f>IFERROR(VLOOKUP(Vaktplan!$A$40,Vaktplan!$AD$4:$CL$35,89-$AH63,FALSE),0)</f>
        <v>0</v>
      </c>
      <c r="J10" s="9">
        <f t="shared" si="3"/>
        <v>0</v>
      </c>
      <c r="K10" s="9">
        <f t="shared" si="4"/>
        <v>24</v>
      </c>
      <c r="L10" s="77">
        <f>IFERROR(VLOOKUP(Vaktplan!$A$40,Vaktplan!$AE$4:$CL$35,86-AI63,FALSE),0)</f>
        <v>0</v>
      </c>
      <c r="M10" s="77">
        <f>IFERROR(VLOOKUP(Vaktplan!$A$40,Vaktplan!$AE$4:$CL$35,86-AH63,FALSE),0)</f>
        <v>0</v>
      </c>
      <c r="N10" s="9">
        <f>IFERROR(VLOOKUP(Vaktplan!$A$40,Vaktplan!$AE$4:$CL$35,89-$AI63,FALSE),0)</f>
        <v>0</v>
      </c>
      <c r="O10" s="9">
        <f t="shared" si="5"/>
        <v>0</v>
      </c>
      <c r="P10" s="9">
        <f t="shared" si="6"/>
        <v>24</v>
      </c>
      <c r="Q10" s="77">
        <f>IFERROR(VLOOKUP(Vaktplan!$A$40,Vaktplan!$AF$4:$CL$35,86-AJ63,FALSE),0)</f>
        <v>0</v>
      </c>
      <c r="R10" s="77">
        <f>IFERROR(VLOOKUP(Vaktplan!$A$40,Vaktplan!$AF$4:$CL$35,86-AI63,FALSE),0)</f>
        <v>0</v>
      </c>
      <c r="S10" s="9">
        <f>IFERROR(VLOOKUP(Vaktplan!$A$40,Vaktplan!$AF$4:$CL$35,89-$AJ63,FALSE),0)</f>
        <v>0</v>
      </c>
      <c r="T10" s="9">
        <f t="shared" si="0"/>
        <v>0</v>
      </c>
      <c r="U10" s="9">
        <f t="shared" si="7"/>
        <v>24</v>
      </c>
      <c r="V10" s="77">
        <f>IFERROR(VLOOKUP(Vaktplan!$A$40,Vaktplan!$AG$4:$CL$35,86-AK63,FALSE),0)</f>
        <v>0</v>
      </c>
      <c r="W10" s="77">
        <f>IFERROR(VLOOKUP(Vaktplan!$A$40,Vaktplan!$AG$4:$CL$35,86-AJ63,FALSE),0)</f>
        <v>0</v>
      </c>
      <c r="X10" s="9">
        <f>IFERROR(VLOOKUP(Vaktplan!$A$40,Vaktplan!$AG$4:$CL$35,89-$AK63,FALSE),0)</f>
        <v>0</v>
      </c>
      <c r="Y10" s="9">
        <f t="shared" si="8"/>
        <v>0</v>
      </c>
      <c r="Z10" s="9">
        <f t="shared" si="9"/>
        <v>24</v>
      </c>
      <c r="AA10" s="77">
        <f>IFERROR(VLOOKUP(Vaktplan!$A$40,Vaktplan!$AH$4:$CL$35,86-AL63,FALSE),0)</f>
        <v>0</v>
      </c>
      <c r="AB10" s="77">
        <f>IFERROR(VLOOKUP(Vaktplan!$A$40,Vaktplan!$AH$4:$CL$35,86-AK63,FALSE),0)</f>
        <v>0</v>
      </c>
      <c r="AC10" s="9">
        <f>IFERROR(VLOOKUP(Vaktplan!$A$40,Vaktplan!$AH$4:$CL$35,89-$AL63,FALSE),0)</f>
        <v>0</v>
      </c>
      <c r="AD10" s="9">
        <f t="shared" si="10"/>
        <v>0</v>
      </c>
      <c r="AE10" s="9">
        <f t="shared" si="11"/>
        <v>24</v>
      </c>
      <c r="AF10" s="77">
        <f>IFERROR(VLOOKUP(Vaktplan!$A$40,Vaktplan!$AI$4:$CL$35,86-AM63,FALSE),0)</f>
        <v>0</v>
      </c>
      <c r="AG10" s="77">
        <f>IFERROR(VLOOKUP(Vaktplan!$A$40,Vaktplan!$AI$4:$CL$35,86-AL63,FALSE),0)</f>
        <v>0</v>
      </c>
      <c r="AH10" s="9">
        <f>IFERROR(VLOOKUP(Vaktplan!$A$40,Vaktplan!$AI$4:$CL$35,89-$AM63,FALSE),0)</f>
        <v>0</v>
      </c>
      <c r="AI10" s="9">
        <f t="shared" si="12"/>
        <v>0</v>
      </c>
      <c r="AJ10" s="9">
        <f t="shared" si="13"/>
        <v>24</v>
      </c>
      <c r="AK10" s="9">
        <f t="shared" si="1"/>
        <v>0</v>
      </c>
      <c r="AL10" s="10">
        <f t="shared" si="14"/>
        <v>24</v>
      </c>
      <c r="AM10" s="10">
        <f t="shared" si="14"/>
        <v>0</v>
      </c>
    </row>
    <row r="11" spans="1:39" ht="13" x14ac:dyDescent="0.25">
      <c r="A11" s="7">
        <f>IF($M$1&gt;=6,6,0)</f>
        <v>0</v>
      </c>
      <c r="B11" s="77">
        <f>IFERROR(VLOOKUP(Vaktplan!$A$40,Vaktplan!$AJ$4:$CL$35,87-AH64,FALSE),0)</f>
        <v>0</v>
      </c>
      <c r="C11" s="77">
        <f>IFERROR(VLOOKUP(Vaktplan!$A$40,Vaktplan!$AJ$4:$CL$35,87-AG64,FALSE),0)</f>
        <v>0</v>
      </c>
      <c r="D11" s="9">
        <f>IFERROR(VLOOKUP(Vaktplan!$A$40,Vaktplan!$AJ$4:$CL$35,89-AG64,FALSE),0)</f>
        <v>0</v>
      </c>
      <c r="E11" s="9">
        <f t="shared" si="15"/>
        <v>0</v>
      </c>
      <c r="F11" s="9">
        <f t="shared" si="2"/>
        <v>24</v>
      </c>
      <c r="G11" s="77">
        <f>IFERROR(VLOOKUP(Vaktplan!$A$40,Vaktplan!$AK$4:$CL$35,86-AH64,FALSE),0)</f>
        <v>0</v>
      </c>
      <c r="H11" s="77">
        <f>IFERROR(VLOOKUP(Vaktplan!$A$40,Vaktplan!$AK$4:$CL$35,86-AG64,FALSE),0)</f>
        <v>0</v>
      </c>
      <c r="I11" s="9">
        <f>IFERROR(VLOOKUP(Vaktplan!$A$40,Vaktplan!$AK$4:$CL$35,89-$AH64,FALSE),0)</f>
        <v>0</v>
      </c>
      <c r="J11" s="9">
        <f t="shared" si="3"/>
        <v>0</v>
      </c>
      <c r="K11" s="9">
        <f t="shared" si="4"/>
        <v>24</v>
      </c>
      <c r="L11" s="77">
        <f>IFERROR(VLOOKUP(Vaktplan!$A$40,Vaktplan!$AL$4:$CL$35,86-AI64,FALSE),0)</f>
        <v>0</v>
      </c>
      <c r="M11" s="77">
        <f>IFERROR(VLOOKUP(Vaktplan!$A$40,Vaktplan!$AL$4:$CL$35,86-AH64,FALSE),0)</f>
        <v>0</v>
      </c>
      <c r="N11" s="9">
        <f>IFERROR(VLOOKUP(Vaktplan!$A$40,Vaktplan!$AL$4:$CL$35,89-$AI64,FALSE),0)</f>
        <v>0</v>
      </c>
      <c r="O11" s="9">
        <f t="shared" si="5"/>
        <v>0</v>
      </c>
      <c r="P11" s="9">
        <f t="shared" si="6"/>
        <v>24</v>
      </c>
      <c r="Q11" s="77">
        <f>IFERROR(VLOOKUP(Vaktplan!$A$40,Vaktplan!$AM$4:$CL$35,86-AJ64,FALSE),0)</f>
        <v>0</v>
      </c>
      <c r="R11" s="77">
        <f>IFERROR(VLOOKUP(Vaktplan!$A$40,Vaktplan!$AM$4:$CL$35,86-AI64,FALSE),0)</f>
        <v>0</v>
      </c>
      <c r="S11" s="9">
        <f>IFERROR(VLOOKUP(Vaktplan!$A$40,Vaktplan!$AM$4:$CL$35,89-$AJ64,FALSE),0)</f>
        <v>0</v>
      </c>
      <c r="T11" s="9">
        <f t="shared" si="0"/>
        <v>0</v>
      </c>
      <c r="U11" s="9">
        <f t="shared" si="7"/>
        <v>24</v>
      </c>
      <c r="V11" s="77">
        <f>IFERROR(VLOOKUP(Vaktplan!$A$40,Vaktplan!$AN$4:$CL$35,86-AK64,FALSE),0)</f>
        <v>0</v>
      </c>
      <c r="W11" s="77">
        <f>IFERROR(VLOOKUP(Vaktplan!$A$40,Vaktplan!$AN$4:$CL$35,86-AJ64,FALSE),0)</f>
        <v>0</v>
      </c>
      <c r="X11" s="9">
        <f>IFERROR(VLOOKUP(Vaktplan!$A$40,Vaktplan!$AN$4:$CL$35,89-$AK64,FALSE),0)</f>
        <v>0</v>
      </c>
      <c r="Y11" s="9">
        <f t="shared" si="8"/>
        <v>0</v>
      </c>
      <c r="Z11" s="9">
        <f t="shared" si="9"/>
        <v>24</v>
      </c>
      <c r="AA11" s="77">
        <f>IFERROR(VLOOKUP(Vaktplan!$A$40,Vaktplan!$AO$4:$CL$35,86-AL64,FALSE),0)</f>
        <v>0</v>
      </c>
      <c r="AB11" s="77">
        <f>IFERROR(VLOOKUP(Vaktplan!$A$40,Vaktplan!$AO$4:$CL$35,86-AK64,FALSE),0)</f>
        <v>0</v>
      </c>
      <c r="AC11" s="9">
        <f>IFERROR(VLOOKUP(Vaktplan!$A$40,Vaktplan!$AO$4:$CL$35,89-$AL64,FALSE),0)</f>
        <v>0</v>
      </c>
      <c r="AD11" s="9">
        <f t="shared" si="10"/>
        <v>0</v>
      </c>
      <c r="AE11" s="9">
        <f t="shared" si="11"/>
        <v>24</v>
      </c>
      <c r="AF11" s="77">
        <f>IFERROR(VLOOKUP(Vaktplan!$A$40,Vaktplan!$AP$4:$CL$35,86-AM64,FALSE),0)</f>
        <v>0</v>
      </c>
      <c r="AG11" s="77">
        <f>IFERROR(VLOOKUP(Vaktplan!$A$40,Vaktplan!$AP$4:$CL$35,86-AL64,FALSE),0)</f>
        <v>0</v>
      </c>
      <c r="AH11" s="9">
        <f>IFERROR(VLOOKUP(Vaktplan!$A$40,Vaktplan!$AP$4:$CL$35,89-$AM64,FALSE),0)</f>
        <v>0</v>
      </c>
      <c r="AI11" s="9">
        <f t="shared" si="12"/>
        <v>0</v>
      </c>
      <c r="AJ11" s="9">
        <f t="shared" si="13"/>
        <v>24</v>
      </c>
      <c r="AK11" s="9">
        <f t="shared" si="1"/>
        <v>0</v>
      </c>
      <c r="AL11" s="10">
        <f t="shared" si="14"/>
        <v>24</v>
      </c>
      <c r="AM11" s="10">
        <f t="shared" si="14"/>
        <v>0</v>
      </c>
    </row>
    <row r="12" spans="1:39" ht="13" x14ac:dyDescent="0.25">
      <c r="A12" s="7">
        <f>IF($M$1&gt;=7,7,0)</f>
        <v>0</v>
      </c>
      <c r="B12" s="77">
        <f>IFERROR(VLOOKUP(Vaktplan!$A$40,Vaktplan!$AQ$4:$CL$35,87-AH65,FALSE),0)</f>
        <v>0</v>
      </c>
      <c r="C12" s="77">
        <f>IFERROR(VLOOKUP(Vaktplan!$A$40,Vaktplan!$AQ$4:$CL$35,87-AG65,FALSE),0)</f>
        <v>0</v>
      </c>
      <c r="D12" s="9">
        <f>IFERROR(VLOOKUP(Vaktplan!$A$40,Vaktplan!$AQ$4:$CL$35,89-AG65,FALSE),0)</f>
        <v>0</v>
      </c>
      <c r="E12" s="9">
        <f t="shared" si="15"/>
        <v>0</v>
      </c>
      <c r="F12" s="9">
        <f t="shared" si="2"/>
        <v>24</v>
      </c>
      <c r="G12" s="77">
        <f>IFERROR(VLOOKUP(Vaktplan!$A$40,Vaktplan!$AR$4:$CL$35,86-AH65,FALSE),0)</f>
        <v>0</v>
      </c>
      <c r="H12" s="77">
        <f>IFERROR(VLOOKUP(Vaktplan!$A$40,Vaktplan!$AR$4:$CL$35,86-AG65,FALSE),0)</f>
        <v>0</v>
      </c>
      <c r="I12" s="9">
        <f>IFERROR(VLOOKUP(Vaktplan!$A$40,Vaktplan!$AR$4:$CL$35,89-$AH65,FALSE),0)</f>
        <v>0</v>
      </c>
      <c r="J12" s="9">
        <f t="shared" si="3"/>
        <v>0</v>
      </c>
      <c r="K12" s="9">
        <f t="shared" si="4"/>
        <v>24</v>
      </c>
      <c r="L12" s="77">
        <f>IFERROR(VLOOKUP(Vaktplan!$A$40,Vaktplan!$AS$4:$CL$35,86-AI65,FALSE),0)</f>
        <v>0</v>
      </c>
      <c r="M12" s="77">
        <f>IFERROR(VLOOKUP(Vaktplan!$A$40,Vaktplan!$AS$4:$CL$35,86-AH65,FALSE),0)</f>
        <v>0</v>
      </c>
      <c r="N12" s="9">
        <f>IFERROR(VLOOKUP(Vaktplan!$A$40,Vaktplan!$AS$4:$CL$35,89-$AI65,FALSE),0)</f>
        <v>0</v>
      </c>
      <c r="O12" s="9">
        <f t="shared" si="5"/>
        <v>0</v>
      </c>
      <c r="P12" s="9">
        <f t="shared" si="6"/>
        <v>24</v>
      </c>
      <c r="Q12" s="77">
        <f>IFERROR(VLOOKUP(Vaktplan!$A$40,Vaktplan!$AT$4:$CL$35,86-AJ65,FALSE),0)</f>
        <v>0</v>
      </c>
      <c r="R12" s="77">
        <f>IFERROR(VLOOKUP(Vaktplan!$A$40,Vaktplan!$AT$4:$CL$35,86-AI65,FALSE),0)</f>
        <v>0</v>
      </c>
      <c r="S12" s="9">
        <f>IFERROR(VLOOKUP(Vaktplan!$A$40,Vaktplan!$AT$4:$CL$35,89-$AJ65,FALSE),0)</f>
        <v>0</v>
      </c>
      <c r="T12" s="9">
        <f t="shared" si="0"/>
        <v>0</v>
      </c>
      <c r="U12" s="9">
        <f t="shared" si="7"/>
        <v>24</v>
      </c>
      <c r="V12" s="77">
        <f>IFERROR(VLOOKUP(Vaktplan!$A$40,Vaktplan!$AU$4:$CL$35,86-AK65,FALSE),0)</f>
        <v>0</v>
      </c>
      <c r="W12" s="77">
        <f>IFERROR(VLOOKUP(Vaktplan!$A$40,Vaktplan!$AU$4:$CL$35,86-AJ65,FALSE),0)</f>
        <v>0</v>
      </c>
      <c r="X12" s="9">
        <f>IFERROR(VLOOKUP(Vaktplan!$A$40,Vaktplan!$AU$4:$CL$35,89-$AK65,FALSE),0)</f>
        <v>0</v>
      </c>
      <c r="Y12" s="9">
        <f t="shared" si="8"/>
        <v>0</v>
      </c>
      <c r="Z12" s="9">
        <f t="shared" si="9"/>
        <v>24</v>
      </c>
      <c r="AA12" s="77">
        <f>IFERROR(VLOOKUP(Vaktplan!$A$40,Vaktplan!$AV$4:$CL$35,86-AL65,FALSE),0)</f>
        <v>0</v>
      </c>
      <c r="AB12" s="77">
        <f>IFERROR(VLOOKUP(Vaktplan!$A$40,Vaktplan!$AV$4:$CL$35,86-AK65,FALSE),0)</f>
        <v>0</v>
      </c>
      <c r="AC12" s="9">
        <f>IFERROR(VLOOKUP(Vaktplan!$A$40,Vaktplan!$AV$4:$CL$35,89-$AL65,FALSE),0)</f>
        <v>0</v>
      </c>
      <c r="AD12" s="9">
        <f t="shared" si="10"/>
        <v>0</v>
      </c>
      <c r="AE12" s="9">
        <f t="shared" si="11"/>
        <v>24</v>
      </c>
      <c r="AF12" s="77">
        <f>IFERROR(VLOOKUP(Vaktplan!$A$40,Vaktplan!$AW$4:$CL$35,86-AM65,FALSE),0)</f>
        <v>0</v>
      </c>
      <c r="AG12" s="77">
        <f>IFERROR(VLOOKUP(Vaktplan!$A$40,Vaktplan!$AW$4:$CL$35,86-AL65,FALSE),0)</f>
        <v>0</v>
      </c>
      <c r="AH12" s="9">
        <f>IFERROR(VLOOKUP(Vaktplan!$A$40,Vaktplan!$AW$4:$CL$35,89-$AM65,FALSE),0)</f>
        <v>0</v>
      </c>
      <c r="AI12" s="9">
        <f t="shared" si="12"/>
        <v>0</v>
      </c>
      <c r="AJ12" s="9">
        <f t="shared" si="13"/>
        <v>24</v>
      </c>
      <c r="AK12" s="9">
        <f t="shared" si="1"/>
        <v>0</v>
      </c>
      <c r="AL12" s="10">
        <f t="shared" si="14"/>
        <v>24</v>
      </c>
      <c r="AM12" s="10">
        <f t="shared" si="14"/>
        <v>0</v>
      </c>
    </row>
    <row r="13" spans="1:39" ht="13" x14ac:dyDescent="0.25">
      <c r="A13" s="7">
        <f>IF($M$1&gt;=8,8,0)</f>
        <v>0</v>
      </c>
      <c r="B13" s="77">
        <f>IFERROR(VLOOKUP(Vaktplan!$A$40,Vaktplan!$AX$4:$CL$35,87-AH66,FALSE),0)</f>
        <v>0</v>
      </c>
      <c r="C13" s="77">
        <f>IFERROR(VLOOKUP(Vaktplan!$A$40,Vaktplan!$AX$4:$CL$35,87-AG66,FALSE),0)</f>
        <v>0</v>
      </c>
      <c r="D13" s="9">
        <f>IFERROR(VLOOKUP(Vaktplan!$A$40,Vaktplan!$AX$4:$CL$35,89-AG66,FALSE),0)</f>
        <v>0</v>
      </c>
      <c r="E13" s="9">
        <f t="shared" si="15"/>
        <v>0</v>
      </c>
      <c r="F13" s="9">
        <f t="shared" si="2"/>
        <v>24</v>
      </c>
      <c r="G13" s="77">
        <f>IFERROR(VLOOKUP(Vaktplan!$A$40,Vaktplan!$AY$4:$CL$35,86-AH66,FALSE),0)</f>
        <v>0</v>
      </c>
      <c r="H13" s="77">
        <f>IFERROR(VLOOKUP(Vaktplan!$A$40,Vaktplan!$AY$4:$CL$35,86-AG66,FALSE),0)</f>
        <v>0</v>
      </c>
      <c r="I13" s="9">
        <f>IFERROR(VLOOKUP(Vaktplan!$A$40,Vaktplan!$AY$4:$CL$35,89-$AH66,FALSE),0)</f>
        <v>0</v>
      </c>
      <c r="J13" s="9">
        <f t="shared" si="3"/>
        <v>0</v>
      </c>
      <c r="K13" s="9">
        <f t="shared" si="4"/>
        <v>24</v>
      </c>
      <c r="L13" s="77">
        <f>IFERROR(VLOOKUP(Vaktplan!$A$40,Vaktplan!$AZ$4:$CL$35,86-AI66,FALSE),0)</f>
        <v>0</v>
      </c>
      <c r="M13" s="77">
        <f>IFERROR(VLOOKUP(Vaktplan!$A$40,Vaktplan!$AZ$4:$CL$35,86-AH66,FALSE),0)</f>
        <v>0</v>
      </c>
      <c r="N13" s="9">
        <f>IFERROR(VLOOKUP(Vaktplan!$A$40,Vaktplan!$AZ$4:$CL$35,89-$AI66,FALSE),0)</f>
        <v>0</v>
      </c>
      <c r="O13" s="9">
        <f t="shared" si="5"/>
        <v>0</v>
      </c>
      <c r="P13" s="9">
        <f t="shared" si="6"/>
        <v>24</v>
      </c>
      <c r="Q13" s="77">
        <f>IFERROR(VLOOKUP(Vaktplan!$A$40,Vaktplan!$BA$4:$CL$35,86-AJ66,FALSE),0)</f>
        <v>0</v>
      </c>
      <c r="R13" s="77">
        <f>IFERROR(VLOOKUP(Vaktplan!$A$40,Vaktplan!$BA$4:$CL$35,86-AI66,FALSE),0)</f>
        <v>0</v>
      </c>
      <c r="S13" s="9">
        <f>IFERROR(VLOOKUP(Vaktplan!$A$40,Vaktplan!$BA$4:$CL$35,89-$AJ66,FALSE),0)</f>
        <v>0</v>
      </c>
      <c r="T13" s="9">
        <f t="shared" si="0"/>
        <v>0</v>
      </c>
      <c r="U13" s="9">
        <f t="shared" si="7"/>
        <v>24</v>
      </c>
      <c r="V13" s="77">
        <f>IFERROR(VLOOKUP(Vaktplan!$A$40,Vaktplan!$BB$4:$CL$35,86-AK66,FALSE),0)</f>
        <v>0</v>
      </c>
      <c r="W13" s="77">
        <f>IFERROR(VLOOKUP(Vaktplan!$A$40,Vaktplan!$BB$4:$CL$35,86-AJ66,FALSE),0)</f>
        <v>0</v>
      </c>
      <c r="X13" s="9">
        <f>IFERROR(VLOOKUP(Vaktplan!$A$40,Vaktplan!$BB$4:$CL$35,89-$AK66,FALSE),0)</f>
        <v>0</v>
      </c>
      <c r="Y13" s="9">
        <f t="shared" si="8"/>
        <v>0</v>
      </c>
      <c r="Z13" s="9">
        <f t="shared" si="9"/>
        <v>24</v>
      </c>
      <c r="AA13" s="77">
        <f>IFERROR(VLOOKUP(Vaktplan!$A$40,Vaktplan!$BC$4:$CL$35,86-AL66,FALSE),0)</f>
        <v>0</v>
      </c>
      <c r="AB13" s="77">
        <f>IFERROR(VLOOKUP(Vaktplan!$A$40,Vaktplan!$BC$4:$CL$35,86-AK66,FALSE),0)</f>
        <v>0</v>
      </c>
      <c r="AC13" s="9">
        <f>IFERROR(VLOOKUP(Vaktplan!$A$40,Vaktplan!$BC$4:$CL$35,89-$AL66,FALSE),0)</f>
        <v>0</v>
      </c>
      <c r="AD13" s="9">
        <f t="shared" si="10"/>
        <v>0</v>
      </c>
      <c r="AE13" s="9">
        <f t="shared" si="11"/>
        <v>24</v>
      </c>
      <c r="AF13" s="77">
        <f>IFERROR(VLOOKUP(Vaktplan!$A$40,Vaktplan!$BD$4:$CL$35,86-AM66,FALSE),0)</f>
        <v>0</v>
      </c>
      <c r="AG13" s="77">
        <f>IFERROR(VLOOKUP(Vaktplan!$A$40,Vaktplan!$BD$4:$CL$35,86-AL66,FALSE),0)</f>
        <v>0</v>
      </c>
      <c r="AH13" s="9">
        <f>IFERROR(VLOOKUP(Vaktplan!$A$40,Vaktplan!$BD$4:$CL$35,89-$AM66,FALSE),0)</f>
        <v>0</v>
      </c>
      <c r="AI13" s="9">
        <f t="shared" si="12"/>
        <v>0</v>
      </c>
      <c r="AJ13" s="9">
        <f t="shared" si="13"/>
        <v>24</v>
      </c>
      <c r="AK13" s="9">
        <f t="shared" si="1"/>
        <v>0</v>
      </c>
      <c r="AL13" s="10">
        <f t="shared" si="14"/>
        <v>24</v>
      </c>
      <c r="AM13" s="10">
        <f t="shared" si="14"/>
        <v>0</v>
      </c>
    </row>
    <row r="14" spans="1:39" ht="13" x14ac:dyDescent="0.25">
      <c r="A14" s="7">
        <v>9</v>
      </c>
      <c r="B14" s="77">
        <f>IFERROR(VLOOKUP(Vaktplan!$A$40,Vaktplan!$BE$4:$CL$35,87-AH67,FALSE),0)</f>
        <v>0</v>
      </c>
      <c r="C14" s="77">
        <f>IFERROR(VLOOKUP(Vaktplan!$A$40,Vaktplan!$BE$4:$CL$35,87-AG67,FALSE),0)</f>
        <v>0</v>
      </c>
      <c r="D14" s="9">
        <f>IFERROR(VLOOKUP(Vaktplan!$A$40,Vaktplan!$BE$4:$CL$35,89-AG67,FALSE),0)</f>
        <v>0</v>
      </c>
      <c r="E14" s="9">
        <f t="shared" si="15"/>
        <v>0</v>
      </c>
      <c r="F14" s="9">
        <f t="shared" si="2"/>
        <v>24</v>
      </c>
      <c r="G14" s="77">
        <f>IFERROR(VLOOKUP(Vaktplan!$A$40,Vaktplan!$BF$4:$CL$35,86-AH67,FALSE),0)</f>
        <v>0</v>
      </c>
      <c r="H14" s="77">
        <f>IFERROR(VLOOKUP(Vaktplan!$A$40,Vaktplan!$BF$4:$CL$35,86-AG67,FALSE),0)</f>
        <v>0</v>
      </c>
      <c r="I14" s="9">
        <f>IFERROR(VLOOKUP(Vaktplan!$A$40,Vaktplan!$BF$4:$CL$35,89-$AH67,FALSE),0)</f>
        <v>0</v>
      </c>
      <c r="J14" s="9">
        <f t="shared" si="3"/>
        <v>0</v>
      </c>
      <c r="K14" s="9">
        <f t="shared" si="4"/>
        <v>24</v>
      </c>
      <c r="L14" s="77">
        <f>IFERROR(VLOOKUP(Vaktplan!$A$40,Vaktplan!$BG$4:$CL$35,86-AI67,FALSE),0)</f>
        <v>0</v>
      </c>
      <c r="M14" s="77">
        <f>IFERROR(VLOOKUP(Vaktplan!$A$40,Vaktplan!$BG$4:$CL$35,86-AH67,FALSE),0)</f>
        <v>0</v>
      </c>
      <c r="N14" s="9">
        <f>IFERROR(VLOOKUP(Vaktplan!$A$40,Vaktplan!$BG$4:$CL$35,89-$AI67,FALSE),0)</f>
        <v>0</v>
      </c>
      <c r="O14" s="9">
        <f t="shared" si="5"/>
        <v>0</v>
      </c>
      <c r="P14" s="9">
        <f t="shared" si="6"/>
        <v>24</v>
      </c>
      <c r="Q14" s="77">
        <f>IFERROR(VLOOKUP(Vaktplan!$A$40,Vaktplan!$BH$4:$CL$35,86-AJ67,FALSE),0)</f>
        <v>0</v>
      </c>
      <c r="R14" s="77">
        <f>IFERROR(VLOOKUP(Vaktplan!$A$40,Vaktplan!$BH$4:$CL$35,86-AI67,FALSE),0)</f>
        <v>0</v>
      </c>
      <c r="S14" s="9">
        <f>IFERROR(VLOOKUP(Vaktplan!$A$40,Vaktplan!$BH$4:$CL$35,89-$AJ67,FALSE),0)</f>
        <v>0</v>
      </c>
      <c r="T14" s="9">
        <f t="shared" si="0"/>
        <v>0</v>
      </c>
      <c r="U14" s="9">
        <f t="shared" si="7"/>
        <v>24</v>
      </c>
      <c r="V14" s="77">
        <f>IFERROR(VLOOKUP(Vaktplan!$A$40,Vaktplan!$BI$4:$CL$35,86-AK67,FALSE),0)</f>
        <v>0</v>
      </c>
      <c r="W14" s="77">
        <f>IFERROR(VLOOKUP(Vaktplan!$A$40,Vaktplan!$BI$4:$CL$35,86-AJ67,FALSE),0)</f>
        <v>0</v>
      </c>
      <c r="X14" s="9">
        <f>IFERROR(VLOOKUP(Vaktplan!$A$40,Vaktplan!$BI$4:$CL$35,89-$AK67,FALSE),0)</f>
        <v>0</v>
      </c>
      <c r="Y14" s="9">
        <f>IF(AND(V14=0,W14=0),0,IF(V14&lt;W14,((W14-V14)*24)-X14,(((1-V14)+W14)*24)-X14))</f>
        <v>0</v>
      </c>
      <c r="Z14" s="9">
        <f t="shared" si="9"/>
        <v>24</v>
      </c>
      <c r="AA14" s="77">
        <f>IFERROR(VLOOKUP(Vaktplan!$A$40,Vaktplan!$BJ$4:$CL$35,86-AL67,FALSE),0)</f>
        <v>0</v>
      </c>
      <c r="AB14" s="77">
        <f>IFERROR(VLOOKUP(Vaktplan!$A$40,Vaktplan!$BJ$4:$CL$35,86-AK67,FALSE),0)</f>
        <v>0</v>
      </c>
      <c r="AC14" s="9">
        <f>IFERROR(VLOOKUP(Vaktplan!$A$40,Vaktplan!$BJ$4:$CL$35,89-$AL67,FALSE),0)</f>
        <v>0</v>
      </c>
      <c r="AD14" s="9">
        <f>IF(AND(AA14=0,AB14=0),0,IF(AA14&lt;AB14,((AB14-AA14)*24)-AC14,(((1-AA14)+AB14)*24)-AC14))</f>
        <v>0</v>
      </c>
      <c r="AE14" s="9">
        <f t="shared" si="11"/>
        <v>24</v>
      </c>
      <c r="AF14" s="77">
        <f>IFERROR(VLOOKUP(Vaktplan!$A$40,Vaktplan!$BK$4:$CL$35,86-AM67,FALSE),0)</f>
        <v>0</v>
      </c>
      <c r="AG14" s="77">
        <f>IFERROR(VLOOKUP(Vaktplan!$A$40,Vaktplan!$BK$4:$CL$35,86-AL67,FALSE),0)</f>
        <v>0</v>
      </c>
      <c r="AH14" s="9">
        <f>IFERROR(VLOOKUP(Vaktplan!$A$40,Vaktplan!$BK$4:$CL$35,89-$AM67,FALSE),0)</f>
        <v>0</v>
      </c>
      <c r="AI14" s="9">
        <f>IF(AND(AF14=0,AG14=0),0,IF(AF14&lt;AG14,((AG14-AF14)*24)-AH14,(((1-AF14)+AG14)*24)-AH14))</f>
        <v>0</v>
      </c>
      <c r="AJ14" s="9">
        <f t="shared" si="13"/>
        <v>24</v>
      </c>
      <c r="AK14" s="9">
        <f t="shared" si="1"/>
        <v>0</v>
      </c>
      <c r="AL14" s="10"/>
      <c r="AM14" s="10"/>
    </row>
    <row r="15" spans="1:39" ht="13" x14ac:dyDescent="0.25">
      <c r="A15" s="7">
        <v>10</v>
      </c>
      <c r="B15" s="77">
        <f>IFERROR(VLOOKUP(Vaktplan!$A$40,Vaktplan!$BL$4:$CL$35,87-AH68,FALSE),0)</f>
        <v>0</v>
      </c>
      <c r="C15" s="77">
        <f>IFERROR(VLOOKUP(Vaktplan!$A$40,Vaktplan!$BL$4:$CL$35,87-AG68,FALSE),0)</f>
        <v>0</v>
      </c>
      <c r="D15" s="9">
        <f>IFERROR(VLOOKUP(Vaktplan!$A$40,Vaktplan!$BL$4:$CL$35,89-AG68,FALSE),0)</f>
        <v>0</v>
      </c>
      <c r="E15" s="9">
        <f t="shared" si="15"/>
        <v>0</v>
      </c>
      <c r="F15" s="9">
        <f t="shared" si="2"/>
        <v>24</v>
      </c>
      <c r="G15" s="77">
        <f>IFERROR(VLOOKUP(Vaktplan!$A$40,Vaktplan!$BM$4:$CL$35,86-AH68,FALSE),0)</f>
        <v>0</v>
      </c>
      <c r="H15" s="77">
        <f>IFERROR(VLOOKUP(Vaktplan!$A$40,Vaktplan!$BM$4:$CL$35,86-AG68,FALSE),0)</f>
        <v>0</v>
      </c>
      <c r="I15" s="9">
        <f>IFERROR(VLOOKUP(Vaktplan!$A$40,Vaktplan!$BM$4:$CL$35,89-$AH68,FALSE),0)</f>
        <v>0</v>
      </c>
      <c r="J15" s="9">
        <f t="shared" si="3"/>
        <v>0</v>
      </c>
      <c r="K15" s="9">
        <f t="shared" si="4"/>
        <v>24</v>
      </c>
      <c r="L15" s="77">
        <f>IFERROR(VLOOKUP(Vaktplan!$A$40,Vaktplan!$BN$4:$CL$35,86-AI68,FALSE),0)</f>
        <v>0</v>
      </c>
      <c r="M15" s="77">
        <f>IFERROR(VLOOKUP(Vaktplan!$A$40,Vaktplan!$BN$4:$CL$35,86-AH68,FALSE),0)</f>
        <v>0</v>
      </c>
      <c r="N15" s="9">
        <f>IFERROR(VLOOKUP(Vaktplan!$A$40,Vaktplan!$BN$4:$CL$35,89-$AI68,FALSE),0)</f>
        <v>0</v>
      </c>
      <c r="O15" s="9">
        <f t="shared" si="5"/>
        <v>0</v>
      </c>
      <c r="P15" s="9">
        <f t="shared" si="6"/>
        <v>24</v>
      </c>
      <c r="Q15" s="77">
        <f>IFERROR(VLOOKUP(Vaktplan!$A$40,Vaktplan!$BO$4:$CL$35,86-AJ68,FALSE),0)</f>
        <v>0</v>
      </c>
      <c r="R15" s="77">
        <f>IFERROR(VLOOKUP(Vaktplan!$A$40,Vaktplan!$BO$4:$CL$35,86-AI68,FALSE),0)</f>
        <v>0</v>
      </c>
      <c r="S15" s="9">
        <f>IFERROR(VLOOKUP(Vaktplan!$A$40,Vaktplan!$BO$4:$CL$35,89-$AJ68,FALSE),0)</f>
        <v>0</v>
      </c>
      <c r="T15" s="9">
        <f t="shared" si="0"/>
        <v>0</v>
      </c>
      <c r="U15" s="9">
        <f t="shared" si="7"/>
        <v>24</v>
      </c>
      <c r="V15" s="77">
        <f>IFERROR(VLOOKUP(Vaktplan!$A$40,Vaktplan!$BP$4:$CL$35,86-AK68,FALSE),0)</f>
        <v>0</v>
      </c>
      <c r="W15" s="77">
        <f>IFERROR(VLOOKUP(Vaktplan!$A$40,Vaktplan!$BP$4:$CL$35,86-AJ68,FALSE),0)</f>
        <v>0</v>
      </c>
      <c r="X15" s="9">
        <f>IFERROR(VLOOKUP(Vaktplan!$A$40,Vaktplan!$BP$4:$CL$35,89-$AK68,FALSE),0)</f>
        <v>0</v>
      </c>
      <c r="Y15" s="9">
        <f>IF(AND(V15=0,W15=0),0,IF(V15&lt;W15,((W15-V15)*24)-X15,(((1-V15)+W15)*24)-X15))</f>
        <v>0</v>
      </c>
      <c r="Z15" s="9">
        <f t="shared" si="9"/>
        <v>24</v>
      </c>
      <c r="AA15" s="77">
        <f>IFERROR(VLOOKUP(Vaktplan!$A$40,Vaktplan!$BQ$4:$CL$35,86-AL68,FALSE),0)</f>
        <v>0</v>
      </c>
      <c r="AB15" s="77">
        <f>IFERROR(VLOOKUP(Vaktplan!$A$40,Vaktplan!$BQ$4:$CL$35,86-AK68,FALSE),0)</f>
        <v>0</v>
      </c>
      <c r="AC15" s="9">
        <f>IFERROR(VLOOKUP(Vaktplan!$A$40,Vaktplan!$BQ$4:$CL$35,89-$AL68,FALSE),0)</f>
        <v>0</v>
      </c>
      <c r="AD15" s="9">
        <f>IF(AND(AA15=0,AB15=0),0,IF(AA15&lt;AB15,((AB15-AA15)*24)-AC15,(((1-AA15)+AB15)*24)-AC15))</f>
        <v>0</v>
      </c>
      <c r="AE15" s="9">
        <f t="shared" si="11"/>
        <v>24</v>
      </c>
      <c r="AF15" s="77">
        <f>IFERROR(VLOOKUP(Vaktplan!$A$40,Vaktplan!$BR$4:$CL$35,86-AM68,FALSE),0)</f>
        <v>0</v>
      </c>
      <c r="AG15" s="77">
        <f>IFERROR(VLOOKUP(Vaktplan!$A$40,Vaktplan!$BR$4:$CL$35,86-AL68,FALSE),0)</f>
        <v>0</v>
      </c>
      <c r="AH15" s="9">
        <f>IFERROR(VLOOKUP(Vaktplan!$A$40,Vaktplan!$BR$4:$CL$35,89-$AM68,FALSE),0)</f>
        <v>0</v>
      </c>
      <c r="AI15" s="9">
        <f>IF(AND(AF15=0,AG15=0),0,IF(AF15&lt;AG15,((AG15-AF15)*24)-AH15,(((1-AF15)+AG15)*24)-AH15))</f>
        <v>0</v>
      </c>
      <c r="AJ15" s="9">
        <f t="shared" si="13"/>
        <v>24</v>
      </c>
      <c r="AK15" s="9">
        <f t="shared" si="1"/>
        <v>0</v>
      </c>
      <c r="AL15" s="10"/>
      <c r="AM15" s="10"/>
    </row>
    <row r="16" spans="1:39" ht="13" x14ac:dyDescent="0.25">
      <c r="A16" s="7">
        <v>11</v>
      </c>
      <c r="B16" s="77">
        <f>IFERROR(VLOOKUP(Vaktplan!$A$40,Vaktplan!$BS$4:$CL$35,87-AH69,FALSE),0)</f>
        <v>0</v>
      </c>
      <c r="C16" s="77">
        <f>IFERROR(VLOOKUP(Vaktplan!$A$40,Vaktplan!$BS$4:$CL$35,87-AG69,FALSE),0)</f>
        <v>0</v>
      </c>
      <c r="D16" s="9">
        <f>IFERROR(VLOOKUP(Vaktplan!$A$40,Vaktplan!$BS$4:$CL$35,89-AG69,FALSE),0)</f>
        <v>0</v>
      </c>
      <c r="E16" s="9">
        <f t="shared" si="15"/>
        <v>0</v>
      </c>
      <c r="F16" s="9">
        <f t="shared" si="2"/>
        <v>24</v>
      </c>
      <c r="G16" s="77">
        <f>IFERROR(VLOOKUP(Vaktplan!$A$40,Vaktplan!$BT$4:$CL$35,86-AH69,FALSE),0)</f>
        <v>0</v>
      </c>
      <c r="H16" s="77">
        <f>IFERROR(VLOOKUP(Vaktplan!$A$40,Vaktplan!$BT$4:$CL$35,86-AG69,FALSE),0)</f>
        <v>0</v>
      </c>
      <c r="I16" s="9">
        <f>IFERROR(VLOOKUP(Vaktplan!$A$40,Vaktplan!$BT$4:$CL$35,89-$AH69,FALSE),0)</f>
        <v>0</v>
      </c>
      <c r="J16" s="9">
        <f t="shared" si="3"/>
        <v>0</v>
      </c>
      <c r="K16" s="9">
        <f t="shared" si="4"/>
        <v>24</v>
      </c>
      <c r="L16" s="77">
        <f>IFERROR(VLOOKUP(Vaktplan!$A$40,Vaktplan!$BU$4:$CL$35,86-AI69,FALSE),0)</f>
        <v>0</v>
      </c>
      <c r="M16" s="77">
        <f>IFERROR(VLOOKUP(Vaktplan!$A$40,Vaktplan!$BU$4:$CL$35,86-AH69,FALSE),0)</f>
        <v>0</v>
      </c>
      <c r="N16" s="9">
        <f>IFERROR(VLOOKUP(Vaktplan!$A$40,Vaktplan!$BU$4:$CL$35,89-$AI69,FALSE),0)</f>
        <v>0</v>
      </c>
      <c r="O16" s="9">
        <f t="shared" si="5"/>
        <v>0</v>
      </c>
      <c r="P16" s="9">
        <f t="shared" si="6"/>
        <v>24</v>
      </c>
      <c r="Q16" s="77">
        <f>IFERROR(VLOOKUP(Vaktplan!$A$40,Vaktplan!$BV$4:$CL$35,86-AJ69,FALSE),0)</f>
        <v>0</v>
      </c>
      <c r="R16" s="77">
        <f>IFERROR(VLOOKUP(Vaktplan!$A$40,Vaktplan!$BV$4:$CL$35,86-AI69,FALSE),0)</f>
        <v>0</v>
      </c>
      <c r="S16" s="9">
        <f>IFERROR(VLOOKUP(Vaktplan!$A$40,Vaktplan!$BV$4:$CL$35,89-$AJ69,FALSE),0)</f>
        <v>0</v>
      </c>
      <c r="T16" s="9">
        <f t="shared" si="0"/>
        <v>0</v>
      </c>
      <c r="U16" s="9">
        <f t="shared" si="7"/>
        <v>24</v>
      </c>
      <c r="V16" s="77">
        <f>IFERROR(VLOOKUP(Vaktplan!$A$40,Vaktplan!$BW$4:$CL$35,86-AK69,FALSE),0)</f>
        <v>0</v>
      </c>
      <c r="W16" s="77">
        <f>IFERROR(VLOOKUP(Vaktplan!$A$40,Vaktplan!$BW$4:$CL$35,86-AJ69,FALSE),0)</f>
        <v>0</v>
      </c>
      <c r="X16" s="9">
        <f>IFERROR(VLOOKUP(Vaktplan!$A$40,Vaktplan!$BW$4:$CL$35,89-$AK69,FALSE),0)</f>
        <v>0</v>
      </c>
      <c r="Y16" s="9">
        <f>IF(AND(V16=0,W16=0),0,IF(V16&lt;W16,((W16-V16)*24)-X16,(((1-V16)+W16)*24)-X16))</f>
        <v>0</v>
      </c>
      <c r="Z16" s="9">
        <f t="shared" si="9"/>
        <v>24</v>
      </c>
      <c r="AA16" s="77">
        <f>IFERROR(VLOOKUP(Vaktplan!$A$40,Vaktplan!$BX$4:$CL$35,86-AL69,FALSE),0)</f>
        <v>0</v>
      </c>
      <c r="AB16" s="77">
        <f>IFERROR(VLOOKUP(Vaktplan!$A$40,Vaktplan!$BX$4:$CL$35,86-AK69,FALSE),0)</f>
        <v>0</v>
      </c>
      <c r="AC16" s="9">
        <f>IFERROR(VLOOKUP(Vaktplan!$A$40,Vaktplan!$BX$4:$CL$35,89-$AL69,FALSE),0)</f>
        <v>0</v>
      </c>
      <c r="AD16" s="9">
        <f>IF(AND(AA16=0,AB16=0),0,IF(AA16&lt;AB16,((AB16-AA16)*24)-AC16,(((1-AA16)+AB16)*24)-AC16))</f>
        <v>0</v>
      </c>
      <c r="AE16" s="9">
        <f t="shared" si="11"/>
        <v>24</v>
      </c>
      <c r="AF16" s="77">
        <f>IFERROR(VLOOKUP(Vaktplan!$A$40,Vaktplan!$BY$4:$CL$35,86-AM69,FALSE),0)</f>
        <v>0</v>
      </c>
      <c r="AG16" s="77">
        <f>IFERROR(VLOOKUP(Vaktplan!$A$40,Vaktplan!$BY$4:$CL$35,86-AL69,FALSE),0)</f>
        <v>0</v>
      </c>
      <c r="AH16" s="9">
        <f>IFERROR(VLOOKUP(Vaktplan!$A$40,Vaktplan!$BY$4:$CL$35,89-$AM69,FALSE),0)</f>
        <v>0</v>
      </c>
      <c r="AI16" s="9">
        <f>IF(AND(AF16=0,AG16=0),0,IF(AF16&lt;AG16,((AG16-AF16)*24)-AH16,(((1-AF16)+AG16)*24)-AH16))</f>
        <v>0</v>
      </c>
      <c r="AJ16" s="9">
        <f t="shared" si="13"/>
        <v>24</v>
      </c>
      <c r="AK16" s="9">
        <f t="shared" si="1"/>
        <v>0</v>
      </c>
      <c r="AL16" s="10"/>
      <c r="AM16" s="10"/>
    </row>
    <row r="17" spans="1:43" ht="13" x14ac:dyDescent="0.25">
      <c r="A17" s="7">
        <v>12</v>
      </c>
      <c r="B17" s="77">
        <f>IFERROR(VLOOKUP(Vaktplan!$A$40,Vaktplan!$BZ$4:$CL$35,87-AH70,FALSE),0)</f>
        <v>0</v>
      </c>
      <c r="C17" s="77">
        <f>IFERROR(VLOOKUP(Vaktplan!$A$40,Vaktplan!$BZ$4:$CL$35,87-AG70,FALSE),0)</f>
        <v>0</v>
      </c>
      <c r="D17" s="9">
        <f>IFERROR(VLOOKUP(Vaktplan!$A$40,Vaktplan!$BZ$4:$CL$35,89-AG70,FALSE),0)</f>
        <v>0</v>
      </c>
      <c r="E17" s="9">
        <f t="shared" si="15"/>
        <v>0</v>
      </c>
      <c r="F17" s="9">
        <f t="shared" si="2"/>
        <v>24</v>
      </c>
      <c r="G17" s="77">
        <f>IFERROR(VLOOKUP(Vaktplan!$A$40,Vaktplan!$CA$4:$CL$35,86-AH70,FALSE),0)</f>
        <v>0</v>
      </c>
      <c r="H17" s="77">
        <f>IFERROR(VLOOKUP(Vaktplan!$A$40,Vaktplan!$CA$4:$CL$35,86-AG70,FALSE),0)</f>
        <v>0</v>
      </c>
      <c r="I17" s="9">
        <f>IFERROR(VLOOKUP(Vaktplan!$A$40,Vaktplan!$CA$4:$CL$35,89-$AH70,FALSE),0)</f>
        <v>0</v>
      </c>
      <c r="J17" s="9">
        <f t="shared" si="3"/>
        <v>0</v>
      </c>
      <c r="K17" s="9">
        <f t="shared" si="4"/>
        <v>24</v>
      </c>
      <c r="L17" s="77">
        <f>IFERROR(VLOOKUP(Vaktplan!$A$40,Vaktplan!$CB$4:$CL$35,86-AI70,FALSE),0)</f>
        <v>0</v>
      </c>
      <c r="M17" s="77">
        <f>IFERROR(VLOOKUP(Vaktplan!$A$40,Vaktplan!$CB$4:$CL$35,86-AH70,FALSE),0)</f>
        <v>0</v>
      </c>
      <c r="N17" s="9">
        <f>IFERROR(VLOOKUP(Vaktplan!$A$40,Vaktplan!$CB$4:$CL$35,89-$AI70,FALSE),0)</f>
        <v>0</v>
      </c>
      <c r="O17" s="9">
        <f t="shared" si="5"/>
        <v>0</v>
      </c>
      <c r="P17" s="9">
        <f t="shared" si="6"/>
        <v>24</v>
      </c>
      <c r="Q17" s="77">
        <f>IFERROR(VLOOKUP(Vaktplan!$A$40,Vaktplan!$CC$4:$CL$35,86-AJ70,FALSE),0)</f>
        <v>0</v>
      </c>
      <c r="R17" s="77">
        <f>IFERROR(VLOOKUP(Vaktplan!$A$40,Vaktplan!$CC$4:$CL$35,86-AI70,FALSE),0)</f>
        <v>0</v>
      </c>
      <c r="S17" s="9">
        <f>IFERROR(VLOOKUP(Vaktplan!$A$40,Vaktplan!$CC$4:$CL$35,89-$AJ70,FALSE),0)</f>
        <v>0</v>
      </c>
      <c r="T17" s="9">
        <f t="shared" si="0"/>
        <v>0</v>
      </c>
      <c r="U17" s="9">
        <f t="shared" si="7"/>
        <v>24</v>
      </c>
      <c r="V17" s="77">
        <f>IFERROR(VLOOKUP(Vaktplan!$A$40,Vaktplan!$CD$4:$CL$35,86-AK70,FALSE),0)</f>
        <v>0</v>
      </c>
      <c r="W17" s="77">
        <f>IFERROR(VLOOKUP(Vaktplan!$A$40,Vaktplan!$CD$4:$CL$35,86-AJ70,FALSE),0)</f>
        <v>0</v>
      </c>
      <c r="X17" s="9">
        <f>IFERROR(VLOOKUP(Vaktplan!$A$40,Vaktplan!$CD$4:$CL$35,89-$AK70,FALSE),0)</f>
        <v>0</v>
      </c>
      <c r="Y17" s="9">
        <f>IF(AND(V17=0,W17=0),0,IF(V17&lt;W17,((W17-V17)*24)-X17,(((1-V17)+W17)*24)-X17))</f>
        <v>0</v>
      </c>
      <c r="Z17" s="9">
        <f t="shared" si="9"/>
        <v>24</v>
      </c>
      <c r="AA17" s="77">
        <f>IFERROR(VLOOKUP(Vaktplan!$A$40,Vaktplan!$CE$4:$CL$35,86-AL70,FALSE),0)</f>
        <v>0</v>
      </c>
      <c r="AB17" s="77">
        <f>IFERROR(VLOOKUP(Vaktplan!$A$40,Vaktplan!$CE$4:$CL$35,86-AK70,FALSE),0)</f>
        <v>0</v>
      </c>
      <c r="AC17" s="9">
        <f>IFERROR(VLOOKUP(Vaktplan!$A$40,Vaktplan!$CE$4:$FCE$35,89-$AL70,FALSE),0)</f>
        <v>0</v>
      </c>
      <c r="AD17" s="9">
        <f>IF(AND(AA17=0,AB17=0),0,IF(AA17&lt;AB17,((AB17-AA17)*24)-AC17,(((1-AA17)+AB17)*24)-AC17))</f>
        <v>0</v>
      </c>
      <c r="AE17" s="9">
        <f t="shared" si="11"/>
        <v>24</v>
      </c>
      <c r="AF17" s="77">
        <f>IFERROR(VLOOKUP(Vaktplan!$A$40,Vaktplan!$CF$4:$CL$35,86-AM70,FALSE),0)</f>
        <v>0</v>
      </c>
      <c r="AG17" s="77">
        <f>IFERROR(VLOOKUP(Vaktplan!$A$40,Vaktplan!$CF$4:$CL$35,86-AL70,FALSE),0)</f>
        <v>0</v>
      </c>
      <c r="AH17" s="9">
        <f>IFERROR(VLOOKUP(Vaktplan!$A$40,Vaktplan!$CF$4:$CL$35,89-$AM70,FALSE),0)</f>
        <v>0</v>
      </c>
      <c r="AI17" s="9">
        <f>IF(AND(AF17=0,AG17=0),0,IF(AF17&lt;AG17,((AG17-AF17)*24)-AH17,(((1-AF17)+AG17)*24)-AH17))</f>
        <v>0</v>
      </c>
      <c r="AJ17" s="9">
        <f t="shared" si="13"/>
        <v>24</v>
      </c>
      <c r="AK17" s="9">
        <f t="shared" si="1"/>
        <v>0</v>
      </c>
      <c r="AL17" s="10"/>
      <c r="AM17" s="10"/>
    </row>
    <row r="19" spans="1:43" ht="13" x14ac:dyDescent="0.3">
      <c r="A19" s="4" t="s">
        <v>76</v>
      </c>
    </row>
    <row r="20" spans="1:43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3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3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3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3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6" spans="1:43" ht="13" x14ac:dyDescent="0.3">
      <c r="A26" s="4" t="s">
        <v>77</v>
      </c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</row>
    <row r="27" spans="1:43" ht="13" x14ac:dyDescent="0.3">
      <c r="A27" s="3" t="s">
        <v>78</v>
      </c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80" t="s">
        <v>79</v>
      </c>
      <c r="AM27" s="78"/>
      <c r="AN27" s="78"/>
      <c r="AO27" s="78"/>
    </row>
    <row r="28" spans="1:43" ht="13" x14ac:dyDescent="0.3">
      <c r="A28" s="98" t="s">
        <v>36</v>
      </c>
      <c r="B28" s="98"/>
      <c r="C28" s="98"/>
      <c r="D28" s="88"/>
      <c r="E28" s="8">
        <f>E2</f>
        <v>1</v>
      </c>
      <c r="F28" s="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>
        <v>1</v>
      </c>
      <c r="AM28" s="78"/>
      <c r="AN28" s="78"/>
      <c r="AO28" s="78"/>
    </row>
    <row r="29" spans="1:43" ht="13" x14ac:dyDescent="0.3">
      <c r="A29" s="98" t="s">
        <v>80</v>
      </c>
      <c r="B29" s="98"/>
      <c r="C29" s="98"/>
      <c r="D29" s="88"/>
      <c r="E29" s="5">
        <f>E3</f>
        <v>0</v>
      </c>
      <c r="F29" s="5"/>
      <c r="T29" s="10"/>
      <c r="U29" s="10"/>
      <c r="V29" s="10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80" t="s">
        <v>81</v>
      </c>
      <c r="AH29" s="80"/>
      <c r="AI29" s="78"/>
      <c r="AJ29" s="78"/>
      <c r="AK29" s="78"/>
      <c r="AL29" s="78">
        <v>2</v>
      </c>
      <c r="AM29" s="78"/>
      <c r="AN29" s="78"/>
      <c r="AO29" s="78"/>
      <c r="AP29" s="10"/>
      <c r="AQ29" s="10"/>
    </row>
    <row r="30" spans="1:43" ht="13" x14ac:dyDescent="0.3">
      <c r="A30" s="98" t="s">
        <v>82</v>
      </c>
      <c r="B30" s="98"/>
      <c r="C30" s="98"/>
      <c r="D30" s="88"/>
      <c r="T30" s="10"/>
      <c r="U30" s="10"/>
      <c r="V30" s="10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>
        <v>3</v>
      </c>
      <c r="AM30" s="78"/>
      <c r="AN30" s="78"/>
      <c r="AO30" s="78"/>
      <c r="AP30" s="10"/>
      <c r="AQ30" s="10"/>
    </row>
    <row r="31" spans="1:43" ht="13" x14ac:dyDescent="0.3">
      <c r="A31" s="4" t="s">
        <v>83</v>
      </c>
      <c r="B31" s="4" t="s">
        <v>84</v>
      </c>
      <c r="C31" s="4" t="s">
        <v>85</v>
      </c>
      <c r="D31" s="98" t="s">
        <v>86</v>
      </c>
      <c r="E31" s="98"/>
      <c r="F31" s="4" t="s">
        <v>87</v>
      </c>
      <c r="G31" s="4" t="s">
        <v>88</v>
      </c>
      <c r="H31" s="98" t="s">
        <v>27</v>
      </c>
      <c r="I31" s="98"/>
      <c r="J31" s="4" t="s">
        <v>28</v>
      </c>
      <c r="K31" s="4" t="s">
        <v>29</v>
      </c>
      <c r="L31" s="4" t="s">
        <v>30</v>
      </c>
      <c r="M31" s="4" t="s">
        <v>31</v>
      </c>
      <c r="N31" s="98" t="s">
        <v>32</v>
      </c>
      <c r="O31" s="98"/>
      <c r="T31" s="10"/>
      <c r="U31" s="10"/>
      <c r="V31" s="10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80" t="s">
        <v>9</v>
      </c>
      <c r="AH31" s="80"/>
      <c r="AI31" s="78"/>
      <c r="AJ31" s="78"/>
      <c r="AK31" s="78"/>
      <c r="AL31" s="78">
        <v>4</v>
      </c>
      <c r="AM31" s="78"/>
      <c r="AN31" s="78"/>
      <c r="AO31" s="78"/>
      <c r="AP31" s="10"/>
      <c r="AQ31" s="10"/>
    </row>
    <row r="32" spans="1:43" ht="13" x14ac:dyDescent="0.3">
      <c r="A32" s="3">
        <f>AK6</f>
        <v>75.000000000000014</v>
      </c>
      <c r="B32" s="3">
        <f>AK7</f>
        <v>0</v>
      </c>
      <c r="C32" s="3">
        <f>AK8</f>
        <v>0</v>
      </c>
      <c r="D32" s="101">
        <f>AK9</f>
        <v>0</v>
      </c>
      <c r="E32" s="101"/>
      <c r="F32" s="3">
        <f>AK10</f>
        <v>0</v>
      </c>
      <c r="G32" s="3">
        <f>AK11</f>
        <v>0</v>
      </c>
      <c r="H32" s="101">
        <f>AK12</f>
        <v>0</v>
      </c>
      <c r="I32" s="101"/>
      <c r="J32" s="3">
        <f>AK13</f>
        <v>0</v>
      </c>
      <c r="K32" s="3">
        <f>AK14</f>
        <v>0</v>
      </c>
      <c r="L32" s="3">
        <f>AK15</f>
        <v>0</v>
      </c>
      <c r="M32" s="3">
        <f>AK16</f>
        <v>0</v>
      </c>
      <c r="N32" s="101">
        <f>AK17</f>
        <v>0</v>
      </c>
      <c r="O32" s="101"/>
      <c r="T32" s="11" t="s">
        <v>70</v>
      </c>
      <c r="U32" s="10" t="s">
        <v>89</v>
      </c>
      <c r="V32" s="10" t="s">
        <v>90</v>
      </c>
      <c r="W32" s="78" t="s">
        <v>91</v>
      </c>
      <c r="X32" s="78" t="s">
        <v>92</v>
      </c>
      <c r="Y32" s="78" t="s">
        <v>93</v>
      </c>
      <c r="Z32" s="78" t="s">
        <v>94</v>
      </c>
      <c r="AA32" s="78"/>
      <c r="AB32" s="78"/>
      <c r="AC32" s="78"/>
      <c r="AD32" s="78"/>
      <c r="AE32" s="78"/>
      <c r="AF32" s="78"/>
      <c r="AG32" s="78" t="s">
        <v>10</v>
      </c>
      <c r="AH32" s="78"/>
      <c r="AI32" s="79">
        <v>42177</v>
      </c>
      <c r="AJ32" s="79"/>
      <c r="AK32" s="78"/>
      <c r="AL32" s="78">
        <v>5</v>
      </c>
      <c r="AM32" s="78"/>
      <c r="AN32" s="78"/>
      <c r="AO32" s="78"/>
      <c r="AP32" s="10"/>
      <c r="AQ32" s="10"/>
    </row>
    <row r="33" spans="1:43" ht="13" x14ac:dyDescent="0.3">
      <c r="A33" s="98" t="s">
        <v>95</v>
      </c>
      <c r="B33" s="98"/>
      <c r="C33" s="98"/>
      <c r="D33" s="88"/>
      <c r="G33" s="101"/>
      <c r="H33" s="101"/>
      <c r="I33" s="90"/>
      <c r="T33" s="10">
        <v>1</v>
      </c>
      <c r="U33" s="10">
        <f>IF(AND(B6&gt;0,G6&gt;0),0,IF(AND(G6&gt;0),0,F6+K6))</f>
        <v>0</v>
      </c>
      <c r="V33" s="10">
        <f>IF(AND(G6&gt;0,L6&gt;0),0,IF(AND(L6&gt;0),0,K6+P6))</f>
        <v>0</v>
      </c>
      <c r="W33" s="78">
        <f>IF(AND(L6&gt;0,Q6&gt;0),0,IF(AND(Q6&gt;0),0,P6+U6))</f>
        <v>0</v>
      </c>
      <c r="X33" s="78">
        <f>IF(AND(Q6&gt;0,V6&gt;0),0,IF(AND(V6&gt;0),0,U6+Z6))</f>
        <v>0</v>
      </c>
      <c r="Y33" s="78">
        <f>IF(AND(V6&gt;0,AA6&gt;0),0,IF(AND(AA6&gt;0),0,Z6+AE6))</f>
        <v>0</v>
      </c>
      <c r="Z33" s="78">
        <f>IF(AND(AA6&gt;0,AF6&gt;0),0,IF(AND(AF6&gt;0),0,AE6+AJ6))</f>
        <v>40</v>
      </c>
      <c r="AA33" s="78"/>
      <c r="AB33" s="78"/>
      <c r="AC33" s="78"/>
      <c r="AD33" s="78"/>
      <c r="AE33" s="78"/>
      <c r="AF33" s="78"/>
      <c r="AG33" s="78" t="s">
        <v>11</v>
      </c>
      <c r="AH33" s="78"/>
      <c r="AI33" s="79">
        <v>42178</v>
      </c>
      <c r="AJ33" s="79"/>
      <c r="AK33" s="78"/>
      <c r="AL33" s="78">
        <v>6</v>
      </c>
      <c r="AM33" s="78"/>
      <c r="AN33" s="78"/>
      <c r="AO33" s="78"/>
      <c r="AP33" s="10"/>
      <c r="AQ33" s="10"/>
    </row>
    <row r="34" spans="1:43" x14ac:dyDescent="0.25">
      <c r="A34" s="101" t="s">
        <v>96</v>
      </c>
      <c r="B34" s="101"/>
      <c r="C34" s="3">
        <f>(AK6+AK7+AK8+AK9+AK10+AK11+AK12+AK13+AK14+AK15+AK16+AK17)/M1</f>
        <v>18.750000000000004</v>
      </c>
      <c r="T34" s="10">
        <v>2</v>
      </c>
      <c r="U34" s="10">
        <f t="shared" ref="U34:U40" si="16">IF(AND(B7&gt;0,G7&gt;0),0,IF(AND(G7&gt;0),0,F7+K7))</f>
        <v>48</v>
      </c>
      <c r="V34" s="10">
        <f t="shared" ref="V34:V40" si="17">IF(AND(G7&gt;0,L7&gt;0),0,IF(AND(L7&gt;0),0,K7+P7))</f>
        <v>48</v>
      </c>
      <c r="W34" s="78">
        <f t="shared" ref="W34:W40" si="18">IF(AND(L7&gt;0,Q7&gt;0),0,IF(AND(Q7&gt;0),0,P7+U7))</f>
        <v>48</v>
      </c>
      <c r="X34" s="78">
        <f t="shared" ref="X34:X40" si="19">IF(AND(Q7&gt;0,V7&gt;0),0,IF(AND(V7&gt;0),0,U7+Z7))</f>
        <v>48</v>
      </c>
      <c r="Y34" s="78">
        <f t="shared" ref="Y34:Y40" si="20">IF(AND(V7&gt;0,AA7&gt;0),0,IF(AND(AA7&gt;0),0,Z7+AE7))</f>
        <v>48</v>
      </c>
      <c r="Z34" s="78">
        <f t="shared" ref="Z34:Z40" si="21">IF(AND(AA7&gt;0,AF7&gt;0),0,IF(AND(AF7&gt;0),0,AE7+AJ7))</f>
        <v>48</v>
      </c>
      <c r="AA34" s="78"/>
      <c r="AB34" s="78"/>
      <c r="AC34" s="78"/>
      <c r="AD34" s="78"/>
      <c r="AE34" s="78"/>
      <c r="AF34" s="78"/>
      <c r="AG34" s="78" t="s">
        <v>12</v>
      </c>
      <c r="AH34" s="78"/>
      <c r="AI34" s="79">
        <v>42179</v>
      </c>
      <c r="AJ34" s="79"/>
      <c r="AK34" s="78"/>
      <c r="AL34" s="78">
        <v>7</v>
      </c>
      <c r="AM34" s="78"/>
      <c r="AN34" s="78"/>
      <c r="AO34" s="78"/>
      <c r="AP34" s="10"/>
      <c r="AQ34" s="10"/>
    </row>
    <row r="35" spans="1:43" x14ac:dyDescent="0.25">
      <c r="T35" s="10">
        <v>3</v>
      </c>
      <c r="U35" s="10">
        <f t="shared" si="16"/>
        <v>48</v>
      </c>
      <c r="V35" s="10">
        <f t="shared" si="17"/>
        <v>48</v>
      </c>
      <c r="W35" s="78">
        <f t="shared" si="18"/>
        <v>48</v>
      </c>
      <c r="X35" s="78">
        <f t="shared" si="19"/>
        <v>48</v>
      </c>
      <c r="Y35" s="78">
        <f t="shared" si="20"/>
        <v>48</v>
      </c>
      <c r="Z35" s="78">
        <f t="shared" si="21"/>
        <v>48</v>
      </c>
      <c r="AA35" s="78"/>
      <c r="AB35" s="78"/>
      <c r="AC35" s="78"/>
      <c r="AD35" s="78"/>
      <c r="AE35" s="78"/>
      <c r="AF35" s="78"/>
      <c r="AG35" s="78" t="s">
        <v>13</v>
      </c>
      <c r="AH35" s="78"/>
      <c r="AI35" s="79">
        <v>42180</v>
      </c>
      <c r="AJ35" s="79"/>
      <c r="AK35" s="78"/>
      <c r="AL35" s="78">
        <v>8</v>
      </c>
      <c r="AM35" s="78"/>
      <c r="AN35" s="78"/>
      <c r="AO35" s="78"/>
      <c r="AP35" s="78"/>
      <c r="AQ35" s="10"/>
    </row>
    <row r="36" spans="1:43" ht="13" x14ac:dyDescent="0.3">
      <c r="A36" s="98" t="s">
        <v>97</v>
      </c>
      <c r="B36" s="98"/>
      <c r="C36" s="98"/>
      <c r="D36" s="98"/>
      <c r="E36" s="98"/>
      <c r="F36" s="88"/>
      <c r="T36" s="10">
        <v>4</v>
      </c>
      <c r="U36" s="10">
        <f t="shared" si="16"/>
        <v>48</v>
      </c>
      <c r="V36" s="10">
        <f t="shared" si="17"/>
        <v>48</v>
      </c>
      <c r="W36" s="78">
        <f t="shared" si="18"/>
        <v>48</v>
      </c>
      <c r="X36" s="78">
        <f t="shared" si="19"/>
        <v>48</v>
      </c>
      <c r="Y36" s="78">
        <f t="shared" si="20"/>
        <v>48</v>
      </c>
      <c r="Z36" s="78">
        <f t="shared" si="21"/>
        <v>48</v>
      </c>
      <c r="AA36" s="78"/>
      <c r="AB36" s="78"/>
      <c r="AC36" s="78"/>
      <c r="AD36" s="78"/>
      <c r="AE36" s="78"/>
      <c r="AF36" s="78"/>
      <c r="AG36" s="78" t="s">
        <v>14</v>
      </c>
      <c r="AH36" s="78"/>
      <c r="AI36" s="79">
        <v>42181</v>
      </c>
      <c r="AJ36" s="79"/>
      <c r="AK36" s="78"/>
      <c r="AL36" s="3">
        <v>9</v>
      </c>
      <c r="AM36" s="78"/>
      <c r="AN36" s="78"/>
      <c r="AO36" s="78"/>
      <c r="AP36" s="78"/>
      <c r="AQ36" s="10"/>
    </row>
    <row r="37" spans="1:43" x14ac:dyDescent="0.25">
      <c r="A37" s="99" t="e">
        <f>C34/E3</f>
        <v>#DIV/0!</v>
      </c>
      <c r="B37" s="99"/>
      <c r="C37" s="99"/>
      <c r="T37" s="10">
        <v>5</v>
      </c>
      <c r="U37" s="10">
        <f t="shared" si="16"/>
        <v>48</v>
      </c>
      <c r="V37" s="10">
        <f t="shared" si="17"/>
        <v>48</v>
      </c>
      <c r="W37" s="78">
        <f t="shared" si="18"/>
        <v>48</v>
      </c>
      <c r="X37" s="78">
        <f t="shared" si="19"/>
        <v>48</v>
      </c>
      <c r="Y37" s="78">
        <f t="shared" si="20"/>
        <v>48</v>
      </c>
      <c r="Z37" s="78">
        <f t="shared" si="21"/>
        <v>48</v>
      </c>
      <c r="AA37" s="78"/>
      <c r="AB37" s="78"/>
      <c r="AC37" s="78"/>
      <c r="AD37" s="78"/>
      <c r="AE37" s="78"/>
      <c r="AF37" s="78"/>
      <c r="AG37" s="78" t="s">
        <v>15</v>
      </c>
      <c r="AH37" s="78"/>
      <c r="AI37" s="79">
        <v>42182</v>
      </c>
      <c r="AJ37" s="79"/>
      <c r="AK37" s="78"/>
      <c r="AL37" s="3">
        <v>10</v>
      </c>
      <c r="AM37" s="78"/>
      <c r="AN37" s="78"/>
      <c r="AO37" s="78"/>
      <c r="AP37" s="78"/>
      <c r="AQ37" s="10"/>
    </row>
    <row r="38" spans="1:43" x14ac:dyDescent="0.25">
      <c r="T38" s="10">
        <v>6</v>
      </c>
      <c r="U38" s="10">
        <f t="shared" si="16"/>
        <v>48</v>
      </c>
      <c r="V38" s="10">
        <f t="shared" si="17"/>
        <v>48</v>
      </c>
      <c r="W38" s="78">
        <f t="shared" si="18"/>
        <v>48</v>
      </c>
      <c r="X38" s="78">
        <f t="shared" si="19"/>
        <v>48</v>
      </c>
      <c r="Y38" s="78">
        <f t="shared" si="20"/>
        <v>48</v>
      </c>
      <c r="Z38" s="78">
        <f t="shared" si="21"/>
        <v>48</v>
      </c>
      <c r="AA38" s="78"/>
      <c r="AB38" s="78"/>
      <c r="AC38" s="78"/>
      <c r="AD38" s="78"/>
      <c r="AE38" s="78"/>
      <c r="AF38" s="78"/>
      <c r="AG38" s="78" t="s">
        <v>16</v>
      </c>
      <c r="AH38" s="78"/>
      <c r="AI38" s="79">
        <v>42183</v>
      </c>
      <c r="AJ38" s="79"/>
      <c r="AK38" s="78"/>
      <c r="AL38" s="3">
        <v>11</v>
      </c>
      <c r="AM38" s="78"/>
      <c r="AN38" s="78"/>
      <c r="AO38" s="78"/>
      <c r="AP38" s="78"/>
      <c r="AQ38" s="10"/>
    </row>
    <row r="39" spans="1:43" x14ac:dyDescent="0.25">
      <c r="T39" s="10">
        <v>7</v>
      </c>
      <c r="U39" s="10">
        <f t="shared" si="16"/>
        <v>48</v>
      </c>
      <c r="V39" s="10">
        <f t="shared" si="17"/>
        <v>48</v>
      </c>
      <c r="W39" s="78">
        <f t="shared" si="18"/>
        <v>48</v>
      </c>
      <c r="X39" s="78">
        <f t="shared" si="19"/>
        <v>48</v>
      </c>
      <c r="Y39" s="78">
        <f t="shared" si="20"/>
        <v>48</v>
      </c>
      <c r="Z39" s="78">
        <f t="shared" si="21"/>
        <v>48</v>
      </c>
      <c r="AA39" s="78"/>
      <c r="AB39" s="78"/>
      <c r="AC39" s="78"/>
      <c r="AD39" s="78"/>
      <c r="AE39" s="78"/>
      <c r="AF39" s="78"/>
      <c r="AG39" s="100">
        <f>IF(E1=AG32,AI32,IF(E1=AG33,AI33,IF(E1=AG34,AI34,IF(E1=AG35,AI35,IF(E1=AG36,AI36,IF(E1=AG37,AI37,IF(E1=AG38,AI38,AI32)))))))</f>
        <v>42177</v>
      </c>
      <c r="AH39" s="100"/>
      <c r="AI39" s="100"/>
      <c r="AJ39" s="100"/>
      <c r="AK39" s="100"/>
      <c r="AL39" s="3">
        <v>12</v>
      </c>
      <c r="AM39" s="78"/>
      <c r="AN39" s="78"/>
      <c r="AO39" s="78"/>
      <c r="AP39" s="78"/>
      <c r="AQ39" s="10"/>
    </row>
    <row r="40" spans="1:43" ht="13" x14ac:dyDescent="0.3">
      <c r="A40" s="4" t="s">
        <v>98</v>
      </c>
      <c r="T40" s="10">
        <v>8</v>
      </c>
      <c r="U40" s="10">
        <f t="shared" si="16"/>
        <v>48</v>
      </c>
      <c r="V40" s="10">
        <f t="shared" si="17"/>
        <v>48</v>
      </c>
      <c r="W40" s="78">
        <f t="shared" si="18"/>
        <v>48</v>
      </c>
      <c r="X40" s="78">
        <f t="shared" si="19"/>
        <v>48</v>
      </c>
      <c r="Y40" s="78">
        <f t="shared" si="20"/>
        <v>48</v>
      </c>
      <c r="Z40" s="78">
        <f t="shared" si="21"/>
        <v>48</v>
      </c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10"/>
    </row>
    <row r="41" spans="1:43" x14ac:dyDescent="0.25">
      <c r="A41" s="3" t="s">
        <v>99</v>
      </c>
      <c r="T41" s="10"/>
      <c r="U41" s="10"/>
      <c r="V41" s="10"/>
      <c r="W41" s="78">
        <f t="shared" ref="W41:W44" si="22">IF(AND(L14&gt;0,Q14&gt;0),0,IF(AND(Q14&gt;0),0,P14+U14))</f>
        <v>48</v>
      </c>
      <c r="X41" s="78">
        <f t="shared" ref="X41:X44" si="23">IF(AND(Q14&gt;0,V14&gt;0),0,IF(AND(V14&gt;0),0,U14+Z14))</f>
        <v>48</v>
      </c>
      <c r="Y41" s="78">
        <f t="shared" ref="Y41:Y44" si="24">IF(AND(V14&gt;0,AA14&gt;0),0,IF(AND(AA14&gt;0),0,Z14+AE14))</f>
        <v>48</v>
      </c>
      <c r="Z41" s="78">
        <f t="shared" ref="Z41:Z44" si="25">IF(AND(AA14&gt;0,AF14&gt;0),0,IF(AND(AF14&gt;0),0,AE14+AJ14))</f>
        <v>48</v>
      </c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10"/>
    </row>
    <row r="42" spans="1:43" ht="13" x14ac:dyDescent="0.3">
      <c r="A42" s="3" t="s">
        <v>100</v>
      </c>
      <c r="O42" s="81">
        <v>0.29166666666666669</v>
      </c>
      <c r="P42" s="81">
        <v>0.33333333333333331</v>
      </c>
      <c r="Q42" s="3">
        <f>(P42-O42)*24</f>
        <v>0.99999999999999911</v>
      </c>
      <c r="T42" s="10"/>
      <c r="U42" s="10"/>
      <c r="V42" s="10"/>
      <c r="W42" s="78">
        <f t="shared" si="22"/>
        <v>48</v>
      </c>
      <c r="X42" s="78">
        <f t="shared" si="23"/>
        <v>48</v>
      </c>
      <c r="Y42" s="78">
        <f t="shared" si="24"/>
        <v>48</v>
      </c>
      <c r="Z42" s="78">
        <f t="shared" si="25"/>
        <v>48</v>
      </c>
      <c r="AA42" s="78"/>
      <c r="AB42" s="78"/>
      <c r="AC42" s="78"/>
      <c r="AD42" s="78"/>
      <c r="AE42" s="78"/>
      <c r="AF42" s="78"/>
      <c r="AG42" s="80" t="s">
        <v>101</v>
      </c>
      <c r="AH42" s="80"/>
      <c r="AI42" s="78"/>
      <c r="AJ42" s="78"/>
      <c r="AK42" s="78"/>
      <c r="AL42" s="80" t="s">
        <v>102</v>
      </c>
      <c r="AM42" s="78"/>
      <c r="AN42" s="78"/>
      <c r="AO42" s="78"/>
      <c r="AP42" s="78"/>
      <c r="AQ42" s="10"/>
    </row>
    <row r="43" spans="1:43" x14ac:dyDescent="0.25">
      <c r="T43" s="10"/>
      <c r="U43" s="10"/>
      <c r="V43" s="10"/>
      <c r="W43" s="78">
        <f t="shared" si="22"/>
        <v>48</v>
      </c>
      <c r="X43" s="78">
        <f t="shared" si="23"/>
        <v>48</v>
      </c>
      <c r="Y43" s="78">
        <f t="shared" si="24"/>
        <v>48</v>
      </c>
      <c r="Z43" s="78">
        <f t="shared" si="25"/>
        <v>48</v>
      </c>
      <c r="AA43" s="78"/>
      <c r="AB43" s="78"/>
      <c r="AC43" s="78"/>
      <c r="AD43" s="78"/>
      <c r="AE43" s="78"/>
      <c r="AF43" s="78"/>
      <c r="AG43" s="78">
        <v>33.6</v>
      </c>
      <c r="AH43" s="78"/>
      <c r="AI43" s="78"/>
      <c r="AJ43" s="78"/>
      <c r="AK43" s="78"/>
      <c r="AL43" s="78" t="s">
        <v>103</v>
      </c>
      <c r="AM43" s="78"/>
      <c r="AN43" s="78"/>
      <c r="AO43" s="78"/>
      <c r="AP43" s="78"/>
      <c r="AQ43" s="10"/>
    </row>
    <row r="44" spans="1:43" x14ac:dyDescent="0.25">
      <c r="A44" s="3" t="s">
        <v>104</v>
      </c>
      <c r="T44" s="10"/>
      <c r="U44" s="10"/>
      <c r="V44" s="10"/>
      <c r="W44" s="78">
        <f t="shared" si="22"/>
        <v>48</v>
      </c>
      <c r="X44" s="78">
        <f t="shared" si="23"/>
        <v>48</v>
      </c>
      <c r="Y44" s="78">
        <f t="shared" si="24"/>
        <v>48</v>
      </c>
      <c r="Z44" s="78">
        <f t="shared" si="25"/>
        <v>48</v>
      </c>
      <c r="AA44" s="78"/>
      <c r="AB44" s="78"/>
      <c r="AC44" s="78"/>
      <c r="AD44" s="78"/>
      <c r="AE44" s="78"/>
      <c r="AF44" s="78"/>
      <c r="AG44" s="78">
        <v>35.5</v>
      </c>
      <c r="AH44" s="78"/>
      <c r="AI44" s="78"/>
      <c r="AJ44" s="78"/>
      <c r="AK44" s="78"/>
      <c r="AL44" s="78" t="s">
        <v>105</v>
      </c>
      <c r="AM44" s="78"/>
      <c r="AN44" s="78"/>
      <c r="AO44" s="78"/>
      <c r="AP44" s="78"/>
      <c r="AQ44" s="10"/>
    </row>
    <row r="45" spans="1:43" x14ac:dyDescent="0.25">
      <c r="A45" s="1">
        <v>11</v>
      </c>
      <c r="B45" s="5">
        <f>COUNTIF($F$6:$F$13,"&lt;" &amp; A45)+COUNTIF($K$6:$K$13,"&lt;" &amp; A45)+COUNTIF($P$6:$P$13,"&lt;" &amp; A45)+COUNTIF($U$6:$U$13,"&lt;" &amp; A45)+COUNTIF($Z$6:$Z$13,"&lt;" &amp; A45)+COUNTIF($AE$6:$AE$13,"&lt;" &amp; A45)+COUNTIF($AJ$6:$AJ$13,"&lt;" &amp; A45)</f>
        <v>0</v>
      </c>
      <c r="T45" s="10"/>
      <c r="U45" s="10"/>
      <c r="V45" s="10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>
        <v>37.5</v>
      </c>
      <c r="AH45" s="78"/>
      <c r="AI45" s="78"/>
      <c r="AJ45" s="78"/>
      <c r="AK45" s="78"/>
      <c r="AL45" s="78"/>
      <c r="AM45" s="78"/>
      <c r="AN45" s="78"/>
      <c r="AO45" s="78"/>
      <c r="AP45" s="78"/>
      <c r="AQ45" s="10"/>
    </row>
    <row r="46" spans="1:43" x14ac:dyDescent="0.25">
      <c r="T46" s="10"/>
      <c r="U46" s="10"/>
      <c r="V46" s="10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78"/>
      <c r="AQ46" s="10"/>
    </row>
    <row r="47" spans="1:43" x14ac:dyDescent="0.25">
      <c r="T47" s="10"/>
      <c r="U47" s="10"/>
      <c r="V47" s="10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10"/>
    </row>
    <row r="48" spans="1:43" x14ac:dyDescent="0.25">
      <c r="T48" s="10"/>
      <c r="U48" s="10"/>
      <c r="V48" s="10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78"/>
      <c r="AO48" s="78"/>
      <c r="AP48" s="78"/>
      <c r="AQ48" s="10"/>
    </row>
    <row r="49" spans="1:43" ht="13" x14ac:dyDescent="0.3">
      <c r="A49" s="4" t="s">
        <v>106</v>
      </c>
      <c r="T49" s="10"/>
      <c r="U49" s="10"/>
      <c r="V49" s="10"/>
      <c r="W49" s="78"/>
      <c r="X49" s="78"/>
      <c r="Y49" s="78"/>
      <c r="Z49" s="78"/>
      <c r="AA49" s="78"/>
      <c r="AB49" s="80" t="s">
        <v>107</v>
      </c>
      <c r="AC49" s="80"/>
      <c r="AD49" s="78"/>
      <c r="AE49" s="78"/>
      <c r="AF49" s="78"/>
      <c r="AG49" s="78"/>
      <c r="AH49" s="78"/>
      <c r="AI49" s="78"/>
      <c r="AJ49" s="78"/>
      <c r="AK49" s="78"/>
      <c r="AL49" s="78"/>
      <c r="AM49" s="78"/>
      <c r="AN49" s="78"/>
      <c r="AO49" s="78"/>
      <c r="AP49" s="78"/>
      <c r="AQ49" s="10"/>
    </row>
    <row r="50" spans="1:43" x14ac:dyDescent="0.25">
      <c r="A50" s="3" t="s">
        <v>108</v>
      </c>
      <c r="T50" s="10"/>
      <c r="U50" s="10"/>
      <c r="V50" s="10"/>
      <c r="W50" s="78"/>
      <c r="X50" s="78"/>
      <c r="Y50" s="78"/>
      <c r="Z50" s="78"/>
      <c r="AA50" s="78"/>
      <c r="AB50" s="78" t="s">
        <v>109</v>
      </c>
      <c r="AC50" s="78"/>
      <c r="AD50" s="78"/>
      <c r="AE50" s="78"/>
      <c r="AF50" s="78"/>
      <c r="AG50" s="78"/>
      <c r="AH50" s="78"/>
      <c r="AI50" s="78"/>
      <c r="AJ50" s="78"/>
      <c r="AK50" s="78"/>
      <c r="AL50" s="78"/>
      <c r="AM50" s="78"/>
      <c r="AN50" s="78"/>
      <c r="AO50" s="78"/>
      <c r="AP50" s="78"/>
      <c r="AQ50" s="10"/>
    </row>
    <row r="51" spans="1:43" ht="13" x14ac:dyDescent="0.3">
      <c r="A51" s="4" t="s">
        <v>110</v>
      </c>
      <c r="T51" s="10"/>
      <c r="U51" s="10"/>
      <c r="V51" s="10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  <c r="AN51" s="78"/>
      <c r="AO51" s="78"/>
      <c r="AP51" s="78"/>
      <c r="AQ51" s="10"/>
    </row>
    <row r="52" spans="1:43" x14ac:dyDescent="0.25">
      <c r="A52" s="3" t="s">
        <v>111</v>
      </c>
      <c r="T52" s="10"/>
      <c r="U52" s="10"/>
      <c r="V52" s="10"/>
      <c r="W52" s="78"/>
      <c r="X52" s="78"/>
      <c r="Y52" s="78"/>
      <c r="Z52" s="78"/>
      <c r="AA52" s="78"/>
      <c r="AB52" s="78" t="s">
        <v>112</v>
      </c>
      <c r="AC52" s="78"/>
      <c r="AD52" s="78"/>
      <c r="AE52" s="78"/>
      <c r="AF52" s="78"/>
      <c r="AG52" s="78"/>
      <c r="AH52" s="78"/>
      <c r="AI52" s="78"/>
      <c r="AJ52" s="78"/>
      <c r="AK52" s="78"/>
      <c r="AL52" s="78"/>
      <c r="AM52" s="78"/>
      <c r="AN52" s="78"/>
      <c r="AO52" s="78"/>
      <c r="AP52" s="78"/>
      <c r="AQ52" s="10"/>
    </row>
    <row r="53" spans="1:43" x14ac:dyDescent="0.25">
      <c r="A53" s="3" t="s">
        <v>113</v>
      </c>
      <c r="T53" s="10"/>
      <c r="U53" s="10"/>
      <c r="V53" s="10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78"/>
      <c r="AO53" s="78"/>
      <c r="AP53" s="78"/>
      <c r="AQ53" s="10"/>
    </row>
    <row r="54" spans="1:43" x14ac:dyDescent="0.25">
      <c r="A54" s="3" t="s">
        <v>114</v>
      </c>
      <c r="T54" s="10"/>
      <c r="U54" s="10"/>
      <c r="V54" s="10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78"/>
      <c r="AL54" s="78"/>
      <c r="AM54" s="78"/>
      <c r="AN54" s="78"/>
      <c r="AO54" s="78"/>
      <c r="AP54" s="78"/>
      <c r="AQ54" s="10"/>
    </row>
    <row r="55" spans="1:43" x14ac:dyDescent="0.25">
      <c r="T55" s="10"/>
      <c r="U55" s="10"/>
      <c r="V55" s="10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10"/>
    </row>
    <row r="56" spans="1:43" ht="13" x14ac:dyDescent="0.3">
      <c r="A56" s="4" t="s">
        <v>115</v>
      </c>
      <c r="T56" s="10"/>
      <c r="U56" s="10"/>
      <c r="V56" s="10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78"/>
      <c r="AO56" s="78"/>
      <c r="AP56" s="78"/>
      <c r="AQ56" s="10"/>
    </row>
    <row r="57" spans="1:43" x14ac:dyDescent="0.25">
      <c r="A57" s="3" t="s">
        <v>116</v>
      </c>
      <c r="T57" s="10"/>
      <c r="U57" s="10"/>
      <c r="V57" s="10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/>
      <c r="AO57" s="78"/>
      <c r="AP57" s="78"/>
      <c r="AQ57" s="10"/>
    </row>
    <row r="58" spans="1:43" ht="13" x14ac:dyDescent="0.3">
      <c r="A58" s="4" t="s">
        <v>110</v>
      </c>
      <c r="T58" s="10"/>
      <c r="U58" s="10"/>
      <c r="V58" s="10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 t="s">
        <v>117</v>
      </c>
      <c r="AH58" s="78"/>
      <c r="AI58" s="78"/>
      <c r="AJ58" s="78"/>
      <c r="AK58" s="78"/>
      <c r="AL58" s="78"/>
      <c r="AM58" s="78"/>
      <c r="AN58" s="78"/>
      <c r="AO58" s="78"/>
      <c r="AP58" s="78"/>
      <c r="AQ58" s="10"/>
    </row>
    <row r="59" spans="1:43" x14ac:dyDescent="0.25">
      <c r="A59" s="3" t="s">
        <v>111</v>
      </c>
      <c r="T59" s="10"/>
      <c r="U59" s="10"/>
      <c r="V59" s="10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>
        <v>0</v>
      </c>
      <c r="AH59" s="78">
        <v>1</v>
      </c>
      <c r="AI59" s="78">
        <v>2</v>
      </c>
      <c r="AJ59" s="78">
        <v>3</v>
      </c>
      <c r="AK59" s="78">
        <v>4</v>
      </c>
      <c r="AL59" s="78">
        <v>5</v>
      </c>
      <c r="AM59" s="78">
        <v>6</v>
      </c>
      <c r="AN59" s="78"/>
      <c r="AO59" s="78"/>
      <c r="AP59" s="78"/>
      <c r="AQ59" s="10"/>
    </row>
    <row r="60" spans="1:43" x14ac:dyDescent="0.25">
      <c r="A60" s="3" t="s">
        <v>113</v>
      </c>
      <c r="T60" s="10"/>
      <c r="U60" s="10"/>
      <c r="V60" s="10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>
        <v>7</v>
      </c>
      <c r="AH60" s="78">
        <v>8</v>
      </c>
      <c r="AI60" s="78">
        <v>9</v>
      </c>
      <c r="AJ60" s="78">
        <v>10</v>
      </c>
      <c r="AK60" s="78">
        <v>11</v>
      </c>
      <c r="AL60" s="78">
        <v>12</v>
      </c>
      <c r="AM60" s="78">
        <v>13</v>
      </c>
      <c r="AN60" s="78"/>
      <c r="AO60" s="78"/>
      <c r="AP60" s="78"/>
      <c r="AQ60" s="10"/>
    </row>
    <row r="61" spans="1:43" x14ac:dyDescent="0.25">
      <c r="T61" s="10"/>
      <c r="U61" s="10"/>
      <c r="V61" s="10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>
        <v>14</v>
      </c>
      <c r="AH61" s="78">
        <v>15</v>
      </c>
      <c r="AI61" s="78">
        <v>16</v>
      </c>
      <c r="AJ61" s="78">
        <v>17</v>
      </c>
      <c r="AK61" s="78">
        <v>18</v>
      </c>
      <c r="AL61" s="78">
        <v>19</v>
      </c>
      <c r="AM61" s="78">
        <v>20</v>
      </c>
      <c r="AN61" s="78"/>
      <c r="AO61" s="78"/>
      <c r="AP61" s="78"/>
      <c r="AQ61" s="10"/>
    </row>
    <row r="62" spans="1:43" ht="13" x14ac:dyDescent="0.3">
      <c r="A62" s="4" t="s">
        <v>118</v>
      </c>
      <c r="T62" s="10"/>
      <c r="U62" s="10"/>
      <c r="V62" s="10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>
        <v>21</v>
      </c>
      <c r="AH62" s="78">
        <v>22</v>
      </c>
      <c r="AI62" s="78">
        <v>23</v>
      </c>
      <c r="AJ62" s="78">
        <v>24</v>
      </c>
      <c r="AK62" s="78">
        <v>25</v>
      </c>
      <c r="AL62" s="78">
        <v>26</v>
      </c>
      <c r="AM62" s="78">
        <v>27</v>
      </c>
      <c r="AN62" s="78"/>
      <c r="AO62" s="78"/>
      <c r="AP62" s="78"/>
      <c r="AQ62" s="10"/>
    </row>
    <row r="63" spans="1:43" x14ac:dyDescent="0.25">
      <c r="A63" s="3" t="s">
        <v>119</v>
      </c>
      <c r="T63" s="10"/>
      <c r="U63" s="10"/>
      <c r="V63" s="10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>
        <v>28</v>
      </c>
      <c r="AH63" s="78">
        <v>29</v>
      </c>
      <c r="AI63" s="78">
        <v>30</v>
      </c>
      <c r="AJ63" s="78">
        <v>31</v>
      </c>
      <c r="AK63" s="78">
        <v>32</v>
      </c>
      <c r="AL63" s="78">
        <v>33</v>
      </c>
      <c r="AM63" s="78">
        <v>34</v>
      </c>
      <c r="AN63" s="78"/>
      <c r="AO63" s="78"/>
      <c r="AP63" s="78"/>
      <c r="AQ63" s="10"/>
    </row>
    <row r="64" spans="1:43" x14ac:dyDescent="0.25">
      <c r="A64" s="3" t="s">
        <v>120</v>
      </c>
      <c r="T64" s="10"/>
      <c r="U64" s="10"/>
      <c r="V64" s="10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>
        <v>35</v>
      </c>
      <c r="AH64" s="78">
        <v>36</v>
      </c>
      <c r="AI64" s="78">
        <v>37</v>
      </c>
      <c r="AJ64" s="78">
        <v>38</v>
      </c>
      <c r="AK64" s="78">
        <v>39</v>
      </c>
      <c r="AL64" s="78">
        <v>40</v>
      </c>
      <c r="AM64" s="78">
        <v>41</v>
      </c>
      <c r="AN64" s="78"/>
      <c r="AO64" s="78"/>
      <c r="AP64" s="78"/>
      <c r="AQ64" s="10"/>
    </row>
    <row r="65" spans="1:43" x14ac:dyDescent="0.25">
      <c r="T65" s="10"/>
      <c r="U65" s="10"/>
      <c r="V65" s="10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>
        <v>42</v>
      </c>
      <c r="AH65" s="78">
        <v>43</v>
      </c>
      <c r="AI65" s="78">
        <v>44</v>
      </c>
      <c r="AJ65" s="78">
        <v>45</v>
      </c>
      <c r="AK65" s="78">
        <v>46</v>
      </c>
      <c r="AL65" s="78">
        <v>47</v>
      </c>
      <c r="AM65" s="78">
        <v>48</v>
      </c>
      <c r="AN65" s="78"/>
      <c r="AO65" s="78"/>
      <c r="AP65" s="78"/>
      <c r="AQ65" s="10"/>
    </row>
    <row r="66" spans="1:43" ht="13" x14ac:dyDescent="0.3">
      <c r="A66" s="3" t="s">
        <v>121</v>
      </c>
      <c r="B66" s="4"/>
      <c r="T66" s="10"/>
      <c r="U66" s="10"/>
      <c r="V66" s="10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>
        <v>49</v>
      </c>
      <c r="AH66" s="78">
        <v>50</v>
      </c>
      <c r="AI66" s="78">
        <v>51</v>
      </c>
      <c r="AJ66" s="78">
        <v>52</v>
      </c>
      <c r="AK66" s="78">
        <v>53</v>
      </c>
      <c r="AL66" s="78">
        <v>54</v>
      </c>
      <c r="AM66" s="78">
        <v>55</v>
      </c>
      <c r="AN66" s="78"/>
      <c r="AO66" s="78"/>
      <c r="AP66" s="78"/>
      <c r="AQ66" s="10"/>
    </row>
    <row r="67" spans="1:43" ht="13" x14ac:dyDescent="0.3">
      <c r="A67" s="1">
        <v>12</v>
      </c>
      <c r="B67" s="5">
        <f>COUNTIF($E$6:$E$13,"&gt;" &amp; A67)+COUNTIF($J$6:$J$13,"&gt;" &amp; A67)+COUNTIF($O$6:$O$13,"&gt;" &amp; A67)+COUNTIF($T$6:$T$13,"&gt;" &amp; A67)+COUNTIF($Y$6:$Y$13,"&gt;" &amp; A67)+COUNTIF($AD$6:$AD$13,"&gt;" &amp; A67)+COUNTIF($AI$6:$AI$13,"&gt;" &amp; A67)</f>
        <v>6</v>
      </c>
      <c r="C67" s="3" t="s">
        <v>122</v>
      </c>
      <c r="E67" s="3" t="s">
        <v>123</v>
      </c>
      <c r="H67" s="1" t="s">
        <v>124</v>
      </c>
      <c r="L67" s="3" t="s">
        <v>125</v>
      </c>
      <c r="T67" s="10"/>
      <c r="U67" s="10"/>
      <c r="V67" s="10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>
        <v>56</v>
      </c>
      <c r="AH67" s="78">
        <v>57</v>
      </c>
      <c r="AI67" s="78">
        <v>58</v>
      </c>
      <c r="AJ67" s="78">
        <v>59</v>
      </c>
      <c r="AK67" s="78">
        <v>60</v>
      </c>
      <c r="AL67" s="78">
        <v>61</v>
      </c>
      <c r="AM67" s="78">
        <v>62</v>
      </c>
      <c r="AN67" s="78"/>
      <c r="AO67" s="78"/>
      <c r="AP67" s="78"/>
      <c r="AQ67" s="10"/>
    </row>
    <row r="68" spans="1:43" x14ac:dyDescent="0.25">
      <c r="T68" s="10"/>
      <c r="U68" s="10"/>
      <c r="V68" s="10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>
        <v>63</v>
      </c>
      <c r="AH68" s="78">
        <v>64</v>
      </c>
      <c r="AI68" s="78">
        <v>65</v>
      </c>
      <c r="AJ68" s="78">
        <v>66</v>
      </c>
      <c r="AK68" s="78">
        <v>67</v>
      </c>
      <c r="AL68" s="78">
        <v>68</v>
      </c>
      <c r="AM68" s="78">
        <v>69</v>
      </c>
      <c r="AN68" s="78"/>
      <c r="AO68" s="78"/>
      <c r="AP68" s="78"/>
      <c r="AQ68" s="10"/>
    </row>
    <row r="69" spans="1:43" x14ac:dyDescent="0.25">
      <c r="A69" s="3" t="s">
        <v>126</v>
      </c>
      <c r="T69" s="10"/>
      <c r="U69" s="10"/>
      <c r="V69" s="10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>
        <v>70</v>
      </c>
      <c r="AH69" s="78">
        <v>71</v>
      </c>
      <c r="AI69" s="78">
        <v>72</v>
      </c>
      <c r="AJ69" s="78">
        <v>73</v>
      </c>
      <c r="AK69" s="78">
        <v>74</v>
      </c>
      <c r="AL69" s="78">
        <v>75</v>
      </c>
      <c r="AM69" s="78">
        <v>76</v>
      </c>
      <c r="AN69" s="78"/>
      <c r="AO69" s="78"/>
      <c r="AP69" s="78"/>
      <c r="AQ69" s="10"/>
    </row>
    <row r="70" spans="1:43" x14ac:dyDescent="0.25">
      <c r="A70" s="1">
        <v>37.5</v>
      </c>
      <c r="B70" s="5">
        <f>COUNTIF($AK$6:$AK$13,"&gt;" &amp; A70)</f>
        <v>1</v>
      </c>
      <c r="C70" s="3" t="s">
        <v>127</v>
      </c>
      <c r="E70" s="3" t="s">
        <v>128</v>
      </c>
      <c r="H70" s="1" t="s">
        <v>124</v>
      </c>
      <c r="T70" s="10"/>
      <c r="U70" s="10"/>
      <c r="V70" s="10"/>
      <c r="W70" s="78"/>
      <c r="X70" s="78"/>
      <c r="Y70" s="78"/>
      <c r="Z70" s="78"/>
      <c r="AA70" s="78"/>
      <c r="AB70" s="78"/>
      <c r="AC70" s="78"/>
      <c r="AD70" s="78"/>
      <c r="AE70" s="78"/>
      <c r="AF70" s="78"/>
      <c r="AG70" s="78">
        <v>77</v>
      </c>
      <c r="AH70" s="78">
        <v>78</v>
      </c>
      <c r="AI70" s="78">
        <v>79</v>
      </c>
      <c r="AJ70" s="78">
        <v>80</v>
      </c>
      <c r="AK70" s="78">
        <v>81</v>
      </c>
      <c r="AL70" s="78">
        <v>82</v>
      </c>
      <c r="AM70" s="78">
        <v>83</v>
      </c>
      <c r="AN70" s="78"/>
      <c r="AO70" s="78"/>
      <c r="AP70" s="78"/>
      <c r="AQ70" s="10"/>
    </row>
    <row r="71" spans="1:43" x14ac:dyDescent="0.25">
      <c r="W71" s="78"/>
      <c r="X71" s="78"/>
      <c r="Y71" s="78"/>
      <c r="Z71" s="78"/>
      <c r="AA71" s="78"/>
      <c r="AB71" s="78"/>
      <c r="AC71" s="78"/>
      <c r="AD71" s="78"/>
      <c r="AE71" s="78"/>
      <c r="AF71" s="78"/>
      <c r="AG71" s="78">
        <v>84</v>
      </c>
      <c r="AH71" s="78">
        <v>85</v>
      </c>
      <c r="AI71" s="78">
        <v>86</v>
      </c>
      <c r="AJ71" s="78">
        <v>87</v>
      </c>
      <c r="AK71" s="78">
        <v>88</v>
      </c>
      <c r="AL71" s="78">
        <v>89</v>
      </c>
      <c r="AM71" s="78">
        <v>90</v>
      </c>
      <c r="AN71" s="78"/>
      <c r="AO71" s="78"/>
      <c r="AP71" s="78"/>
    </row>
    <row r="72" spans="1:43" x14ac:dyDescent="0.25"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  <c r="AL72" s="78"/>
      <c r="AM72" s="78"/>
      <c r="AN72" s="78"/>
      <c r="AO72" s="78"/>
      <c r="AP72" s="78"/>
    </row>
    <row r="73" spans="1:43" x14ac:dyDescent="0.25">
      <c r="W73" s="78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8"/>
      <c r="AK73" s="78"/>
      <c r="AL73" s="78"/>
      <c r="AM73" s="78"/>
      <c r="AN73" s="78"/>
      <c r="AO73" s="78"/>
      <c r="AP73" s="78"/>
    </row>
    <row r="74" spans="1:43" x14ac:dyDescent="0.25"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78"/>
      <c r="AO74" s="78"/>
      <c r="AP74" s="78"/>
    </row>
    <row r="75" spans="1:43" x14ac:dyDescent="0.25"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  <c r="AK75" s="78"/>
      <c r="AL75" s="78"/>
      <c r="AM75" s="78"/>
      <c r="AN75" s="78"/>
      <c r="AO75" s="78"/>
      <c r="AP75" s="78"/>
    </row>
    <row r="76" spans="1:43" x14ac:dyDescent="0.25">
      <c r="W76" s="78"/>
      <c r="X76" s="78"/>
      <c r="Y76" s="78"/>
      <c r="Z76" s="78"/>
      <c r="AA76" s="78"/>
      <c r="AB76" s="78"/>
      <c r="AC76" s="78"/>
      <c r="AD76" s="78"/>
      <c r="AE76" s="78"/>
      <c r="AF76" s="78"/>
      <c r="AG76" s="78"/>
      <c r="AH76" s="78"/>
      <c r="AI76" s="78"/>
      <c r="AJ76" s="78"/>
      <c r="AK76" s="78"/>
      <c r="AL76" s="78"/>
      <c r="AM76" s="78"/>
      <c r="AN76" s="78"/>
      <c r="AO76" s="78"/>
      <c r="AP76" s="78"/>
    </row>
    <row r="77" spans="1:43" x14ac:dyDescent="0.25"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78"/>
      <c r="AK77" s="78"/>
      <c r="AL77" s="78"/>
      <c r="AM77" s="78"/>
      <c r="AN77" s="78"/>
      <c r="AO77" s="78"/>
      <c r="AP77" s="78"/>
    </row>
    <row r="78" spans="1:43" x14ac:dyDescent="0.25">
      <c r="W78" s="78"/>
      <c r="X78" s="78"/>
      <c r="Y78" s="78"/>
      <c r="Z78" s="78"/>
      <c r="AA78" s="78"/>
      <c r="AB78" s="78"/>
      <c r="AC78" s="78"/>
      <c r="AD78" s="78"/>
      <c r="AE78" s="78"/>
      <c r="AF78" s="78"/>
      <c r="AG78" s="78"/>
      <c r="AH78" s="78"/>
      <c r="AI78" s="78"/>
      <c r="AJ78" s="78"/>
      <c r="AK78" s="78"/>
      <c r="AL78" s="78"/>
      <c r="AM78" s="78"/>
      <c r="AN78" s="78"/>
      <c r="AO78" s="78"/>
      <c r="AP78" s="78"/>
    </row>
    <row r="79" spans="1:43" x14ac:dyDescent="0.25">
      <c r="W79" s="78"/>
      <c r="X79" s="78"/>
      <c r="Y79" s="78"/>
      <c r="Z79" s="78"/>
      <c r="AA79" s="78"/>
      <c r="AB79" s="78"/>
      <c r="AC79" s="78"/>
      <c r="AD79" s="78"/>
      <c r="AE79" s="78"/>
      <c r="AF79" s="78"/>
      <c r="AG79" s="78"/>
      <c r="AH79" s="78"/>
      <c r="AI79" s="78"/>
      <c r="AJ79" s="78"/>
      <c r="AK79" s="78"/>
      <c r="AL79" s="78"/>
      <c r="AM79" s="78"/>
      <c r="AN79" s="78"/>
      <c r="AO79" s="78"/>
      <c r="AP79" s="78"/>
    </row>
    <row r="80" spans="1:43" x14ac:dyDescent="0.25">
      <c r="W80" s="78"/>
      <c r="X80" s="78"/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  <c r="AJ80" s="78"/>
      <c r="AK80" s="78"/>
      <c r="AL80" s="78"/>
      <c r="AM80" s="78"/>
      <c r="AN80" s="78"/>
      <c r="AO80" s="78"/>
      <c r="AP80" s="78"/>
    </row>
    <row r="81" spans="1:42" x14ac:dyDescent="0.25"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  <c r="AJ81" s="78"/>
      <c r="AK81" s="78"/>
      <c r="AL81" s="78"/>
      <c r="AM81" s="78"/>
      <c r="AN81" s="78"/>
      <c r="AO81" s="78"/>
      <c r="AP81" s="78"/>
    </row>
    <row r="82" spans="1:42" x14ac:dyDescent="0.25"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8"/>
      <c r="AH82" s="78"/>
      <c r="AI82" s="78"/>
      <c r="AJ82" s="78"/>
      <c r="AK82" s="78"/>
      <c r="AL82" s="78"/>
      <c r="AM82" s="78"/>
      <c r="AN82" s="78"/>
      <c r="AO82" s="78"/>
      <c r="AP82" s="78"/>
    </row>
    <row r="83" spans="1:42" x14ac:dyDescent="0.25"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</row>
    <row r="84" spans="1:42" x14ac:dyDescent="0.25"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</row>
    <row r="85" spans="1:42" x14ac:dyDescent="0.25"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</row>
    <row r="86" spans="1:42" x14ac:dyDescent="0.25"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8"/>
      <c r="AO86" s="78"/>
      <c r="AP86" s="78"/>
    </row>
    <row r="87" spans="1:42" x14ac:dyDescent="0.25"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  <c r="AN87" s="78"/>
      <c r="AO87" s="78"/>
      <c r="AP87" s="78"/>
    </row>
    <row r="95" spans="1:42" ht="13" x14ac:dyDescent="0.3">
      <c r="A95" s="4"/>
    </row>
  </sheetData>
  <dataConsolidate/>
  <mergeCells count="27">
    <mergeCell ref="Q4:T4"/>
    <mergeCell ref="V4:Y4"/>
    <mergeCell ref="AA4:AD4"/>
    <mergeCell ref="AF4:AI4"/>
    <mergeCell ref="A1:C1"/>
    <mergeCell ref="H1:L1"/>
    <mergeCell ref="A2:C2"/>
    <mergeCell ref="A3:C3"/>
    <mergeCell ref="B4:F4"/>
    <mergeCell ref="G4:J4"/>
    <mergeCell ref="L4:O4"/>
    <mergeCell ref="I2:J2"/>
    <mergeCell ref="A28:C28"/>
    <mergeCell ref="A29:C29"/>
    <mergeCell ref="A30:C30"/>
    <mergeCell ref="A37:C37"/>
    <mergeCell ref="AG39:AK39"/>
    <mergeCell ref="D32:E32"/>
    <mergeCell ref="H32:I32"/>
    <mergeCell ref="A33:C33"/>
    <mergeCell ref="G33:H33"/>
    <mergeCell ref="A34:B34"/>
    <mergeCell ref="A36:E36"/>
    <mergeCell ref="D31:E31"/>
    <mergeCell ref="H31:I31"/>
    <mergeCell ref="N32:O32"/>
    <mergeCell ref="N31:O31"/>
  </mergeCells>
  <conditionalFormatting sqref="A6:A17">
    <cfRule type="cellIs" dxfId="1221" priority="245" operator="equal">
      <formula>0</formula>
    </cfRule>
  </conditionalFormatting>
  <conditionalFormatting sqref="A37">
    <cfRule type="cellIs" dxfId="1220" priority="42" operator="equal">
      <formula>$E$2</formula>
    </cfRule>
    <cfRule type="cellIs" dxfId="1219" priority="41" operator="notEqual">
      <formula>$E$2</formula>
    </cfRule>
  </conditionalFormatting>
  <conditionalFormatting sqref="A32:D32 F32:H32 C34">
    <cfRule type="cellIs" dxfId="1218" priority="39" operator="notEqual">
      <formula>$E$3</formula>
    </cfRule>
    <cfRule type="cellIs" dxfId="1217" priority="40" operator="equal">
      <formula>$E$3</formula>
    </cfRule>
  </conditionalFormatting>
  <conditionalFormatting sqref="B6:D17">
    <cfRule type="expression" dxfId="1216" priority="193">
      <formula>$A6=0</formula>
    </cfRule>
  </conditionalFormatting>
  <conditionalFormatting sqref="E6:E17">
    <cfRule type="cellIs" dxfId="1215" priority="201" operator="greaterThanOrEqual">
      <formula>0</formula>
    </cfRule>
    <cfRule type="expression" dxfId="1214" priority="200">
      <formula>AND($H$67="ja",E6&gt;$A$67)</formula>
    </cfRule>
  </conditionalFormatting>
  <conditionalFormatting sqref="F6:F17">
    <cfRule type="cellIs" dxfId="1213" priority="34" operator="lessThan">
      <formula>$A$45</formula>
    </cfRule>
    <cfRule type="cellIs" dxfId="1212" priority="35" operator="equal">
      <formula>0</formula>
    </cfRule>
    <cfRule type="cellIs" dxfId="1211" priority="36" operator="notEqual">
      <formula>0</formula>
    </cfRule>
  </conditionalFormatting>
  <conditionalFormatting sqref="G6:I17">
    <cfRule type="expression" dxfId="1210" priority="61">
      <formula>$A6=0</formula>
    </cfRule>
  </conditionalFormatting>
  <conditionalFormatting sqref="J6:J17">
    <cfRule type="cellIs" dxfId="1209" priority="177" operator="greaterThanOrEqual">
      <formula>0</formula>
    </cfRule>
    <cfRule type="expression" dxfId="1208" priority="176">
      <formula>AND($H$67="ja",J6&gt;$A$67)</formula>
    </cfRule>
  </conditionalFormatting>
  <conditionalFormatting sqref="J32:N32">
    <cfRule type="cellIs" dxfId="1207" priority="38" operator="equal">
      <formula>$E$3</formula>
    </cfRule>
    <cfRule type="cellIs" dxfId="1206" priority="37" operator="notEqual">
      <formula>$E$3</formula>
    </cfRule>
  </conditionalFormatting>
  <conditionalFormatting sqref="K6:K17">
    <cfRule type="cellIs" dxfId="1205" priority="32" operator="equal">
      <formula>0</formula>
    </cfRule>
    <cfRule type="cellIs" dxfId="1204" priority="33" operator="notEqual">
      <formula>0</formula>
    </cfRule>
    <cfRule type="cellIs" dxfId="1203" priority="31" operator="lessThan">
      <formula>$A$45</formula>
    </cfRule>
  </conditionalFormatting>
  <conditionalFormatting sqref="L6:N17">
    <cfRule type="expression" dxfId="1202" priority="57">
      <formula>$A6=0</formula>
    </cfRule>
  </conditionalFormatting>
  <conditionalFormatting sqref="O6:O17">
    <cfRule type="cellIs" dxfId="1201" priority="157" operator="greaterThanOrEqual">
      <formula>0</formula>
    </cfRule>
    <cfRule type="expression" dxfId="1200" priority="156">
      <formula>AND($H$67="ja",O6&gt;$A$67)</formula>
    </cfRule>
  </conditionalFormatting>
  <conditionalFormatting sqref="P6:P17">
    <cfRule type="cellIs" dxfId="1199" priority="22" operator="lessThan">
      <formula>$A$45</formula>
    </cfRule>
    <cfRule type="cellIs" dxfId="1198" priority="23" operator="equal">
      <formula>0</formula>
    </cfRule>
    <cfRule type="cellIs" dxfId="1197" priority="24" operator="notEqual">
      <formula>0</formula>
    </cfRule>
  </conditionalFormatting>
  <conditionalFormatting sqref="Q6:S17">
    <cfRule type="expression" dxfId="1196" priority="56">
      <formula>$A6=0</formula>
    </cfRule>
  </conditionalFormatting>
  <conditionalFormatting sqref="T6:T17">
    <cfRule type="cellIs" dxfId="1195" priority="137" operator="greaterThanOrEqual">
      <formula>0</formula>
    </cfRule>
    <cfRule type="expression" dxfId="1194" priority="136">
      <formula>AND($H$67="ja",T6&gt;$A$67)</formula>
    </cfRule>
  </conditionalFormatting>
  <conditionalFormatting sqref="U6:U17">
    <cfRule type="cellIs" dxfId="1193" priority="16" operator="lessThan">
      <formula>$A$45</formula>
    </cfRule>
    <cfRule type="cellIs" dxfId="1192" priority="18" operator="notEqual">
      <formula>0</formula>
    </cfRule>
    <cfRule type="cellIs" dxfId="1191" priority="17" operator="equal">
      <formula>0</formula>
    </cfRule>
  </conditionalFormatting>
  <conditionalFormatting sqref="V6:X17">
    <cfRule type="expression" dxfId="1190" priority="55">
      <formula>$A6=0</formula>
    </cfRule>
  </conditionalFormatting>
  <conditionalFormatting sqref="Y6:Y17 AD6:AD17 AI6:AI17">
    <cfRule type="expression" dxfId="1189" priority="77">
      <formula>AND($H$67="ja",Y6&gt;$A$67)</formula>
    </cfRule>
    <cfRule type="cellIs" dxfId="1188" priority="78" operator="greaterThanOrEqual">
      <formula>0</formula>
    </cfRule>
  </conditionalFormatting>
  <conditionalFormatting sqref="Z6:Z17">
    <cfRule type="cellIs" dxfId="1187" priority="12" operator="notEqual">
      <formula>0</formula>
    </cfRule>
    <cfRule type="cellIs" dxfId="1186" priority="11" operator="equal">
      <formula>0</formula>
    </cfRule>
    <cfRule type="cellIs" dxfId="1185" priority="10" operator="lessThan">
      <formula>$A$45</formula>
    </cfRule>
  </conditionalFormatting>
  <conditionalFormatting sqref="AA6:AC17">
    <cfRule type="expression" dxfId="1184" priority="52">
      <formula>$A6=0</formula>
    </cfRule>
  </conditionalFormatting>
  <conditionalFormatting sqref="AE6:AE17">
    <cfRule type="cellIs" dxfId="1183" priority="6" operator="notEqual">
      <formula>0</formula>
    </cfRule>
    <cfRule type="cellIs" dxfId="1182" priority="5" operator="equal">
      <formula>0</formula>
    </cfRule>
    <cfRule type="cellIs" dxfId="1181" priority="4" operator="lessThan">
      <formula>$A$45</formula>
    </cfRule>
  </conditionalFormatting>
  <conditionalFormatting sqref="AF6:AH17">
    <cfRule type="expression" dxfId="1180" priority="43">
      <formula>$A6=0</formula>
    </cfRule>
  </conditionalFormatting>
  <conditionalFormatting sqref="AJ6:AJ17">
    <cfRule type="cellIs" dxfId="1179" priority="1" operator="lessThan">
      <formula>$A$45</formula>
    </cfRule>
    <cfRule type="cellIs" dxfId="1178" priority="3" operator="notEqual">
      <formula>0</formula>
    </cfRule>
    <cfRule type="cellIs" dxfId="1177" priority="2" operator="equal">
      <formula>0</formula>
    </cfRule>
  </conditionalFormatting>
  <conditionalFormatting sqref="AK6:AK17">
    <cfRule type="expression" dxfId="1176" priority="76">
      <formula>AND($H$70="ja",AK6&gt;$A$70)</formula>
    </cfRule>
    <cfRule type="cellIs" dxfId="1175" priority="79" operator="greaterThanOrEqual">
      <formula>0</formula>
    </cfRule>
  </conditionalFormatting>
  <dataValidations disablePrompts="1" count="1">
    <dataValidation type="list" allowBlank="1" showInputMessage="1" showErrorMessage="1" sqref="H67 H70" xr:uid="{00000000-0002-0000-0100-000000000000}">
      <formula1>Ja_og_nei</formula1>
    </dataValidation>
  </dataValidation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/>
  <dimension ref="A1:AQ95"/>
  <sheetViews>
    <sheetView zoomScale="85" zoomScaleNormal="85" workbookViewId="0">
      <pane ySplit="24" topLeftCell="A25" activePane="bottomLeft" state="frozen"/>
      <selection activeCell="AK37" sqref="AK37"/>
      <selection pane="bottomLeft" activeCell="B7" sqref="B7"/>
    </sheetView>
  </sheetViews>
  <sheetFormatPr defaultColWidth="9.08984375" defaultRowHeight="12.5" x14ac:dyDescent="0.25"/>
  <cols>
    <col min="1" max="1" width="10.7265625" style="3" customWidth="1"/>
    <col min="2" max="2" width="7.6328125" style="3" customWidth="1"/>
    <col min="3" max="3" width="7.81640625" style="3" customWidth="1"/>
    <col min="4" max="4" width="4.36328125" style="3" bestFit="1" customWidth="1"/>
    <col min="5" max="6" width="10" style="3" customWidth="1"/>
    <col min="7" max="7" width="7" style="3" customWidth="1"/>
    <col min="8" max="8" width="7.6328125" style="3" customWidth="1"/>
    <col min="9" max="9" width="4.36328125" style="3" bestFit="1" customWidth="1"/>
    <col min="10" max="11" width="10" style="3" customWidth="1"/>
    <col min="12" max="12" width="7.26953125" style="3" customWidth="1"/>
    <col min="13" max="13" width="7.7265625" style="3" customWidth="1"/>
    <col min="14" max="14" width="4.36328125" style="3" bestFit="1" customWidth="1"/>
    <col min="15" max="15" width="10.08984375" style="3" bestFit="1" customWidth="1"/>
    <col min="16" max="16" width="10.08984375" style="3" customWidth="1"/>
    <col min="17" max="17" width="7.6328125" style="3" customWidth="1"/>
    <col min="18" max="18" width="7.7265625" style="3" customWidth="1"/>
    <col min="19" max="19" width="4.36328125" style="3" bestFit="1" customWidth="1"/>
    <col min="20" max="20" width="10.08984375" style="3" bestFit="1" customWidth="1"/>
    <col min="21" max="21" width="10.08984375" style="3" customWidth="1"/>
    <col min="22" max="22" width="8.36328125" style="3" customWidth="1"/>
    <col min="23" max="23" width="8.81640625" style="3" customWidth="1"/>
    <col min="24" max="24" width="4.36328125" style="3" bestFit="1" customWidth="1"/>
    <col min="25" max="26" width="10" style="3" customWidth="1"/>
    <col min="27" max="28" width="7.81640625" style="3" customWidth="1"/>
    <col min="29" max="29" width="4.36328125" style="3" bestFit="1" customWidth="1"/>
    <col min="30" max="31" width="9.7265625" style="3" customWidth="1"/>
    <col min="32" max="32" width="6.81640625" style="3" customWidth="1"/>
    <col min="33" max="33" width="7.6328125" style="3" customWidth="1"/>
    <col min="34" max="34" width="4.36328125" style="3" bestFit="1" customWidth="1"/>
    <col min="35" max="36" width="9.6328125" style="3" customWidth="1"/>
    <col min="37" max="37" width="15.6328125" style="3" bestFit="1" customWidth="1"/>
    <col min="38" max="16384" width="9.08984375" style="3"/>
  </cols>
  <sheetData>
    <row r="1" spans="1:39" ht="13" x14ac:dyDescent="0.3">
      <c r="A1" s="98" t="s">
        <v>66</v>
      </c>
      <c r="B1" s="98"/>
      <c r="C1" s="98"/>
      <c r="D1" s="88"/>
      <c r="E1" s="5" t="str">
        <f>Vaktplan!G38</f>
        <v>mandag</v>
      </c>
      <c r="H1" s="98" t="s">
        <v>67</v>
      </c>
      <c r="I1" s="98"/>
      <c r="J1" s="98"/>
      <c r="K1" s="98"/>
      <c r="L1" s="98"/>
      <c r="M1" s="5">
        <f>Vaktplan!AJ41</f>
        <v>4</v>
      </c>
    </row>
    <row r="2" spans="1:39" ht="13" x14ac:dyDescent="0.3">
      <c r="A2" s="98" t="s">
        <v>36</v>
      </c>
      <c r="B2" s="98"/>
      <c r="C2" s="98"/>
      <c r="D2" s="88"/>
      <c r="E2" s="8">
        <f>Vaktplan!AM41</f>
        <v>1</v>
      </c>
      <c r="I2" s="106"/>
      <c r="J2" s="106"/>
    </row>
    <row r="3" spans="1:39" ht="13" x14ac:dyDescent="0.3">
      <c r="A3" s="98" t="s">
        <v>68</v>
      </c>
      <c r="B3" s="98"/>
      <c r="C3" s="98"/>
      <c r="D3" s="88"/>
      <c r="E3" s="5">
        <f>Vaktplan!AQ41</f>
        <v>0</v>
      </c>
      <c r="F3" s="4" t="s">
        <v>69</v>
      </c>
    </row>
    <row r="4" spans="1:39" ht="13" x14ac:dyDescent="0.3">
      <c r="A4" s="89" t="s">
        <v>70</v>
      </c>
      <c r="B4" s="103" t="str">
        <f>TEXT(AG39,"DDDD")</f>
        <v>Monday</v>
      </c>
      <c r="C4" s="104"/>
      <c r="D4" s="104"/>
      <c r="E4" s="104"/>
      <c r="F4" s="105"/>
      <c r="G4" s="102" t="str">
        <f>TEXT($AG$39+1,"DDDD")</f>
        <v>Tuesday</v>
      </c>
      <c r="H4" s="102"/>
      <c r="I4" s="102"/>
      <c r="J4" s="102"/>
      <c r="K4" s="89"/>
      <c r="L4" s="102" t="str">
        <f>TEXT($AG$39+2,"DDDD")</f>
        <v>Wednesday</v>
      </c>
      <c r="M4" s="102"/>
      <c r="N4" s="102"/>
      <c r="O4" s="102"/>
      <c r="P4" s="89"/>
      <c r="Q4" s="102" t="str">
        <f>TEXT($AG$39+3,"DDDD")</f>
        <v>Thursday</v>
      </c>
      <c r="R4" s="102"/>
      <c r="S4" s="102"/>
      <c r="T4" s="102"/>
      <c r="U4" s="89"/>
      <c r="V4" s="102" t="str">
        <f>TEXT($AG$39+4,"DDDD")</f>
        <v>Friday</v>
      </c>
      <c r="W4" s="102"/>
      <c r="X4" s="102"/>
      <c r="Y4" s="102"/>
      <c r="Z4" s="89"/>
      <c r="AA4" s="102" t="str">
        <f>TEXT($AG$39+5,"DDDD")</f>
        <v>Saturday</v>
      </c>
      <c r="AB4" s="102"/>
      <c r="AC4" s="102"/>
      <c r="AD4" s="102"/>
      <c r="AE4" s="89"/>
      <c r="AF4" s="102" t="str">
        <f>TEXT($AG$39+6,"DDDD")</f>
        <v>Sunday</v>
      </c>
      <c r="AG4" s="102"/>
      <c r="AH4" s="102"/>
      <c r="AI4" s="102"/>
      <c r="AJ4" s="89"/>
      <c r="AK4" s="7" t="s">
        <v>71</v>
      </c>
    </row>
    <row r="5" spans="1:39" x14ac:dyDescent="0.25">
      <c r="A5" s="6"/>
      <c r="B5" s="6" t="s">
        <v>72</v>
      </c>
      <c r="C5" s="6" t="s">
        <v>73</v>
      </c>
      <c r="D5" s="6" t="s">
        <v>55</v>
      </c>
      <c r="E5" s="6" t="s">
        <v>74</v>
      </c>
      <c r="F5" s="6" t="s">
        <v>75</v>
      </c>
      <c r="G5" s="6" t="s">
        <v>72</v>
      </c>
      <c r="H5" s="6" t="s">
        <v>73</v>
      </c>
      <c r="I5" s="6" t="s">
        <v>55</v>
      </c>
      <c r="J5" s="6" t="s">
        <v>74</v>
      </c>
      <c r="K5" s="6" t="s">
        <v>75</v>
      </c>
      <c r="L5" s="6" t="s">
        <v>72</v>
      </c>
      <c r="M5" s="6" t="s">
        <v>73</v>
      </c>
      <c r="N5" s="6" t="s">
        <v>55</v>
      </c>
      <c r="O5" s="6" t="s">
        <v>74</v>
      </c>
      <c r="P5" s="6" t="s">
        <v>75</v>
      </c>
      <c r="Q5" s="6" t="s">
        <v>72</v>
      </c>
      <c r="R5" s="6" t="s">
        <v>73</v>
      </c>
      <c r="S5" s="6" t="s">
        <v>55</v>
      </c>
      <c r="T5" s="6" t="s">
        <v>74</v>
      </c>
      <c r="U5" s="6" t="s">
        <v>75</v>
      </c>
      <c r="V5" s="6" t="s">
        <v>72</v>
      </c>
      <c r="W5" s="6" t="s">
        <v>73</v>
      </c>
      <c r="X5" s="6" t="s">
        <v>55</v>
      </c>
      <c r="Y5" s="6" t="s">
        <v>74</v>
      </c>
      <c r="Z5" s="6" t="s">
        <v>75</v>
      </c>
      <c r="AA5" s="6" t="s">
        <v>72</v>
      </c>
      <c r="AB5" s="6" t="s">
        <v>73</v>
      </c>
      <c r="AC5" s="6" t="s">
        <v>55</v>
      </c>
      <c r="AD5" s="6" t="s">
        <v>74</v>
      </c>
      <c r="AE5" s="6" t="s">
        <v>75</v>
      </c>
      <c r="AF5" s="6" t="s">
        <v>72</v>
      </c>
      <c r="AG5" s="6" t="s">
        <v>73</v>
      </c>
      <c r="AH5" s="6" t="s">
        <v>55</v>
      </c>
      <c r="AI5" s="6" t="s">
        <v>74</v>
      </c>
      <c r="AJ5" s="6" t="s">
        <v>75</v>
      </c>
      <c r="AK5" s="6"/>
    </row>
    <row r="6" spans="1:39" ht="13" x14ac:dyDescent="0.25">
      <c r="A6" s="7">
        <f>IF(M1&gt;=1,1,0)</f>
        <v>1</v>
      </c>
      <c r="B6" s="77">
        <f>IFERROR(VLOOKUP(Vaktplan!$A$41,Vaktplan!$A$4:$CL$35,87-AH59,FALSE),0)</f>
        <v>0.29166666666666669</v>
      </c>
      <c r="C6" s="77">
        <f>IFERROR(VLOOKUP(Vaktplan!$A$41,Vaktplan!$A$4:$CL$35,87-AG59,FALSE),0)</f>
        <v>0.625</v>
      </c>
      <c r="D6" s="9">
        <f>IFERROR(VLOOKUP(Vaktplan!$A$41,Vaktplan!$A$4:$CL$35,89-AG59,FALSE),0)</f>
        <v>0</v>
      </c>
      <c r="E6" s="9">
        <f>IF(AND(B6=0,C6=0),0,IF(B6&lt;C6,((C6-B6)*24)-D6,(((1-B6)+C6)*24)-D6))</f>
        <v>8</v>
      </c>
      <c r="F6" s="9">
        <f>IF(AND(C6=0,G6=0),24,IF(C6=0,12+(G6*24),IF(C6&lt;G6,((G6-C6)*24),IF(G6=0,(1-C6+0.5)*24,((1-C6)+G6)*24))))</f>
        <v>16</v>
      </c>
      <c r="G6" s="77">
        <f>IFERROR(VLOOKUP(Vaktplan!$A$41,Vaktplan!$B$4:$CL$35,86-AH59,FALSE),0)</f>
        <v>0.29166666666666669</v>
      </c>
      <c r="H6" s="77">
        <f>IFERROR(VLOOKUP(Vaktplan!$A$41,Vaktplan!$B$4:$CL$35,86-AG59,FALSE),0)</f>
        <v>0.625</v>
      </c>
      <c r="I6" s="9">
        <f>IFERROR(VLOOKUP(Vaktplan!$A$41,Vaktplan!$B$4:$CL$35,89-$AH59,FALSE),0)</f>
        <v>0</v>
      </c>
      <c r="J6" s="9">
        <f>IF(AND(G6=0,H6=0),0,IF(G6&lt;H6,((H6-G6)*24)-I6,(((1-G6)+H6)*24)-I6))</f>
        <v>8</v>
      </c>
      <c r="K6" s="9">
        <f>IF(AND(H6=0,L6=0),24,IF(H6=0,12+(L6*24),IF(H6&lt;L6,((L6-H6)*24),IF(L6=0,(1-H6+0.5)*24,((1-H6)+L6)*24))))</f>
        <v>16</v>
      </c>
      <c r="L6" s="77">
        <f>IFERROR(VLOOKUP(Vaktplan!$A$41,Vaktplan!$C$4:$CL$35,86-AI59,FALSE),0)</f>
        <v>0.29166666666666669</v>
      </c>
      <c r="M6" s="77">
        <f>IFERROR(VLOOKUP(Vaktplan!$A$41,Vaktplan!$C$4:$CL$35,86-AH59,FALSE),0)</f>
        <v>0.625</v>
      </c>
      <c r="N6" s="9">
        <f>IFERROR(VLOOKUP(Vaktplan!$A$41,Vaktplan!$C$4:$CL$35,89-$AI59,FALSE),0)</f>
        <v>0</v>
      </c>
      <c r="O6" s="9">
        <f>IF(AND(L6=0,M6=0),0,IF(L6&lt;M6,((M6-L6)*24)-N6,(((1-L6)+M6)*24)-N6))</f>
        <v>8</v>
      </c>
      <c r="P6" s="9">
        <f>IF(AND(M6=0,Q6=0),24,IF(M6=0,12+(Q6*24),IF(M6&lt;Q6,((Q6-M6)*24),IF(Q6=0,(1-M6+0.5)*24,((1-M6)+Q6)*24))))</f>
        <v>16</v>
      </c>
      <c r="Q6" s="77">
        <f>IFERROR(VLOOKUP(Vaktplan!$A$41,Vaktplan!$D$4:$CL$35,86-AJ59,FALSE),0)</f>
        <v>0.29166666666666669</v>
      </c>
      <c r="R6" s="77">
        <f>IFERROR(VLOOKUP(Vaktplan!$A$41,Vaktplan!$D$4:$CL$35,86-AI59,FALSE),0)</f>
        <v>0.625</v>
      </c>
      <c r="S6" s="9">
        <f>IFERROR(VLOOKUP(Vaktplan!$A$41,Vaktplan!$D$4:$CL$35,89-$AJ59,FALSE),0)</f>
        <v>0</v>
      </c>
      <c r="T6" s="9">
        <f t="shared" ref="T6:T17" si="0">IF(AND(Q6=0,R6=0),0,IF(Q6&lt;R6,((R6-Q6)*24)-S6,(((1-Q6)+R6)*24)-S6))</f>
        <v>8</v>
      </c>
      <c r="U6" s="9">
        <f>IF(AND(R6=0,V6=0),24,IF(R6=0,12+(V6*24),IF(R6&lt;V6,((V6-R6)*24),IF(V6=0,(1-R6+0.5)*24,((1-R6)+V6)*24))))</f>
        <v>16</v>
      </c>
      <c r="V6" s="77">
        <f>IFERROR(VLOOKUP(Vaktplan!$A$41,Vaktplan!$E$4:$CL$35,86-AK59,FALSE),0)</f>
        <v>0.29166666666666669</v>
      </c>
      <c r="W6" s="77">
        <f>IFERROR(VLOOKUP(Vaktplan!$A$41,Vaktplan!$E$4:$CL$35,86-AJ59,FALSE),0)</f>
        <v>0.625</v>
      </c>
      <c r="X6" s="9">
        <f>IFERROR(VLOOKUP(Vaktplan!$A$41,Vaktplan!$E$4:$CL$35,89-$AK59,FALSE),0)</f>
        <v>0</v>
      </c>
      <c r="Y6" s="9">
        <f>IF(AND(V6=0,W6=0),0,IF(V6&lt;W6,((W6-V6)*24)-X6,(((1-V6)+W6)*24)-X6))</f>
        <v>8</v>
      </c>
      <c r="Z6" s="9">
        <f>IF(AND(W6=0,AA6=0),24,IF(W6=0,12+(AA6*24),IF(W6&lt;AA6,((AA6-W6)*24),IF(AA6=0,(1-W6+0.5)*24,((1-W6)+AA6)*24))))</f>
        <v>16</v>
      </c>
      <c r="AA6" s="77">
        <f>IFERROR(VLOOKUP(Vaktplan!$A$41,Vaktplan!$F$4:$CL$35,86-AL59,FALSE),0)</f>
        <v>0.29166666666666669</v>
      </c>
      <c r="AB6" s="77">
        <f>IFERROR(VLOOKUP(Vaktplan!$A$41,Vaktplan!$F$4:$CL$35,86-AK59,FALSE),0)</f>
        <v>0.625</v>
      </c>
      <c r="AC6" s="9">
        <f>IFERROR(VLOOKUP(Vaktplan!$A$41,Vaktplan!$F$4:$CL$35,89-$AL59,FALSE),0)</f>
        <v>0</v>
      </c>
      <c r="AD6" s="9">
        <f>IF(AND(AA6=0,AB6=0),0,IF(AA6&lt;AB6,((AB6-AA6)*24)-AC6,(((1-AA6)+AB6)*24)-AC6))</f>
        <v>8</v>
      </c>
      <c r="AE6" s="9">
        <f>IF(AND(AB6=0,AF6=0),24,IF(AB6=0,12+(AF6*24),IF(AB6&lt;AF6,((AF6-AB6)*24),IF(AF6=0,(1-AB6+0.5)*24,((1-AB6)+AF6)*24))))</f>
        <v>21</v>
      </c>
      <c r="AF6" s="77">
        <f>IFERROR(VLOOKUP(Vaktplan!$A$41,Vaktplan!$G$4:$CL$35,86-AM59,FALSE),0)</f>
        <v>0</v>
      </c>
      <c r="AG6" s="77">
        <f>IFERROR(VLOOKUP(Vaktplan!$A$41,Vaktplan!$G$4:$CL$35,86-AL59,FALSE),0)</f>
        <v>0</v>
      </c>
      <c r="AH6" s="9">
        <f>IFERROR(VLOOKUP(Vaktplan!$A$41,Vaktplan!$G$4:$CL$35,89-$AM59,FALSE),0)</f>
        <v>0</v>
      </c>
      <c r="AI6" s="9">
        <f>IF(AND(AF6=0,AG6=0),0,IF(AF6&lt;AG6,((AG6-AF6)*24)-AH6,(((1-AF6)+AG6)*24)-AH6))</f>
        <v>0</v>
      </c>
      <c r="AJ6" s="9">
        <f>IF($M$1=AL28,IF(AND(AG6=0,B6=0),24,IF(AG6=0,12+($B$6*24),IF(AG6&lt;$B$6,(($B$6-AG6)*24),IF($B$6=0,(1-AG6+1)*24,((1-AG6)+$B$6)*24)))),IF(AND(AG6=0,B7=0),24,IF(AG6=0,12+(B7*24),IF(AG6&lt;B7,((B7-AG6)*24),IF(B7=0,(1-AG6+1)*24,((1-AG6)+B7)*24)))))</f>
        <v>24</v>
      </c>
      <c r="AK6" s="9">
        <f t="shared" ref="AK6:AK17" si="1">E6+J6+O6+T6+Y6+AD6+AI6</f>
        <v>48</v>
      </c>
      <c r="AL6" s="10">
        <f>AJ6</f>
        <v>24</v>
      </c>
      <c r="AM6" s="10">
        <f>AK6</f>
        <v>48</v>
      </c>
    </row>
    <row r="7" spans="1:39" ht="13" x14ac:dyDescent="0.25">
      <c r="A7" s="7">
        <f>IF($M$1&gt;=2,2,0)</f>
        <v>2</v>
      </c>
      <c r="B7" s="77">
        <f>IFERROR(VLOOKUP(Vaktplan!$A$41,Vaktplan!$H$4:$CL$35,87-AH60,FALSE),0)</f>
        <v>0</v>
      </c>
      <c r="C7" s="77">
        <f>IFERROR(VLOOKUP(Vaktplan!$A$41,Vaktplan!$H$4:$CL$35,87-AG60,FALSE),0)</f>
        <v>0</v>
      </c>
      <c r="D7" s="9">
        <f>IFERROR(VLOOKUP(Vaktplan!$A$41,Vaktplan!$H$4:$CL$35,89-AG60,FALSE),0)</f>
        <v>0</v>
      </c>
      <c r="E7" s="9">
        <f>IF(AND(B7=0,C7=0),0,IF(B7&lt;C7,((C7-B7)*24)-D7,(((1-B7)+C7)*24)-D7))</f>
        <v>0</v>
      </c>
      <c r="F7" s="9">
        <f t="shared" ref="F7:F17" si="2">IF(AND(C7=0,G7=0),24,IF(C7=0,12+(G7*24),IF(C7&lt;G7,((G7-C7)*24),IF(G7=0,(1-C7+0.5)*24,((1-C7)+G7)*24))))</f>
        <v>24</v>
      </c>
      <c r="G7" s="77">
        <f>IFERROR(VLOOKUP(Vaktplan!$A$41,Vaktplan!$I$4:$CL$35,86-AH60,FALSE),0)</f>
        <v>0</v>
      </c>
      <c r="H7" s="77">
        <f>IFERROR(VLOOKUP(Vaktplan!$A$41,Vaktplan!$I$4:$CL$35,86-AG60,FALSE),0)</f>
        <v>0</v>
      </c>
      <c r="I7" s="9">
        <f>IFERROR(VLOOKUP(Vaktplan!$A$41,Vaktplan!$I$4:$CL$35,89-$AH60,FALSE),0)</f>
        <v>0</v>
      </c>
      <c r="J7" s="9">
        <f t="shared" ref="J7:J17" si="3">IF(AND(G7=0,H7=0),0,IF(G7&lt;H7,((H7-G7)*24)-I7,(((1-G7)+H7)*24)-I7))</f>
        <v>0</v>
      </c>
      <c r="K7" s="9">
        <f t="shared" ref="K7:K17" si="4">IF(AND(H7=0,L7=0),24,IF(H7=0,12+(L7*24),IF(H7&lt;L7,((L7-H7)*24),IF(L7=0,(1-H7+0.5)*24,((1-H7)+L7)*24))))</f>
        <v>24</v>
      </c>
      <c r="L7" s="77">
        <f>IFERROR(VLOOKUP(Vaktplan!$A$41,Vaktplan!$J$4:$CL$35,86-AI60,FALSE),0)</f>
        <v>0</v>
      </c>
      <c r="M7" s="77">
        <f>IFERROR(VLOOKUP(Vaktplan!$A$41,Vaktplan!$J$4:$CL$35,86-AH60,FALSE),0)</f>
        <v>0</v>
      </c>
      <c r="N7" s="9">
        <f>IFERROR(VLOOKUP(Vaktplan!$A$41,Vaktplan!$J$4:$CL$35,89-$AI60,FALSE),0)</f>
        <v>0</v>
      </c>
      <c r="O7" s="9">
        <f t="shared" ref="O7:O17" si="5">IF(AND(L7=0,M7=0),0,IF(L7&lt;M7,((M7-L7)*24)-N7,(((1-L7)+M7)*24)-N7))</f>
        <v>0</v>
      </c>
      <c r="P7" s="9">
        <f t="shared" ref="P7:P17" si="6">IF(AND(M7=0,Q7=0),24,IF(M7=0,12+(Q7*24),IF(M7&lt;Q7,((Q7-M7)*24),IF(Q7=0,(1-M7+0.5)*24,((1-M7)+Q7)*24))))</f>
        <v>24</v>
      </c>
      <c r="Q7" s="77">
        <f>IFERROR(VLOOKUP(Vaktplan!$A$41,Vaktplan!$K$4:$CL$35,86-AJ60,FALSE),0)</f>
        <v>0</v>
      </c>
      <c r="R7" s="77">
        <f>IFERROR(VLOOKUP(Vaktplan!$A$41,Vaktplan!$K$4:$CL$35,86-AI60,FALSE),0)</f>
        <v>0</v>
      </c>
      <c r="S7" s="9">
        <f>IFERROR(VLOOKUP(Vaktplan!$A$41,Vaktplan!$K$4:$CL$35,89-$AJ60,FALSE),0)</f>
        <v>0</v>
      </c>
      <c r="T7" s="9">
        <f t="shared" si="0"/>
        <v>0</v>
      </c>
      <c r="U7" s="9">
        <f t="shared" ref="U7:U17" si="7">IF(AND(R7=0,V7=0),24,IF(R7=0,12+(V7*24),IF(R7&lt;V7,((V7-R7)*24),IF(V7=0,(1-R7+0.5)*24,((1-R7)+V7)*24))))</f>
        <v>24</v>
      </c>
      <c r="V7" s="77">
        <f>IFERROR(VLOOKUP(Vaktplan!$A$41,Vaktplan!$L$4:$CL$35,86-AK60,FALSE),0)</f>
        <v>0</v>
      </c>
      <c r="W7" s="77">
        <f>IFERROR(VLOOKUP(Vaktplan!$A$41,Vaktplan!$L$4:$CL$35,86-AJ60,FALSE),0)</f>
        <v>0</v>
      </c>
      <c r="X7" s="9">
        <f>IFERROR(VLOOKUP(Vaktplan!$A$41,Vaktplan!$L$4:$CL$35,89-$AK60,FALSE),0)</f>
        <v>0</v>
      </c>
      <c r="Y7" s="9">
        <f t="shared" ref="Y7:Y13" si="8">IF(AND(V7=0,W7=0),0,IF(V7&lt;W7,((W7-V7)*24)-X7,(((1-V7)+W7)*24)-X7))</f>
        <v>0</v>
      </c>
      <c r="Z7" s="9">
        <f t="shared" ref="Z7:Z17" si="9">IF(AND(W7=0,AA7=0),24,IF(W7=0,12+(AA7*24),IF(W7&lt;AA7,((AA7-W7)*24),IF(AA7=0,(1-W7+0.5)*24,((1-W7)+AA7)*24))))</f>
        <v>24</v>
      </c>
      <c r="AA7" s="77">
        <f>IFERROR(VLOOKUP(Vaktplan!$A$41,Vaktplan!$M$4:$CL$35,86-AL60,FALSE),0)</f>
        <v>0</v>
      </c>
      <c r="AB7" s="77">
        <f>IFERROR(VLOOKUP(Vaktplan!$A$41,Vaktplan!$M$4:$CL$35,86-AK60,FALSE),0)</f>
        <v>0</v>
      </c>
      <c r="AC7" s="9">
        <f>IFERROR(VLOOKUP(Vaktplan!$A$41,Vaktplan!$M$4:$CL$35,89-$AL60,FALSE),0)</f>
        <v>0</v>
      </c>
      <c r="AD7" s="9">
        <f t="shared" ref="AD7:AD13" si="10">IF(AND(AA7=0,AB7=0),0,IF(AA7&lt;AB7,((AB7-AA7)*24)-AC7,(((1-AA7)+AB7)*24)-AC7))</f>
        <v>0</v>
      </c>
      <c r="AE7" s="9">
        <f t="shared" ref="AE7:AE17" si="11">IF(AND(AB7=0,AF7=0),24,IF(AB7=0,12+(AF7*24),IF(AB7&lt;AF7,((AF7-AB7)*24),IF(AF7=0,(1-AB7+0.5)*24,((1-AB7)+AF7)*24))))</f>
        <v>24</v>
      </c>
      <c r="AF7" s="77">
        <f>IFERROR(VLOOKUP(Vaktplan!$A$41,Vaktplan!$N$4:$CL$35,86-AM60,FALSE),0)</f>
        <v>0</v>
      </c>
      <c r="AG7" s="77">
        <f>IFERROR(VLOOKUP(Vaktplan!$A$41,Vaktplan!$N$4:$CL$35,86-AL60,FALSE),0)</f>
        <v>0</v>
      </c>
      <c r="AH7" s="9">
        <f>IFERROR(VLOOKUP(Vaktplan!$A$41,Vaktplan!$N$4:$CL$35,89-$AM60,FALSE),0)</f>
        <v>0</v>
      </c>
      <c r="AI7" s="9">
        <f t="shared" ref="AI7:AI13" si="12">IF(AND(AF7=0,AG7=0),0,IF(AF7&lt;AG7,((AG7-AF7)*24)-AH7,(((1-AF7)+AG7)*24)-AH7))</f>
        <v>0</v>
      </c>
      <c r="AJ7" s="9">
        <f t="shared" ref="AJ7:AJ17" si="13">IF($M$1=AL29,IF(AND(AG7=0,B7=0),24,IF(AG7=0,12+($B$6*24),IF(AG7&lt;$B$6,(($B$6-AG7)*24),IF($B$6=0,(1-AG7+1)*24,((1-AG7)+$B$6)*24)))),IF(AND(AG7=0,B8=0),24,IF(AG7=0,12+(B8*24),IF(AG7&lt;B8,((B8-AG7)*24),IF(B8=0,(1-AG7+1)*24,((1-AG7)+B8)*24)))))</f>
        <v>24</v>
      </c>
      <c r="AK7" s="9">
        <f t="shared" si="1"/>
        <v>0</v>
      </c>
      <c r="AL7" s="10">
        <f t="shared" ref="AL7:AL13" si="14">AJ7</f>
        <v>24</v>
      </c>
      <c r="AM7" s="10">
        <f t="shared" ref="AM7:AM13" si="15">AK7</f>
        <v>0</v>
      </c>
    </row>
    <row r="8" spans="1:39" ht="13" x14ac:dyDescent="0.25">
      <c r="A8" s="7">
        <f>IF($M$1&gt;=3,3,0)</f>
        <v>3</v>
      </c>
      <c r="B8" s="77">
        <f>IFERROR(VLOOKUP(Vaktplan!$A$41,Vaktplan!$O$4:$CL$35,87-AH61,FALSE),0)</f>
        <v>0</v>
      </c>
      <c r="C8" s="77">
        <f>IFERROR(VLOOKUP(Vaktplan!$A$41,Vaktplan!$O$4:$CL$35,87-AG61,FALSE),0)</f>
        <v>0</v>
      </c>
      <c r="D8" s="9">
        <f>IFERROR(VLOOKUP(Vaktplan!$A$41,Vaktplan!$O$4:$CL$35,89-AG61,FALSE),0)</f>
        <v>0</v>
      </c>
      <c r="E8" s="9">
        <f t="shared" ref="E8:E17" si="16">IF(AND(B8=0,C8=0),0,IF(B8&lt;C8,((C8-B8)*24)-D8,(((1-B8)+C8)*24)-D8))</f>
        <v>0</v>
      </c>
      <c r="F8" s="9">
        <f t="shared" si="2"/>
        <v>24</v>
      </c>
      <c r="G8" s="77">
        <f>IFERROR(VLOOKUP(Vaktplan!$A$41,Vaktplan!$P$4:$CL$35,86-AH61,FALSE),0)</f>
        <v>0</v>
      </c>
      <c r="H8" s="77">
        <f>IFERROR(VLOOKUP(Vaktplan!$A$41,Vaktplan!$P$4:$CL$35,86-AG61,FALSE),0)</f>
        <v>0</v>
      </c>
      <c r="I8" s="9">
        <f>IFERROR(VLOOKUP(Vaktplan!$A$41,Vaktplan!$P$4:$CL$35,89-$AH61,FALSE),0)</f>
        <v>0</v>
      </c>
      <c r="J8" s="9">
        <f>IF(AND(G8=0,H8=0),0,IF(G8&lt;H8,((H8-G8)*24)-I8,(((1-G8)+H8)*24)-I8))</f>
        <v>0</v>
      </c>
      <c r="K8" s="9">
        <f t="shared" si="4"/>
        <v>24</v>
      </c>
      <c r="L8" s="77">
        <f>IFERROR(VLOOKUP(Vaktplan!$A$41,Vaktplan!$Q$4:$CL$35,86-AI61,FALSE),0)</f>
        <v>0</v>
      </c>
      <c r="M8" s="77">
        <f>IFERROR(VLOOKUP(Vaktplan!$A$41,Vaktplan!$Q$4:$CL$35,86-AH61,FALSE),0)</f>
        <v>0</v>
      </c>
      <c r="N8" s="9">
        <f>IFERROR(VLOOKUP(Vaktplan!$A$41,Vaktplan!$Q$4:$CL$35,89-$AI61,FALSE),0)</f>
        <v>0</v>
      </c>
      <c r="O8" s="9">
        <f t="shared" si="5"/>
        <v>0</v>
      </c>
      <c r="P8" s="9">
        <f t="shared" si="6"/>
        <v>24</v>
      </c>
      <c r="Q8" s="77">
        <f>IFERROR(VLOOKUP(Vaktplan!$A$41,Vaktplan!$R$4:$CL$35,86-AJ61,FALSE),0)</f>
        <v>0</v>
      </c>
      <c r="R8" s="77">
        <f>IFERROR(VLOOKUP(Vaktplan!$A$41,Vaktplan!$R$4:$CL$35,86-AI61,FALSE),0)</f>
        <v>0</v>
      </c>
      <c r="S8" s="9">
        <f>IFERROR(VLOOKUP(Vaktplan!$A$41,Vaktplan!$R$4:$CL$35,89-$AJ61,FALSE),0)</f>
        <v>0</v>
      </c>
      <c r="T8" s="9">
        <f t="shared" si="0"/>
        <v>0</v>
      </c>
      <c r="U8" s="9">
        <f t="shared" si="7"/>
        <v>24</v>
      </c>
      <c r="V8" s="77">
        <f>IFERROR(VLOOKUP(Vaktplan!$A$41,Vaktplan!$S$4:$CL$35,86-AK61,FALSE),0)</f>
        <v>0</v>
      </c>
      <c r="W8" s="77">
        <f>IFERROR(VLOOKUP(Vaktplan!$A$41,Vaktplan!$S$4:$CL$35,86-AJ61,FALSE),0)</f>
        <v>0</v>
      </c>
      <c r="X8" s="9">
        <f>IFERROR(VLOOKUP(Vaktplan!$A$41,Vaktplan!$S$4:$CL$35,89-$AK61,FALSE),0)</f>
        <v>0</v>
      </c>
      <c r="Y8" s="9">
        <f t="shared" si="8"/>
        <v>0</v>
      </c>
      <c r="Z8" s="9">
        <f t="shared" si="9"/>
        <v>24</v>
      </c>
      <c r="AA8" s="77">
        <f>IFERROR(VLOOKUP(Vaktplan!$A$41,Vaktplan!$T$4:$CL$35,86-AL61,FALSE),0)</f>
        <v>0</v>
      </c>
      <c r="AB8" s="77">
        <f>IFERROR(VLOOKUP(Vaktplan!$A$41,Vaktplan!$T$4:$CL$35,86-AK61,FALSE),0)</f>
        <v>0</v>
      </c>
      <c r="AC8" s="9">
        <f>IFERROR(VLOOKUP(Vaktplan!$A$41,Vaktplan!$T$4:$CL$35,89-$AL61,FALSE),0)</f>
        <v>0</v>
      </c>
      <c r="AD8" s="9">
        <f t="shared" si="10"/>
        <v>0</v>
      </c>
      <c r="AE8" s="9">
        <f t="shared" si="11"/>
        <v>24</v>
      </c>
      <c r="AF8" s="77">
        <f>IFERROR(VLOOKUP(Vaktplan!$A$41,Vaktplan!$U$4:$CL$35,86-AM61,FALSE),0)</f>
        <v>0</v>
      </c>
      <c r="AG8" s="77">
        <f>IFERROR(VLOOKUP(Vaktplan!$A$41,Vaktplan!$U$4:$CL$35,86-AL61,FALSE),0)</f>
        <v>0</v>
      </c>
      <c r="AH8" s="9">
        <f>IFERROR(VLOOKUP(Vaktplan!$A$41,Vaktplan!$U$4:$CL$35,89-$AM61,FALSE),0)</f>
        <v>0</v>
      </c>
      <c r="AI8" s="9">
        <f t="shared" si="12"/>
        <v>0</v>
      </c>
      <c r="AJ8" s="9">
        <f t="shared" si="13"/>
        <v>24</v>
      </c>
      <c r="AK8" s="9">
        <f t="shared" si="1"/>
        <v>0</v>
      </c>
      <c r="AL8" s="10">
        <f t="shared" si="14"/>
        <v>24</v>
      </c>
      <c r="AM8" s="10">
        <f t="shared" si="15"/>
        <v>0</v>
      </c>
    </row>
    <row r="9" spans="1:39" ht="13" x14ac:dyDescent="0.25">
      <c r="A9" s="7">
        <f>IF($M$1&gt;=4,4,0)</f>
        <v>4</v>
      </c>
      <c r="B9" s="77">
        <f>IFERROR(VLOOKUP(Vaktplan!$A$41,Vaktplan!$V$4:$CL$35,87-AH62,FALSE),0)</f>
        <v>0</v>
      </c>
      <c r="C9" s="77">
        <f>IFERROR(VLOOKUP(Vaktplan!$A$41,Vaktplan!$V$4:$CL$35,87-AG62,FALSE),0)</f>
        <v>0</v>
      </c>
      <c r="D9" s="9">
        <f>IFERROR(VLOOKUP(Vaktplan!$A$41,Vaktplan!$V$4:$CL$35,89-AG62,FALSE),0)</f>
        <v>0</v>
      </c>
      <c r="E9" s="9">
        <f t="shared" si="16"/>
        <v>0</v>
      </c>
      <c r="F9" s="9">
        <f t="shared" si="2"/>
        <v>24</v>
      </c>
      <c r="G9" s="77">
        <f>IFERROR(VLOOKUP(Vaktplan!$A$41,Vaktplan!$W$4:$CL$35,86-AH62,FALSE),0)</f>
        <v>0</v>
      </c>
      <c r="H9" s="77">
        <f>IFERROR(VLOOKUP(Vaktplan!$A$41,Vaktplan!$W$4:$CL$35,86-AG62,FALSE),0)</f>
        <v>0</v>
      </c>
      <c r="I9" s="9">
        <f>IFERROR(VLOOKUP(Vaktplan!$A$41,Vaktplan!$W$4:$CL$35,89-$AH62,FALSE),0)</f>
        <v>0</v>
      </c>
      <c r="J9" s="9">
        <f t="shared" si="3"/>
        <v>0</v>
      </c>
      <c r="K9" s="9">
        <f t="shared" si="4"/>
        <v>24</v>
      </c>
      <c r="L9" s="77">
        <f>IFERROR(VLOOKUP(Vaktplan!$A$41,Vaktplan!$X$4:$CL$35,86-AI62,FALSE),0)</f>
        <v>0</v>
      </c>
      <c r="M9" s="77">
        <f>IFERROR(VLOOKUP(Vaktplan!$A$41,Vaktplan!$X$4:$CL$35,86-AH62,FALSE),0)</f>
        <v>0</v>
      </c>
      <c r="N9" s="9">
        <f>IFERROR(VLOOKUP(Vaktplan!$A$41,Vaktplan!$X$4:$CL$35,89-$AI62,FALSE),0)</f>
        <v>0</v>
      </c>
      <c r="O9" s="9">
        <f t="shared" si="5"/>
        <v>0</v>
      </c>
      <c r="P9" s="9">
        <f t="shared" si="6"/>
        <v>24</v>
      </c>
      <c r="Q9" s="77">
        <f>IFERROR(VLOOKUP(Vaktplan!$A$41,Vaktplan!$Y$4:$CL$35,86-AJ62,FALSE),0)</f>
        <v>0</v>
      </c>
      <c r="R9" s="77">
        <f>IFERROR(VLOOKUP(Vaktplan!$A$41,Vaktplan!$Y$4:$CL$35,86-AI62,FALSE),0)</f>
        <v>0</v>
      </c>
      <c r="S9" s="9">
        <f>IFERROR(VLOOKUP(Vaktplan!$A$41,Vaktplan!$Y$4:$CL$35,89-$AJ62,FALSE),0)</f>
        <v>0</v>
      </c>
      <c r="T9" s="9">
        <f t="shared" si="0"/>
        <v>0</v>
      </c>
      <c r="U9" s="9">
        <f t="shared" si="7"/>
        <v>24</v>
      </c>
      <c r="V9" s="77">
        <f>IFERROR(VLOOKUP(Vaktplan!$A$41,Vaktplan!$Z$4:$CL$35,86-AK62,FALSE),0)</f>
        <v>0</v>
      </c>
      <c r="W9" s="77">
        <f>IFERROR(VLOOKUP(Vaktplan!$A$41,Vaktplan!$Z$4:$CL$35,86-AJ62,FALSE),0)</f>
        <v>0</v>
      </c>
      <c r="X9" s="9">
        <f>IFERROR(VLOOKUP(Vaktplan!$A$41,Vaktplan!$Z$4:$CL$35,89-$AK62,FALSE),0)</f>
        <v>0</v>
      </c>
      <c r="Y9" s="9">
        <f t="shared" si="8"/>
        <v>0</v>
      </c>
      <c r="Z9" s="9">
        <f t="shared" si="9"/>
        <v>24</v>
      </c>
      <c r="AA9" s="77">
        <f>IFERROR(VLOOKUP(Vaktplan!$A$41,Vaktplan!$AA$4:$CL$35,86-AL62,FALSE),0)</f>
        <v>0</v>
      </c>
      <c r="AB9" s="77">
        <f>IFERROR(VLOOKUP(Vaktplan!$A$41,Vaktplan!$AA$4:$CL$35,86-AK62,FALSE),0)</f>
        <v>0</v>
      </c>
      <c r="AC9" s="9">
        <f>IFERROR(VLOOKUP(Vaktplan!$A$41,Vaktplan!$AA$4:$CL$35,89-$AL62,FALSE),0)</f>
        <v>0</v>
      </c>
      <c r="AD9" s="9">
        <f t="shared" si="10"/>
        <v>0</v>
      </c>
      <c r="AE9" s="9">
        <f t="shared" si="11"/>
        <v>24</v>
      </c>
      <c r="AF9" s="77">
        <f>IFERROR(VLOOKUP(Vaktplan!$A$41,Vaktplan!$AB$4:$CL$35,86-AM62,FALSE),0)</f>
        <v>0</v>
      </c>
      <c r="AG9" s="77">
        <f>IFERROR(VLOOKUP(Vaktplan!$A$41,Vaktplan!$AB$4:$CL$35,86-AL62,FALSE),0)</f>
        <v>0</v>
      </c>
      <c r="AH9" s="9">
        <f>IFERROR(VLOOKUP(Vaktplan!$A$41,Vaktplan!$AB$4:$CL$35,89-$AM62,FALSE),0)</f>
        <v>0</v>
      </c>
      <c r="AI9" s="9">
        <f t="shared" si="12"/>
        <v>0</v>
      </c>
      <c r="AJ9" s="9">
        <f t="shared" si="13"/>
        <v>24</v>
      </c>
      <c r="AK9" s="9">
        <f t="shared" si="1"/>
        <v>0</v>
      </c>
      <c r="AL9" s="10">
        <f t="shared" si="14"/>
        <v>24</v>
      </c>
      <c r="AM9" s="10">
        <f t="shared" si="15"/>
        <v>0</v>
      </c>
    </row>
    <row r="10" spans="1:39" ht="13" x14ac:dyDescent="0.25">
      <c r="A10" s="7">
        <f>IF($M$1&gt;=5,5,0)</f>
        <v>0</v>
      </c>
      <c r="B10" s="77">
        <f>IFERROR(VLOOKUP(Vaktplan!$A$41,Vaktplan!$AC$4:$CL$35,87-AH63,FALSE),0)</f>
        <v>0</v>
      </c>
      <c r="C10" s="77">
        <f>IFERROR(VLOOKUP(Vaktplan!$A$41,Vaktplan!$AC$4:$CL$35,87-AG63,FALSE),0)</f>
        <v>0</v>
      </c>
      <c r="D10" s="9">
        <f>IFERROR(VLOOKUP(Vaktplan!$A$41,Vaktplan!$AC$4:$CL$35,89-AG63,FALSE),0)</f>
        <v>0</v>
      </c>
      <c r="E10" s="9">
        <f t="shared" si="16"/>
        <v>0</v>
      </c>
      <c r="F10" s="9">
        <f t="shared" si="2"/>
        <v>24</v>
      </c>
      <c r="G10" s="77">
        <f>IFERROR(VLOOKUP(Vaktplan!$A$41,Vaktplan!$AD$4:$CL$35,86-AH63,FALSE),0)</f>
        <v>0</v>
      </c>
      <c r="H10" s="77">
        <f>IFERROR(VLOOKUP(Vaktplan!$A$41,Vaktplan!$AD$4:$CL$35,86-AG63,FALSE),0)</f>
        <v>0</v>
      </c>
      <c r="I10" s="9">
        <f>IFERROR(VLOOKUP(Vaktplan!$A$41,Vaktplan!$AD$4:$CL$35,89-$AH63,FALSE),0)</f>
        <v>0</v>
      </c>
      <c r="J10" s="9">
        <f t="shared" si="3"/>
        <v>0</v>
      </c>
      <c r="K10" s="9">
        <f t="shared" si="4"/>
        <v>24</v>
      </c>
      <c r="L10" s="77">
        <f>IFERROR(VLOOKUP(Vaktplan!$A$41,Vaktplan!$AE$4:$CL$35,86-AI63,FALSE),0)</f>
        <v>0</v>
      </c>
      <c r="M10" s="77">
        <f>IFERROR(VLOOKUP(Vaktplan!$A$41,Vaktplan!$AE$4:$CL$35,86-AH63,FALSE),0)</f>
        <v>0</v>
      </c>
      <c r="N10" s="9">
        <f>IFERROR(VLOOKUP(Vaktplan!$A$41,Vaktplan!$AE$4:$CL$35,89-$AI63,FALSE),0)</f>
        <v>0</v>
      </c>
      <c r="O10" s="9">
        <f t="shared" si="5"/>
        <v>0</v>
      </c>
      <c r="P10" s="9">
        <f t="shared" si="6"/>
        <v>24</v>
      </c>
      <c r="Q10" s="77">
        <f>IFERROR(VLOOKUP(Vaktplan!$A$41,Vaktplan!$AF$4:$CL$35,86-AJ63,FALSE),0)</f>
        <v>0</v>
      </c>
      <c r="R10" s="77">
        <f>IFERROR(VLOOKUP(Vaktplan!$A$41,Vaktplan!$AF$4:$CL$35,86-AI63,FALSE),0)</f>
        <v>0</v>
      </c>
      <c r="S10" s="9">
        <f>IFERROR(VLOOKUP(Vaktplan!$A$41,Vaktplan!$AF$4:$CL$35,89-$AJ63,FALSE),0)</f>
        <v>0</v>
      </c>
      <c r="T10" s="9">
        <f t="shared" si="0"/>
        <v>0</v>
      </c>
      <c r="U10" s="9">
        <f t="shared" si="7"/>
        <v>24</v>
      </c>
      <c r="V10" s="77">
        <f>IFERROR(VLOOKUP(Vaktplan!$A$41,Vaktplan!$AG$4:$CL$35,86-AK63,FALSE),0)</f>
        <v>0</v>
      </c>
      <c r="W10" s="77">
        <f>IFERROR(VLOOKUP(Vaktplan!$A$41,Vaktplan!$AG$4:$CL$35,86-AJ63,FALSE),0)</f>
        <v>0</v>
      </c>
      <c r="X10" s="9">
        <f>IFERROR(VLOOKUP(Vaktplan!$A$41,Vaktplan!$AG$4:$CL$35,89-$AK63,FALSE),0)</f>
        <v>0</v>
      </c>
      <c r="Y10" s="9">
        <f t="shared" si="8"/>
        <v>0</v>
      </c>
      <c r="Z10" s="9">
        <f t="shared" si="9"/>
        <v>24</v>
      </c>
      <c r="AA10" s="77">
        <f>IFERROR(VLOOKUP(Vaktplan!$A$41,Vaktplan!$AH$4:$CL$35,86-AL63,FALSE),0)</f>
        <v>0</v>
      </c>
      <c r="AB10" s="77">
        <f>IFERROR(VLOOKUP(Vaktplan!$A$41,Vaktplan!$AH$4:$CL$35,86-AK63,FALSE),0)</f>
        <v>0</v>
      </c>
      <c r="AC10" s="9">
        <f>IFERROR(VLOOKUP(Vaktplan!$A$41,Vaktplan!$AH$4:$CL$35,89-$AL63,FALSE),0)</f>
        <v>0</v>
      </c>
      <c r="AD10" s="9">
        <f t="shared" si="10"/>
        <v>0</v>
      </c>
      <c r="AE10" s="9">
        <f t="shared" si="11"/>
        <v>24</v>
      </c>
      <c r="AF10" s="77">
        <f>IFERROR(VLOOKUP(Vaktplan!$A$41,Vaktplan!$AI$4:$CL$35,86-AM63,FALSE),0)</f>
        <v>0</v>
      </c>
      <c r="AG10" s="77">
        <f>IFERROR(VLOOKUP(Vaktplan!$A$41,Vaktplan!$AI$4:$CL$35,86-AL63,FALSE),0)</f>
        <v>0</v>
      </c>
      <c r="AH10" s="9">
        <f>IFERROR(VLOOKUP(Vaktplan!$A$41,Vaktplan!$AI$4:$CL$35,89-$AM63,FALSE),0)</f>
        <v>0</v>
      </c>
      <c r="AI10" s="9">
        <f t="shared" si="12"/>
        <v>0</v>
      </c>
      <c r="AJ10" s="9">
        <f t="shared" si="13"/>
        <v>24</v>
      </c>
      <c r="AK10" s="9">
        <f t="shared" si="1"/>
        <v>0</v>
      </c>
      <c r="AL10" s="10">
        <f t="shared" si="14"/>
        <v>24</v>
      </c>
      <c r="AM10" s="10">
        <f t="shared" si="15"/>
        <v>0</v>
      </c>
    </row>
    <row r="11" spans="1:39" ht="13" x14ac:dyDescent="0.25">
      <c r="A11" s="7">
        <f>IF($M$1&gt;=6,6,0)</f>
        <v>0</v>
      </c>
      <c r="B11" s="77">
        <f>IFERROR(VLOOKUP(Vaktplan!$A$41,Vaktplan!$AJ$4:$CL$35,87-AH64,FALSE),0)</f>
        <v>0</v>
      </c>
      <c r="C11" s="77">
        <f>IFERROR(VLOOKUP(Vaktplan!$A$41,Vaktplan!$AJ$4:$CL$35,87-AG64,FALSE),0)</f>
        <v>0</v>
      </c>
      <c r="D11" s="9">
        <f>IFERROR(VLOOKUP(Vaktplan!$A$41,Vaktplan!$AJ$4:$CL$35,89-AG64,FALSE),0)</f>
        <v>0</v>
      </c>
      <c r="E11" s="9">
        <f t="shared" si="16"/>
        <v>0</v>
      </c>
      <c r="F11" s="9">
        <f t="shared" si="2"/>
        <v>24</v>
      </c>
      <c r="G11" s="77">
        <f>IFERROR(VLOOKUP(Vaktplan!$A$41,Vaktplan!$AK$4:$CL$35,86-AH64,FALSE),0)</f>
        <v>0</v>
      </c>
      <c r="H11" s="77">
        <f>IFERROR(VLOOKUP(Vaktplan!$A$41,Vaktplan!$AK$4:$CL$35,86-AG64,FALSE),0)</f>
        <v>0</v>
      </c>
      <c r="I11" s="9">
        <f>IFERROR(VLOOKUP(Vaktplan!$A$41,Vaktplan!$AK$4:$CL$35,89-$AH64,FALSE),0)</f>
        <v>0</v>
      </c>
      <c r="J11" s="9">
        <f t="shared" si="3"/>
        <v>0</v>
      </c>
      <c r="K11" s="9">
        <f t="shared" si="4"/>
        <v>24</v>
      </c>
      <c r="L11" s="77">
        <f>IFERROR(VLOOKUP(Vaktplan!$A$41,Vaktplan!$AL$4:$CL$35,86-AI64,FALSE),0)</f>
        <v>0</v>
      </c>
      <c r="M11" s="77">
        <f>IFERROR(VLOOKUP(Vaktplan!$A$41,Vaktplan!$AL$4:$CL$35,86-AH64,FALSE),0)</f>
        <v>0</v>
      </c>
      <c r="N11" s="9">
        <f>IFERROR(VLOOKUP(Vaktplan!$A$41,Vaktplan!$AL$4:$CL$35,89-$AI64,FALSE),0)</f>
        <v>0</v>
      </c>
      <c r="O11" s="9">
        <f t="shared" si="5"/>
        <v>0</v>
      </c>
      <c r="P11" s="9">
        <f t="shared" si="6"/>
        <v>24</v>
      </c>
      <c r="Q11" s="77">
        <f>IFERROR(VLOOKUP(Vaktplan!$A$41,Vaktplan!$AM$4:$CL$35,86-AJ64,FALSE),0)</f>
        <v>0</v>
      </c>
      <c r="R11" s="77">
        <f>IFERROR(VLOOKUP(Vaktplan!$A$41,Vaktplan!$AM$4:$CL$35,86-AI64,FALSE),0)</f>
        <v>0</v>
      </c>
      <c r="S11" s="9">
        <f>IFERROR(VLOOKUP(Vaktplan!$A$41,Vaktplan!$AM$4:$CL$35,89-$AJ64,FALSE),0)</f>
        <v>0</v>
      </c>
      <c r="T11" s="9">
        <f t="shared" si="0"/>
        <v>0</v>
      </c>
      <c r="U11" s="9">
        <f t="shared" si="7"/>
        <v>24</v>
      </c>
      <c r="V11" s="77">
        <f>IFERROR(VLOOKUP(Vaktplan!$A$41,Vaktplan!$AN$4:$CL$35,86-AK64,FALSE),0)</f>
        <v>0</v>
      </c>
      <c r="W11" s="77">
        <f>IFERROR(VLOOKUP(Vaktplan!$A$41,Vaktplan!$AN$4:$CL$35,86-AJ64,FALSE),0)</f>
        <v>0</v>
      </c>
      <c r="X11" s="9">
        <f>IFERROR(VLOOKUP(Vaktplan!$A$41,Vaktplan!$AN$4:$CL$35,89-$AK64,FALSE),0)</f>
        <v>0</v>
      </c>
      <c r="Y11" s="9">
        <f t="shared" si="8"/>
        <v>0</v>
      </c>
      <c r="Z11" s="9">
        <f t="shared" si="9"/>
        <v>24</v>
      </c>
      <c r="AA11" s="77">
        <f>IFERROR(VLOOKUP(Vaktplan!$A$41,Vaktplan!$AO$4:$CL$35,86-AL64,FALSE),0)</f>
        <v>0</v>
      </c>
      <c r="AB11" s="77">
        <f>IFERROR(VLOOKUP(Vaktplan!$A$41,Vaktplan!$AO$4:$CL$35,86-AK64,FALSE),0)</f>
        <v>0</v>
      </c>
      <c r="AC11" s="9">
        <f>IFERROR(VLOOKUP(Vaktplan!$A$41,Vaktplan!$AO$4:$CL$35,89-$AL64,FALSE),0)</f>
        <v>0</v>
      </c>
      <c r="AD11" s="9">
        <f t="shared" si="10"/>
        <v>0</v>
      </c>
      <c r="AE11" s="9">
        <f t="shared" si="11"/>
        <v>24</v>
      </c>
      <c r="AF11" s="77">
        <f>IFERROR(VLOOKUP(Vaktplan!$A$41,Vaktplan!$AP$4:$CL$35,86-AM64,FALSE),0)</f>
        <v>0</v>
      </c>
      <c r="AG11" s="77">
        <f>IFERROR(VLOOKUP(Vaktplan!$A$41,Vaktplan!$AP$4:$CL$35,86-AL64,FALSE),0)</f>
        <v>0</v>
      </c>
      <c r="AH11" s="9">
        <f>IFERROR(VLOOKUP(Vaktplan!$A$41,Vaktplan!$AP$4:$CL$35,89-$AM64,FALSE),0)</f>
        <v>0</v>
      </c>
      <c r="AI11" s="9">
        <f t="shared" si="12"/>
        <v>0</v>
      </c>
      <c r="AJ11" s="9">
        <f t="shared" si="13"/>
        <v>24</v>
      </c>
      <c r="AK11" s="9">
        <f t="shared" si="1"/>
        <v>0</v>
      </c>
      <c r="AL11" s="10">
        <f t="shared" si="14"/>
        <v>24</v>
      </c>
      <c r="AM11" s="10">
        <f t="shared" si="15"/>
        <v>0</v>
      </c>
    </row>
    <row r="12" spans="1:39" ht="13" x14ac:dyDescent="0.25">
      <c r="A12" s="7">
        <f>IF($M$1&gt;=7,7,0)</f>
        <v>0</v>
      </c>
      <c r="B12" s="77">
        <f>IFERROR(VLOOKUP(Vaktplan!$A$41,Vaktplan!$AQ$4:$CL$35,87-AH65,FALSE),0)</f>
        <v>0</v>
      </c>
      <c r="C12" s="77">
        <f>IFERROR(VLOOKUP(Vaktplan!$A$41,Vaktplan!$AQ$4:$CL$35,87-AG65,FALSE),0)</f>
        <v>0</v>
      </c>
      <c r="D12" s="9">
        <f>IFERROR(VLOOKUP(Vaktplan!$A$41,Vaktplan!$AQ$4:$CL$35,89-AG65,FALSE),0)</f>
        <v>0</v>
      </c>
      <c r="E12" s="9">
        <f t="shared" si="16"/>
        <v>0</v>
      </c>
      <c r="F12" s="9">
        <f t="shared" si="2"/>
        <v>24</v>
      </c>
      <c r="G12" s="77">
        <f>IFERROR(VLOOKUP(Vaktplan!$A$41,Vaktplan!$AR$4:$CL$35,86-AH65,FALSE),0)</f>
        <v>0</v>
      </c>
      <c r="H12" s="77">
        <f>IFERROR(VLOOKUP(Vaktplan!$A$41,Vaktplan!$AR$4:$CL$35,86-AG65,FALSE),0)</f>
        <v>0</v>
      </c>
      <c r="I12" s="9">
        <f>IFERROR(VLOOKUP(Vaktplan!$A$41,Vaktplan!$AR$4:$CL$35,89-$AH65,FALSE),0)</f>
        <v>0</v>
      </c>
      <c r="J12" s="9">
        <f t="shared" si="3"/>
        <v>0</v>
      </c>
      <c r="K12" s="9">
        <f t="shared" si="4"/>
        <v>24</v>
      </c>
      <c r="L12" s="77">
        <f>IFERROR(VLOOKUP(Vaktplan!$A$41,Vaktplan!$AS$4:$CL$35,86-AI65,FALSE),0)</f>
        <v>0</v>
      </c>
      <c r="M12" s="77">
        <f>IFERROR(VLOOKUP(Vaktplan!$A$41,Vaktplan!$AS$4:$CL$35,86-AH65,FALSE),0)</f>
        <v>0</v>
      </c>
      <c r="N12" s="9">
        <f>IFERROR(VLOOKUP(Vaktplan!$A$41,Vaktplan!$AS$4:$CL$35,89-$AI65,FALSE),0)</f>
        <v>0</v>
      </c>
      <c r="O12" s="9">
        <f t="shared" si="5"/>
        <v>0</v>
      </c>
      <c r="P12" s="9">
        <f t="shared" si="6"/>
        <v>24</v>
      </c>
      <c r="Q12" s="77">
        <f>IFERROR(VLOOKUP(Vaktplan!$A$41,Vaktplan!$AT$4:$CL$35,86-AJ65,FALSE),0)</f>
        <v>0</v>
      </c>
      <c r="R12" s="77">
        <f>IFERROR(VLOOKUP(Vaktplan!$A$41,Vaktplan!$AT$4:$CL$35,86-AI65,FALSE),0)</f>
        <v>0</v>
      </c>
      <c r="S12" s="9">
        <f>IFERROR(VLOOKUP(Vaktplan!$A$41,Vaktplan!$AT$4:$CL$35,89-$AJ65,FALSE),0)</f>
        <v>0</v>
      </c>
      <c r="T12" s="9">
        <f t="shared" si="0"/>
        <v>0</v>
      </c>
      <c r="U12" s="9">
        <f t="shared" si="7"/>
        <v>24</v>
      </c>
      <c r="V12" s="77">
        <f>IFERROR(VLOOKUP(Vaktplan!$A$41,Vaktplan!$AU$4:$CL$35,86-AK65,FALSE),0)</f>
        <v>0</v>
      </c>
      <c r="W12" s="77">
        <f>IFERROR(VLOOKUP(Vaktplan!$A$41,Vaktplan!$AU$4:$CL$35,86-AJ65,FALSE),0)</f>
        <v>0</v>
      </c>
      <c r="X12" s="9">
        <f>IFERROR(VLOOKUP(Vaktplan!$A$41,Vaktplan!$AU$4:$CL$35,89-$AK65,FALSE),0)</f>
        <v>0</v>
      </c>
      <c r="Y12" s="9">
        <f t="shared" si="8"/>
        <v>0</v>
      </c>
      <c r="Z12" s="9">
        <f t="shared" si="9"/>
        <v>24</v>
      </c>
      <c r="AA12" s="77">
        <f>IFERROR(VLOOKUP(Vaktplan!$A$41,Vaktplan!$AV$4:$CL$35,86-AL65,FALSE),0)</f>
        <v>0</v>
      </c>
      <c r="AB12" s="77">
        <f>IFERROR(VLOOKUP(Vaktplan!$A$41,Vaktplan!$AV$4:$CL$35,86-AK65,FALSE),0)</f>
        <v>0</v>
      </c>
      <c r="AC12" s="9">
        <f>IFERROR(VLOOKUP(Vaktplan!$A$41,Vaktplan!$AV$4:$CL$35,89-$AL65,FALSE),0)</f>
        <v>0</v>
      </c>
      <c r="AD12" s="9">
        <f t="shared" si="10"/>
        <v>0</v>
      </c>
      <c r="AE12" s="9">
        <f t="shared" si="11"/>
        <v>24</v>
      </c>
      <c r="AF12" s="77">
        <f>IFERROR(VLOOKUP(Vaktplan!$A$41,Vaktplan!$AW$4:$CL$35,86-AM65,FALSE),0)</f>
        <v>0</v>
      </c>
      <c r="AG12" s="77">
        <f>IFERROR(VLOOKUP(Vaktplan!$A$41,Vaktplan!$AW$4:$CL$35,86-AL65,FALSE),0)</f>
        <v>0</v>
      </c>
      <c r="AH12" s="9">
        <f>IFERROR(VLOOKUP(Vaktplan!$A$41,Vaktplan!$AW$4:$CL$35,89-$AM65,FALSE),0)</f>
        <v>0</v>
      </c>
      <c r="AI12" s="9">
        <f t="shared" si="12"/>
        <v>0</v>
      </c>
      <c r="AJ12" s="9">
        <f t="shared" si="13"/>
        <v>24</v>
      </c>
      <c r="AK12" s="9">
        <f t="shared" si="1"/>
        <v>0</v>
      </c>
      <c r="AL12" s="10">
        <f t="shared" si="14"/>
        <v>24</v>
      </c>
      <c r="AM12" s="10">
        <f t="shared" si="15"/>
        <v>0</v>
      </c>
    </row>
    <row r="13" spans="1:39" ht="13" x14ac:dyDescent="0.25">
      <c r="A13" s="7">
        <f>IF($M$1&gt;=8,8,0)</f>
        <v>0</v>
      </c>
      <c r="B13" s="77">
        <f>IFERROR(VLOOKUP(Vaktplan!$A$41,Vaktplan!$AX$4:$CL$35,87-AH66,FALSE),0)</f>
        <v>0</v>
      </c>
      <c r="C13" s="77">
        <f>IFERROR(VLOOKUP(Vaktplan!$A$41,Vaktplan!$AX$4:$CL$35,87-AG66,FALSE),0)</f>
        <v>0</v>
      </c>
      <c r="D13" s="9">
        <f>IFERROR(VLOOKUP(Vaktplan!$A$41,Vaktplan!$AX$4:$CL$35,89-AG66,FALSE),0)</f>
        <v>0</v>
      </c>
      <c r="E13" s="9">
        <f t="shared" si="16"/>
        <v>0</v>
      </c>
      <c r="F13" s="9">
        <f t="shared" si="2"/>
        <v>24</v>
      </c>
      <c r="G13" s="77">
        <f>IFERROR(VLOOKUP(Vaktplan!$A$41,Vaktplan!$AY$4:$CL$35,86-AH66,FALSE),0)</f>
        <v>0</v>
      </c>
      <c r="H13" s="77">
        <f>IFERROR(VLOOKUP(Vaktplan!$A$41,Vaktplan!$AY$4:$CL$35,86-AG66,FALSE),0)</f>
        <v>0</v>
      </c>
      <c r="I13" s="9">
        <f>IFERROR(VLOOKUP(Vaktplan!$A$41,Vaktplan!$AY$4:$CL$35,89-$AH66,FALSE),0)</f>
        <v>0</v>
      </c>
      <c r="J13" s="9">
        <f t="shared" si="3"/>
        <v>0</v>
      </c>
      <c r="K13" s="9">
        <f t="shared" si="4"/>
        <v>24</v>
      </c>
      <c r="L13" s="77">
        <f>IFERROR(VLOOKUP(Vaktplan!$A$41,Vaktplan!$AZ$4:$CL$35,86-AI66,FALSE),0)</f>
        <v>0</v>
      </c>
      <c r="M13" s="77">
        <f>IFERROR(VLOOKUP(Vaktplan!$A$41,Vaktplan!$AZ$4:$CL$35,86-AH66,FALSE),0)</f>
        <v>0</v>
      </c>
      <c r="N13" s="9">
        <f>IFERROR(VLOOKUP(Vaktplan!$A$41,Vaktplan!$AZ$4:$CL$35,89-$AI66,FALSE),0)</f>
        <v>0</v>
      </c>
      <c r="O13" s="9">
        <f t="shared" si="5"/>
        <v>0</v>
      </c>
      <c r="P13" s="9">
        <f t="shared" si="6"/>
        <v>24</v>
      </c>
      <c r="Q13" s="77">
        <f>IFERROR(VLOOKUP(Vaktplan!$A$41,Vaktplan!$BA$4:$CL$35,86-AJ66,FALSE),0)</f>
        <v>0</v>
      </c>
      <c r="R13" s="77">
        <f>IFERROR(VLOOKUP(Vaktplan!$A$41,Vaktplan!$BA$4:$CL$35,86-AI66,FALSE),0)</f>
        <v>0</v>
      </c>
      <c r="S13" s="9">
        <f>IFERROR(VLOOKUP(Vaktplan!$A$41,Vaktplan!$BA$4:$CL$35,89-$AJ66,FALSE),0)</f>
        <v>0</v>
      </c>
      <c r="T13" s="9">
        <f t="shared" si="0"/>
        <v>0</v>
      </c>
      <c r="U13" s="9">
        <f t="shared" si="7"/>
        <v>24</v>
      </c>
      <c r="V13" s="77">
        <f>IFERROR(VLOOKUP(Vaktplan!$A$41,Vaktplan!$BB$4:$CL$35,86-AK66,FALSE),0)</f>
        <v>0</v>
      </c>
      <c r="W13" s="77">
        <f>IFERROR(VLOOKUP(Vaktplan!$A$41,Vaktplan!$BB$4:$CL$35,86-AJ66,FALSE),0)</f>
        <v>0</v>
      </c>
      <c r="X13" s="9">
        <f>IFERROR(VLOOKUP(Vaktplan!$A$41,Vaktplan!$BB$4:$CL$35,89-$AK66,FALSE),0)</f>
        <v>0</v>
      </c>
      <c r="Y13" s="9">
        <f t="shared" si="8"/>
        <v>0</v>
      </c>
      <c r="Z13" s="9">
        <f t="shared" si="9"/>
        <v>24</v>
      </c>
      <c r="AA13" s="77">
        <f>IFERROR(VLOOKUP(Vaktplan!$A$41,Vaktplan!$BC$4:$CL$35,86-AL66,FALSE),0)</f>
        <v>0</v>
      </c>
      <c r="AB13" s="77">
        <f>IFERROR(VLOOKUP(Vaktplan!$A$41,Vaktplan!$BC$4:$CL$35,86-AK66,FALSE),0)</f>
        <v>0</v>
      </c>
      <c r="AC13" s="9">
        <f>IFERROR(VLOOKUP(Vaktplan!$A$41,Vaktplan!$BC$4:$CL$35,89-$AL66,FALSE),0)</f>
        <v>0</v>
      </c>
      <c r="AD13" s="9">
        <f t="shared" si="10"/>
        <v>0</v>
      </c>
      <c r="AE13" s="9">
        <f t="shared" si="11"/>
        <v>24</v>
      </c>
      <c r="AF13" s="77">
        <f>IFERROR(VLOOKUP(Vaktplan!$A$41,Vaktplan!$BD$4:$CL$35,86-AM66,FALSE),0)</f>
        <v>0</v>
      </c>
      <c r="AG13" s="77">
        <f>IFERROR(VLOOKUP(Vaktplan!$A$41,Vaktplan!$BD$4:$CL$35,86-AL66,FALSE),0)</f>
        <v>0</v>
      </c>
      <c r="AH13" s="9">
        <f>IFERROR(VLOOKUP(Vaktplan!$A$41,Vaktplan!$BD$4:$CL$35,89-$AM66,FALSE),0)</f>
        <v>0</v>
      </c>
      <c r="AI13" s="9">
        <f t="shared" si="12"/>
        <v>0</v>
      </c>
      <c r="AJ13" s="9">
        <f t="shared" si="13"/>
        <v>24</v>
      </c>
      <c r="AK13" s="9">
        <f t="shared" si="1"/>
        <v>0</v>
      </c>
      <c r="AL13" s="10">
        <f t="shared" si="14"/>
        <v>24</v>
      </c>
      <c r="AM13" s="10">
        <f t="shared" si="15"/>
        <v>0</v>
      </c>
    </row>
    <row r="14" spans="1:39" ht="13" x14ac:dyDescent="0.25">
      <c r="A14" s="7">
        <v>9</v>
      </c>
      <c r="B14" s="77">
        <f>IFERROR(VLOOKUP(Vaktplan!$A$41,Vaktplan!$BE$4:$CL$35,87-AH67,FALSE),0)</f>
        <v>0</v>
      </c>
      <c r="C14" s="77">
        <f>IFERROR(VLOOKUP(Vaktplan!$A$41,Vaktplan!$BE$4:$CL$35,87-AG67,FALSE),0)</f>
        <v>0</v>
      </c>
      <c r="D14" s="9">
        <f>IFERROR(VLOOKUP(Vaktplan!$A$41,Vaktplan!$BE$4:$CL$35,89-AG67,FALSE),0)</f>
        <v>0</v>
      </c>
      <c r="E14" s="9">
        <f t="shared" si="16"/>
        <v>0</v>
      </c>
      <c r="F14" s="9">
        <f t="shared" si="2"/>
        <v>24</v>
      </c>
      <c r="G14" s="77">
        <f>IFERROR(VLOOKUP(Vaktplan!$A$41,Vaktplan!$BF$4:$CL$35,86-AH67,FALSE),0)</f>
        <v>0</v>
      </c>
      <c r="H14" s="77">
        <f>IFERROR(VLOOKUP(Vaktplan!$A$41,Vaktplan!$BF$4:$CL$35,86-AG67,FALSE),0)</f>
        <v>0</v>
      </c>
      <c r="I14" s="9">
        <f>IFERROR(VLOOKUP(Vaktplan!$A$41,Vaktplan!$BF$4:$CL$35,89-$AH67,FALSE),0)</f>
        <v>0</v>
      </c>
      <c r="J14" s="9">
        <f t="shared" si="3"/>
        <v>0</v>
      </c>
      <c r="K14" s="9">
        <f t="shared" si="4"/>
        <v>24</v>
      </c>
      <c r="L14" s="77">
        <f>IFERROR(VLOOKUP(Vaktplan!$A$41,Vaktplan!$BG$4:$CL$35,86-AI67,FALSE),0)</f>
        <v>0</v>
      </c>
      <c r="M14" s="77">
        <f>IFERROR(VLOOKUP(Vaktplan!$A$41,Vaktplan!$BG$4:$CL$35,86-AH67,FALSE),0)</f>
        <v>0</v>
      </c>
      <c r="N14" s="9">
        <f>IFERROR(VLOOKUP(Vaktplan!$A$41,Vaktplan!$BG$4:$CL$35,89-$AI67,FALSE),0)</f>
        <v>0</v>
      </c>
      <c r="O14" s="9">
        <f t="shared" si="5"/>
        <v>0</v>
      </c>
      <c r="P14" s="9">
        <f t="shared" si="6"/>
        <v>24</v>
      </c>
      <c r="Q14" s="77">
        <f>IFERROR(VLOOKUP(Vaktplan!$A$41,Vaktplan!$BH$4:$CL$35,86-AJ67,FALSE),0)</f>
        <v>0</v>
      </c>
      <c r="R14" s="77">
        <f>IFERROR(VLOOKUP(Vaktplan!$A$41,Vaktplan!$BH$4:$CL$35,86-AI67,FALSE),0)</f>
        <v>0</v>
      </c>
      <c r="S14" s="9">
        <f>IFERROR(VLOOKUP(Vaktplan!$A$41,Vaktplan!$BH$4:$CL$35,89-$AJ67,FALSE),0)</f>
        <v>0</v>
      </c>
      <c r="T14" s="9">
        <f t="shared" si="0"/>
        <v>0</v>
      </c>
      <c r="U14" s="9">
        <f t="shared" si="7"/>
        <v>24</v>
      </c>
      <c r="V14" s="77">
        <f>IFERROR(VLOOKUP(Vaktplan!$A$41,Vaktplan!$BI$4:$CL$35,86-AK67,FALSE),0)</f>
        <v>0</v>
      </c>
      <c r="W14" s="77">
        <f>IFERROR(VLOOKUP(Vaktplan!$A$41,Vaktplan!$BI$4:$CL$35,86-AJ67,FALSE),0)</f>
        <v>0</v>
      </c>
      <c r="X14" s="9">
        <f>IFERROR(VLOOKUP(Vaktplan!$A$41,Vaktplan!$BI$4:$CL$35,89-$AK67,FALSE),0)</f>
        <v>0</v>
      </c>
      <c r="Y14" s="9">
        <f>IF(AND(V14=0,W14=0),0,IF(V14&lt;W14,((W14-V14)*24)-X14,(((1-V14)+W14)*24)-X14))</f>
        <v>0</v>
      </c>
      <c r="Z14" s="9">
        <f t="shared" si="9"/>
        <v>24</v>
      </c>
      <c r="AA14" s="77">
        <f>IFERROR(VLOOKUP(Vaktplan!$A$41,Vaktplan!$BJ$4:$CL$35,86-AL67,FALSE),0)</f>
        <v>0</v>
      </c>
      <c r="AB14" s="77">
        <f>IFERROR(VLOOKUP(Vaktplan!$A$41,Vaktplan!$BJ$4:$CL$35,86-AK67,FALSE),0)</f>
        <v>0</v>
      </c>
      <c r="AC14" s="9">
        <f>IFERROR(VLOOKUP(Vaktplan!$A$41,Vaktplan!$BJ$4:$CL$35,89-$AL67,FALSE),0)</f>
        <v>0</v>
      </c>
      <c r="AD14" s="9">
        <f>IF(AND(AA14=0,AB14=0),0,IF(AA14&lt;AB14,((AB14-AA14)*24)-AC14,(((1-AA14)+AB14)*24)-AC14))</f>
        <v>0</v>
      </c>
      <c r="AE14" s="9">
        <f t="shared" si="11"/>
        <v>24</v>
      </c>
      <c r="AF14" s="77">
        <f>IFERROR(VLOOKUP(Vaktplan!$A$41,Vaktplan!$BK$4:$CL$35,86-AM67,FALSE),0)</f>
        <v>0</v>
      </c>
      <c r="AG14" s="77">
        <f>IFERROR(VLOOKUP(Vaktplan!$A$41,Vaktplan!$BK$4:$CL$35,86-AL67,FALSE),0)</f>
        <v>0</v>
      </c>
      <c r="AH14" s="9">
        <f>IFERROR(VLOOKUP(Vaktplan!$A$41,Vaktplan!$BK$4:$CL$35,89-$AM67,FALSE),0)</f>
        <v>0</v>
      </c>
      <c r="AI14" s="9">
        <f>IF(AND(AF14=0,AG14=0),0,IF(AF14&lt;AG14,((AG14-AF14)*24)-AH14,(((1-AF14)+AG14)*24)-AH14))</f>
        <v>0</v>
      </c>
      <c r="AJ14" s="9">
        <f t="shared" si="13"/>
        <v>24</v>
      </c>
      <c r="AK14" s="9">
        <f t="shared" si="1"/>
        <v>0</v>
      </c>
      <c r="AL14" s="10"/>
      <c r="AM14" s="10"/>
    </row>
    <row r="15" spans="1:39" ht="13" x14ac:dyDescent="0.25">
      <c r="A15" s="7">
        <v>10</v>
      </c>
      <c r="B15" s="77">
        <f>IFERROR(VLOOKUP(Vaktplan!$A$41,Vaktplan!$BL$4:$CL$35,87-AH68,FALSE),0)</f>
        <v>0</v>
      </c>
      <c r="C15" s="77">
        <f>IFERROR(VLOOKUP(Vaktplan!$A$41,Vaktplan!$BL$4:$CL$35,87-AG68,FALSE),0)</f>
        <v>0</v>
      </c>
      <c r="D15" s="9">
        <f>IFERROR(VLOOKUP(Vaktplan!$A$41,Vaktplan!$BL$4:$CL$35,89-AG68,FALSE),0)</f>
        <v>0</v>
      </c>
      <c r="E15" s="9">
        <f t="shared" si="16"/>
        <v>0</v>
      </c>
      <c r="F15" s="9">
        <f t="shared" si="2"/>
        <v>24</v>
      </c>
      <c r="G15" s="77">
        <f>IFERROR(VLOOKUP(Vaktplan!$A$41,Vaktplan!$BM$4:$CL$35,86-AH68,FALSE),0)</f>
        <v>0</v>
      </c>
      <c r="H15" s="77">
        <f>IFERROR(VLOOKUP(Vaktplan!$A$41,Vaktplan!$BM$4:$CL$35,86-AG68,FALSE),0)</f>
        <v>0</v>
      </c>
      <c r="I15" s="9">
        <f>IFERROR(VLOOKUP(Vaktplan!$A$41,Vaktplan!$BM$4:$CL$35,89-$AH68,FALSE),0)</f>
        <v>0</v>
      </c>
      <c r="J15" s="9">
        <f t="shared" si="3"/>
        <v>0</v>
      </c>
      <c r="K15" s="9">
        <f t="shared" si="4"/>
        <v>24</v>
      </c>
      <c r="L15" s="77">
        <f>IFERROR(VLOOKUP(Vaktplan!$A$41,Vaktplan!$BN$4:$CL$35,86-AI68,FALSE),0)</f>
        <v>0</v>
      </c>
      <c r="M15" s="77">
        <f>IFERROR(VLOOKUP(Vaktplan!$A$41,Vaktplan!$BN$4:$CL$35,86-AH68,FALSE),0)</f>
        <v>0</v>
      </c>
      <c r="N15" s="9">
        <f>IFERROR(VLOOKUP(Vaktplan!$A$41,Vaktplan!$BN$4:$CL$35,89-$AI68,FALSE),0)</f>
        <v>0</v>
      </c>
      <c r="O15" s="9">
        <f t="shared" si="5"/>
        <v>0</v>
      </c>
      <c r="P15" s="9">
        <f t="shared" si="6"/>
        <v>24</v>
      </c>
      <c r="Q15" s="77">
        <f>IFERROR(VLOOKUP(Vaktplan!$A$41,Vaktplan!$BO$4:$CL$35,86-AJ68,FALSE),0)</f>
        <v>0</v>
      </c>
      <c r="R15" s="77">
        <f>IFERROR(VLOOKUP(Vaktplan!$A$41,Vaktplan!$BO$4:$CL$35,86-AI68,FALSE),0)</f>
        <v>0</v>
      </c>
      <c r="S15" s="9">
        <f>IFERROR(VLOOKUP(Vaktplan!$A$41,Vaktplan!$BO$4:$CL$35,89-$AJ68,FALSE),0)</f>
        <v>0</v>
      </c>
      <c r="T15" s="9">
        <f t="shared" si="0"/>
        <v>0</v>
      </c>
      <c r="U15" s="9">
        <f t="shared" si="7"/>
        <v>24</v>
      </c>
      <c r="V15" s="77">
        <f>IFERROR(VLOOKUP(Vaktplan!$A$41,Vaktplan!$BP$4:$CL$35,86-AK68,FALSE),0)</f>
        <v>0</v>
      </c>
      <c r="W15" s="77">
        <f>IFERROR(VLOOKUP(Vaktplan!$A$41,Vaktplan!$BP$4:$CL$35,86-AJ68,FALSE),0)</f>
        <v>0</v>
      </c>
      <c r="X15" s="9">
        <f>IFERROR(VLOOKUP(Vaktplan!$A$41,Vaktplan!$BP$4:$CL$35,89-$AK68,FALSE),0)</f>
        <v>0</v>
      </c>
      <c r="Y15" s="9">
        <f>IF(AND(V15=0,W15=0),0,IF(V15&lt;W15,((W15-V15)*24)-X15,(((1-V15)+W15)*24)-X15))</f>
        <v>0</v>
      </c>
      <c r="Z15" s="9">
        <f t="shared" si="9"/>
        <v>24</v>
      </c>
      <c r="AA15" s="77">
        <f>IFERROR(VLOOKUP(Vaktplan!$A$41,Vaktplan!$BQ$4:$CL$35,86-AL68,FALSE),0)</f>
        <v>0</v>
      </c>
      <c r="AB15" s="77">
        <f>IFERROR(VLOOKUP(Vaktplan!$A$41,Vaktplan!$BQ$4:$CL$35,86-AK68,FALSE),0)</f>
        <v>0</v>
      </c>
      <c r="AC15" s="9">
        <f>IFERROR(VLOOKUP(Vaktplan!$A$41,Vaktplan!$BQ$4:$CL$35,89-$AL68,FALSE),0)</f>
        <v>0</v>
      </c>
      <c r="AD15" s="9">
        <f>IF(AND(AA15=0,AB15=0),0,IF(AA15&lt;AB15,((AB15-AA15)*24)-AC15,(((1-AA15)+AB15)*24)-AC15))</f>
        <v>0</v>
      </c>
      <c r="AE15" s="9">
        <f t="shared" si="11"/>
        <v>24</v>
      </c>
      <c r="AF15" s="77">
        <f>IFERROR(VLOOKUP(Vaktplan!$A$41,Vaktplan!$BR$4:$CL$35,86-AM68,FALSE),0)</f>
        <v>0</v>
      </c>
      <c r="AG15" s="77">
        <f>IFERROR(VLOOKUP(Vaktplan!$A$41,Vaktplan!$BR$4:$CL$35,86-AL68,FALSE),0)</f>
        <v>0</v>
      </c>
      <c r="AH15" s="9">
        <f>IFERROR(VLOOKUP(Vaktplan!$A$41,Vaktplan!$BR$4:$CL$35,89-$AM68,FALSE),0)</f>
        <v>0</v>
      </c>
      <c r="AI15" s="9">
        <f>IF(AND(AF15=0,AG15=0),0,IF(AF15&lt;AG15,((AG15-AF15)*24)-AH15,(((1-AF15)+AG15)*24)-AH15))</f>
        <v>0</v>
      </c>
      <c r="AJ15" s="9">
        <f t="shared" si="13"/>
        <v>24</v>
      </c>
      <c r="AK15" s="9">
        <f t="shared" si="1"/>
        <v>0</v>
      </c>
      <c r="AL15" s="10"/>
      <c r="AM15" s="10"/>
    </row>
    <row r="16" spans="1:39" ht="13" x14ac:dyDescent="0.25">
      <c r="A16" s="7">
        <v>11</v>
      </c>
      <c r="B16" s="77">
        <f>IFERROR(VLOOKUP(Vaktplan!$A$41,Vaktplan!$BS$4:$CL$35,87-AH69,FALSE),0)</f>
        <v>0</v>
      </c>
      <c r="C16" s="77">
        <f>IFERROR(VLOOKUP(Vaktplan!$A$41,Vaktplan!$BS$4:$CL$35,87-AG69,FALSE),0)</f>
        <v>0</v>
      </c>
      <c r="D16" s="9">
        <f>IFERROR(VLOOKUP(Vaktplan!$A$41,Vaktplan!$BS$4:$CL$35,89-AG69,FALSE),0)</f>
        <v>0</v>
      </c>
      <c r="E16" s="9">
        <f t="shared" si="16"/>
        <v>0</v>
      </c>
      <c r="F16" s="9">
        <f t="shared" si="2"/>
        <v>24</v>
      </c>
      <c r="G16" s="77">
        <f>IFERROR(VLOOKUP(Vaktplan!$A$41,Vaktplan!$BT$4:$CL$35,86-AH69,FALSE),0)</f>
        <v>0</v>
      </c>
      <c r="H16" s="77">
        <f>IFERROR(VLOOKUP(Vaktplan!$A$41,Vaktplan!$BT$4:$CL$35,86-AG69,FALSE),0)</f>
        <v>0</v>
      </c>
      <c r="I16" s="9">
        <f>IFERROR(VLOOKUP(Vaktplan!$A$41,Vaktplan!$BT$4:$CL$35,89-$AH69,FALSE),0)</f>
        <v>0</v>
      </c>
      <c r="J16" s="9">
        <f t="shared" si="3"/>
        <v>0</v>
      </c>
      <c r="K16" s="9">
        <f t="shared" si="4"/>
        <v>24</v>
      </c>
      <c r="L16" s="77">
        <f>IFERROR(VLOOKUP(Vaktplan!$A$41,Vaktplan!$BU$4:$CL$35,86-AI69,FALSE),0)</f>
        <v>0</v>
      </c>
      <c r="M16" s="77">
        <f>IFERROR(VLOOKUP(Vaktplan!$A$41,Vaktplan!$BU$4:$CL$35,86-AH69,FALSE),0)</f>
        <v>0</v>
      </c>
      <c r="N16" s="9">
        <f>IFERROR(VLOOKUP(Vaktplan!$A$41,Vaktplan!$BU$4:$CL$35,89-$AI69,FALSE),0)</f>
        <v>0</v>
      </c>
      <c r="O16" s="9">
        <f t="shared" si="5"/>
        <v>0</v>
      </c>
      <c r="P16" s="9">
        <f t="shared" si="6"/>
        <v>24</v>
      </c>
      <c r="Q16" s="77">
        <f>IFERROR(VLOOKUP(Vaktplan!$A$41,Vaktplan!$BV$4:$CL$35,86-AJ69,FALSE),0)</f>
        <v>0</v>
      </c>
      <c r="R16" s="77">
        <f>IFERROR(VLOOKUP(Vaktplan!$A$41,Vaktplan!$BV$4:$CL$35,86-AI69,FALSE),0)</f>
        <v>0</v>
      </c>
      <c r="S16" s="9">
        <f>IFERROR(VLOOKUP(Vaktplan!$A$41,Vaktplan!$BV$4:$CL$35,89-$AJ69,FALSE),0)</f>
        <v>0</v>
      </c>
      <c r="T16" s="9">
        <f t="shared" si="0"/>
        <v>0</v>
      </c>
      <c r="U16" s="9">
        <f t="shared" si="7"/>
        <v>24</v>
      </c>
      <c r="V16" s="77">
        <f>IFERROR(VLOOKUP(Vaktplan!$A$41,Vaktplan!$BW$4:$CL$35,86-AK69,FALSE),0)</f>
        <v>0</v>
      </c>
      <c r="W16" s="77">
        <f>IFERROR(VLOOKUP(Vaktplan!$A$41,Vaktplan!$BW$4:$CL$35,86-AJ69,FALSE),0)</f>
        <v>0</v>
      </c>
      <c r="X16" s="9">
        <f>IFERROR(VLOOKUP(Vaktplan!$A$41,Vaktplan!$BW$4:$CL$35,89-$AK69,FALSE),0)</f>
        <v>0</v>
      </c>
      <c r="Y16" s="9">
        <f>IF(AND(V16=0,W16=0),0,IF(V16&lt;W16,((W16-V16)*24)-X16,(((1-V16)+W16)*24)-X16))</f>
        <v>0</v>
      </c>
      <c r="Z16" s="9">
        <f t="shared" si="9"/>
        <v>24</v>
      </c>
      <c r="AA16" s="77">
        <f>IFERROR(VLOOKUP(Vaktplan!$A$41,Vaktplan!$BX$4:$CL$35,86-AL69,FALSE),0)</f>
        <v>0</v>
      </c>
      <c r="AB16" s="77">
        <f>IFERROR(VLOOKUP(Vaktplan!$A$41,Vaktplan!$BX$4:$CL$35,86-AK69,FALSE),0)</f>
        <v>0</v>
      </c>
      <c r="AC16" s="9">
        <f>IFERROR(VLOOKUP(Vaktplan!$A$41,Vaktplan!$BX$4:$CL$35,89-$AL69,FALSE),0)</f>
        <v>0</v>
      </c>
      <c r="AD16" s="9">
        <f>IF(AND(AA16=0,AB16=0),0,IF(AA16&lt;AB16,((AB16-AA16)*24)-AC16,(((1-AA16)+AB16)*24)-AC16))</f>
        <v>0</v>
      </c>
      <c r="AE16" s="9">
        <f t="shared" si="11"/>
        <v>24</v>
      </c>
      <c r="AF16" s="77">
        <f>IFERROR(VLOOKUP(Vaktplan!$A$41,Vaktplan!$BY$4:$CL$35,86-AM69,FALSE),0)</f>
        <v>0</v>
      </c>
      <c r="AG16" s="77">
        <f>IFERROR(VLOOKUP(Vaktplan!$A$41,Vaktplan!$BY$4:$CL$35,86-AL69,FALSE),0)</f>
        <v>0</v>
      </c>
      <c r="AH16" s="9">
        <f>IFERROR(VLOOKUP(Vaktplan!$A$41,Vaktplan!$BY$4:$CL$35,89-$AM69,FALSE),0)</f>
        <v>0</v>
      </c>
      <c r="AI16" s="9">
        <f>IF(AND(AF16=0,AG16=0),0,IF(AF16&lt;AG16,((AG16-AF16)*24)-AH16,(((1-AF16)+AG16)*24)-AH16))</f>
        <v>0</v>
      </c>
      <c r="AJ16" s="9">
        <f t="shared" si="13"/>
        <v>24</v>
      </c>
      <c r="AK16" s="9">
        <f t="shared" si="1"/>
        <v>0</v>
      </c>
      <c r="AL16" s="10"/>
      <c r="AM16" s="10"/>
    </row>
    <row r="17" spans="1:43" ht="13" x14ac:dyDescent="0.25">
      <c r="A17" s="7">
        <v>12</v>
      </c>
      <c r="B17" s="77">
        <f>IFERROR(VLOOKUP(Vaktplan!$A$41,Vaktplan!$BZ$4:$CL$35,87-AH70,FALSE),0)</f>
        <v>0</v>
      </c>
      <c r="C17" s="77">
        <f>IFERROR(VLOOKUP(Vaktplan!$A$41,Vaktplan!$BZ$4:$CL$35,87-AG70,FALSE),0)</f>
        <v>0</v>
      </c>
      <c r="D17" s="9">
        <f>IFERROR(VLOOKUP(Vaktplan!$A$41,Vaktplan!$BZ$4:$CL$35,89-AG70,FALSE),0)</f>
        <v>0</v>
      </c>
      <c r="E17" s="9">
        <f t="shared" si="16"/>
        <v>0</v>
      </c>
      <c r="F17" s="9">
        <f t="shared" si="2"/>
        <v>24</v>
      </c>
      <c r="G17" s="77">
        <f>IFERROR(VLOOKUP(Vaktplan!$A$41,Vaktplan!$CA$4:$CL$35,86-AH70,FALSE),0)</f>
        <v>0</v>
      </c>
      <c r="H17" s="77">
        <f>IFERROR(VLOOKUP(Vaktplan!$A$41,Vaktplan!$CA$4:$CL$35,86-AG70,FALSE),0)</f>
        <v>0</v>
      </c>
      <c r="I17" s="9">
        <f>IFERROR(VLOOKUP(Vaktplan!$A$41,Vaktplan!$CA$4:$CL$35,89-$AH70,FALSE),0)</f>
        <v>0</v>
      </c>
      <c r="J17" s="9">
        <f t="shared" si="3"/>
        <v>0</v>
      </c>
      <c r="K17" s="9">
        <f t="shared" si="4"/>
        <v>24</v>
      </c>
      <c r="L17" s="77">
        <f>IFERROR(VLOOKUP(Vaktplan!$A$41,Vaktplan!$CB$4:$CL$35,86-AI70,FALSE),0)</f>
        <v>0</v>
      </c>
      <c r="M17" s="77">
        <f>IFERROR(VLOOKUP(Vaktplan!$A$41,Vaktplan!$CB$4:$CL$35,86-AH70,FALSE),0)</f>
        <v>0</v>
      </c>
      <c r="N17" s="9">
        <f>IFERROR(VLOOKUP(Vaktplan!$A$41,Vaktplan!$CB$4:$CL$35,89-$AI70,FALSE),0)</f>
        <v>0</v>
      </c>
      <c r="O17" s="9">
        <f t="shared" si="5"/>
        <v>0</v>
      </c>
      <c r="P17" s="9">
        <f t="shared" si="6"/>
        <v>24</v>
      </c>
      <c r="Q17" s="77">
        <f>IFERROR(VLOOKUP(Vaktplan!$A$41,Vaktplan!$CC$4:$CL$35,86-AJ70,FALSE),0)</f>
        <v>0</v>
      </c>
      <c r="R17" s="77">
        <f>IFERROR(VLOOKUP(Vaktplan!$A$41,Vaktplan!$CC$4:$CL$35,86-AI70,FALSE),0)</f>
        <v>0</v>
      </c>
      <c r="S17" s="9">
        <f>IFERROR(VLOOKUP(Vaktplan!$A$41,Vaktplan!$CC$4:$CL$35,89-$AJ70,FALSE),0)</f>
        <v>0</v>
      </c>
      <c r="T17" s="9">
        <f t="shared" si="0"/>
        <v>0</v>
      </c>
      <c r="U17" s="9">
        <f t="shared" si="7"/>
        <v>24</v>
      </c>
      <c r="V17" s="77">
        <f>IFERROR(VLOOKUP(Vaktplan!$A$41,Vaktplan!$CD$4:$CL$35,86-AK70,FALSE),0)</f>
        <v>0</v>
      </c>
      <c r="W17" s="77">
        <f>IFERROR(VLOOKUP(Vaktplan!$A$41,Vaktplan!$CD$4:$CL$35,86-AJ70,FALSE),0)</f>
        <v>0</v>
      </c>
      <c r="X17" s="9">
        <f>IFERROR(VLOOKUP(Vaktplan!$A$41,Vaktplan!$CD$4:$CL$35,89-$AK70,FALSE),0)</f>
        <v>0</v>
      </c>
      <c r="Y17" s="9">
        <f>IF(AND(V17=0,W17=0),0,IF(V17&lt;W17,((W17-V17)*24)-X17,(((1-V17)+W17)*24)-X17))</f>
        <v>0</v>
      </c>
      <c r="Z17" s="9">
        <f t="shared" si="9"/>
        <v>24</v>
      </c>
      <c r="AA17" s="77">
        <f>IFERROR(VLOOKUP(Vaktplan!$A$41,Vaktplan!$CE$4:$CL$35,86-AL70,FALSE),0)</f>
        <v>0</v>
      </c>
      <c r="AB17" s="77">
        <f>IFERROR(VLOOKUP(Vaktplan!$A$41,Vaktplan!$CE$4:$CL$35,86-AK70,FALSE),0)</f>
        <v>0</v>
      </c>
      <c r="AC17" s="9">
        <f>IFERROR(VLOOKUP(Vaktplan!$A$41,Vaktplan!$CE$4:$FCE$35,89-$AL70,FALSE),0)</f>
        <v>0</v>
      </c>
      <c r="AD17" s="9">
        <f>IF(AND(AA17=0,AB17=0),0,IF(AA17&lt;AB17,((AB17-AA17)*24)-AC17,(((1-AA17)+AB17)*24)-AC17))</f>
        <v>0</v>
      </c>
      <c r="AE17" s="9">
        <f t="shared" si="11"/>
        <v>24</v>
      </c>
      <c r="AF17" s="77">
        <f>IFERROR(VLOOKUP(Vaktplan!$A$41,Vaktplan!$CF$4:$CL$35,86-AM70,FALSE),0)</f>
        <v>0</v>
      </c>
      <c r="AG17" s="77">
        <f>IFERROR(VLOOKUP(Vaktplan!$A$41,Vaktplan!$CF$4:$CL$35,86-AL70,FALSE),0)</f>
        <v>0</v>
      </c>
      <c r="AH17" s="9">
        <f>IFERROR(VLOOKUP(Vaktplan!$A$41,Vaktplan!$CF$4:$CL$35,89-$AM70,FALSE),0)</f>
        <v>0</v>
      </c>
      <c r="AI17" s="9">
        <f>IF(AND(AF17=0,AG17=0),0,IF(AF17&lt;AG17,((AG17-AF17)*24)-AH17,(((1-AF17)+AG17)*24)-AH17))</f>
        <v>0</v>
      </c>
      <c r="AJ17" s="9">
        <f t="shared" si="13"/>
        <v>24</v>
      </c>
      <c r="AK17" s="9">
        <f t="shared" si="1"/>
        <v>0</v>
      </c>
      <c r="AL17" s="10"/>
      <c r="AM17" s="10"/>
    </row>
    <row r="19" spans="1:43" ht="13" x14ac:dyDescent="0.3">
      <c r="A19" s="4" t="s">
        <v>76</v>
      </c>
    </row>
    <row r="20" spans="1:43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3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3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3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3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6" spans="1:43" ht="13" x14ac:dyDescent="0.3">
      <c r="A26" s="4" t="s">
        <v>77</v>
      </c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</row>
    <row r="27" spans="1:43" ht="13" x14ac:dyDescent="0.3">
      <c r="A27" s="3" t="s">
        <v>78</v>
      </c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80" t="s">
        <v>79</v>
      </c>
      <c r="AM27" s="78"/>
      <c r="AN27" s="78"/>
      <c r="AO27" s="78"/>
    </row>
    <row r="28" spans="1:43" ht="13" x14ac:dyDescent="0.3">
      <c r="A28" s="98" t="s">
        <v>36</v>
      </c>
      <c r="B28" s="98"/>
      <c r="C28" s="98"/>
      <c r="D28" s="88"/>
      <c r="E28" s="8">
        <f>E2</f>
        <v>1</v>
      </c>
      <c r="F28" s="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>
        <v>1</v>
      </c>
      <c r="AM28" s="78"/>
      <c r="AN28" s="78"/>
      <c r="AO28" s="78"/>
    </row>
    <row r="29" spans="1:43" ht="13" x14ac:dyDescent="0.3">
      <c r="A29" s="98" t="s">
        <v>80</v>
      </c>
      <c r="B29" s="98"/>
      <c r="C29" s="98"/>
      <c r="D29" s="88"/>
      <c r="E29" s="5">
        <f>E3</f>
        <v>0</v>
      </c>
      <c r="F29" s="5"/>
      <c r="T29" s="10"/>
      <c r="U29" s="10"/>
      <c r="V29" s="10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80" t="s">
        <v>81</v>
      </c>
      <c r="AH29" s="80"/>
      <c r="AI29" s="78"/>
      <c r="AJ29" s="78"/>
      <c r="AK29" s="78"/>
      <c r="AL29" s="78">
        <v>2</v>
      </c>
      <c r="AM29" s="78"/>
      <c r="AN29" s="78"/>
      <c r="AO29" s="78"/>
      <c r="AP29" s="10"/>
      <c r="AQ29" s="10"/>
    </row>
    <row r="30" spans="1:43" ht="13" x14ac:dyDescent="0.3">
      <c r="A30" s="98" t="s">
        <v>82</v>
      </c>
      <c r="B30" s="98"/>
      <c r="C30" s="98"/>
      <c r="D30" s="88"/>
      <c r="T30" s="10"/>
      <c r="U30" s="10"/>
      <c r="V30" s="10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>
        <v>3</v>
      </c>
      <c r="AM30" s="78"/>
      <c r="AN30" s="78"/>
      <c r="AO30" s="78"/>
      <c r="AP30" s="10"/>
      <c r="AQ30" s="10"/>
    </row>
    <row r="31" spans="1:43" ht="13" x14ac:dyDescent="0.3">
      <c r="A31" s="4" t="s">
        <v>83</v>
      </c>
      <c r="B31" s="4" t="s">
        <v>84</v>
      </c>
      <c r="C31" s="4" t="s">
        <v>85</v>
      </c>
      <c r="D31" s="98" t="s">
        <v>86</v>
      </c>
      <c r="E31" s="98"/>
      <c r="F31" s="4" t="s">
        <v>87</v>
      </c>
      <c r="G31" s="4" t="s">
        <v>88</v>
      </c>
      <c r="H31" s="98" t="s">
        <v>27</v>
      </c>
      <c r="I31" s="98"/>
      <c r="J31" s="4" t="s">
        <v>28</v>
      </c>
      <c r="K31" s="4" t="s">
        <v>29</v>
      </c>
      <c r="L31" s="4" t="s">
        <v>30</v>
      </c>
      <c r="M31" s="4" t="s">
        <v>31</v>
      </c>
      <c r="N31" s="98" t="s">
        <v>32</v>
      </c>
      <c r="O31" s="98"/>
      <c r="T31" s="10"/>
      <c r="U31" s="10"/>
      <c r="V31" s="10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80" t="s">
        <v>9</v>
      </c>
      <c r="AH31" s="80"/>
      <c r="AI31" s="78"/>
      <c r="AJ31" s="78"/>
      <c r="AK31" s="78"/>
      <c r="AL31" s="78">
        <v>4</v>
      </c>
      <c r="AM31" s="78"/>
      <c r="AN31" s="78"/>
      <c r="AO31" s="78"/>
      <c r="AP31" s="10"/>
      <c r="AQ31" s="10"/>
    </row>
    <row r="32" spans="1:43" ht="13" x14ac:dyDescent="0.3">
      <c r="A32" s="3">
        <f>AK6</f>
        <v>48</v>
      </c>
      <c r="B32" s="3">
        <f>AK7</f>
        <v>0</v>
      </c>
      <c r="C32" s="3">
        <f>AK8</f>
        <v>0</v>
      </c>
      <c r="D32" s="101">
        <f>AK9</f>
        <v>0</v>
      </c>
      <c r="E32" s="101"/>
      <c r="F32" s="3">
        <f>AK10</f>
        <v>0</v>
      </c>
      <c r="G32" s="3">
        <f>AK11</f>
        <v>0</v>
      </c>
      <c r="H32" s="101">
        <f>AK12</f>
        <v>0</v>
      </c>
      <c r="I32" s="101"/>
      <c r="J32" s="3">
        <f>AK13</f>
        <v>0</v>
      </c>
      <c r="K32" s="3">
        <f>AK14</f>
        <v>0</v>
      </c>
      <c r="L32" s="3">
        <f>AK15</f>
        <v>0</v>
      </c>
      <c r="M32" s="3">
        <f>AK16</f>
        <v>0</v>
      </c>
      <c r="N32" s="101">
        <f>AK17</f>
        <v>0</v>
      </c>
      <c r="O32" s="101"/>
      <c r="T32" s="11" t="s">
        <v>70</v>
      </c>
      <c r="U32" s="10" t="s">
        <v>89</v>
      </c>
      <c r="V32" s="10" t="s">
        <v>90</v>
      </c>
      <c r="W32" s="78" t="s">
        <v>91</v>
      </c>
      <c r="X32" s="78" t="s">
        <v>92</v>
      </c>
      <c r="Y32" s="78" t="s">
        <v>93</v>
      </c>
      <c r="Z32" s="78" t="s">
        <v>94</v>
      </c>
      <c r="AA32" s="78"/>
      <c r="AB32" s="78"/>
      <c r="AC32" s="78"/>
      <c r="AD32" s="78"/>
      <c r="AE32" s="78"/>
      <c r="AF32" s="78"/>
      <c r="AG32" s="78" t="s">
        <v>10</v>
      </c>
      <c r="AH32" s="78"/>
      <c r="AI32" s="79">
        <v>42177</v>
      </c>
      <c r="AJ32" s="79"/>
      <c r="AK32" s="78"/>
      <c r="AL32" s="78">
        <v>5</v>
      </c>
      <c r="AM32" s="78"/>
      <c r="AN32" s="78"/>
      <c r="AO32" s="78"/>
      <c r="AP32" s="10"/>
      <c r="AQ32" s="10"/>
    </row>
    <row r="33" spans="1:43" ht="13" x14ac:dyDescent="0.3">
      <c r="A33" s="98" t="s">
        <v>95</v>
      </c>
      <c r="B33" s="98"/>
      <c r="C33" s="98"/>
      <c r="D33" s="88"/>
      <c r="G33" s="101"/>
      <c r="H33" s="101"/>
      <c r="I33" s="90"/>
      <c r="T33" s="10">
        <v>1</v>
      </c>
      <c r="U33" s="10">
        <f>IF(AND(B6&gt;0,G6&gt;0),0,IF(AND(G6&gt;0),0,F6+K6))</f>
        <v>0</v>
      </c>
      <c r="V33" s="10">
        <f>IF(AND(G6&gt;0,L6&gt;0),0,IF(AND(L6&gt;0),0,K6+P6))</f>
        <v>0</v>
      </c>
      <c r="W33" s="78">
        <f>IF(AND(L6&gt;0,Q6&gt;0),0,IF(AND(Q6&gt;0),0,P6+U6))</f>
        <v>0</v>
      </c>
      <c r="X33" s="78">
        <f>IF(AND(Q6&gt;0,V6&gt;0),0,IF(AND(V6&gt;0),0,U6+Z6))</f>
        <v>0</v>
      </c>
      <c r="Y33" s="78">
        <f>IF(AND(V6&gt;0,AA6&gt;0),0,IF(AND(AA6&gt;0),0,Z6+AE6))</f>
        <v>0</v>
      </c>
      <c r="Z33" s="78">
        <f>IF(AND(AA6&gt;0,AF6&gt;0),0,IF(AND(AF6&gt;0),0,AE6+AJ6))</f>
        <v>45</v>
      </c>
      <c r="AA33" s="78"/>
      <c r="AB33" s="78"/>
      <c r="AC33" s="78"/>
      <c r="AD33" s="78"/>
      <c r="AE33" s="78"/>
      <c r="AF33" s="78"/>
      <c r="AG33" s="78" t="s">
        <v>11</v>
      </c>
      <c r="AH33" s="78"/>
      <c r="AI33" s="79">
        <v>42178</v>
      </c>
      <c r="AJ33" s="79"/>
      <c r="AK33" s="78"/>
      <c r="AL33" s="78">
        <v>6</v>
      </c>
      <c r="AM33" s="78"/>
      <c r="AN33" s="78"/>
      <c r="AO33" s="78"/>
      <c r="AP33" s="10"/>
      <c r="AQ33" s="10"/>
    </row>
    <row r="34" spans="1:43" x14ac:dyDescent="0.25">
      <c r="A34" s="101" t="s">
        <v>96</v>
      </c>
      <c r="B34" s="101"/>
      <c r="C34" s="3">
        <f>(AK6+AK7+AK8+AK9+AK10+AK11+AK12+AK13+AK14+AK15+AK16+AK17)/M1</f>
        <v>12</v>
      </c>
      <c r="T34" s="10">
        <v>2</v>
      </c>
      <c r="U34" s="10">
        <f t="shared" ref="U34:U40" si="17">IF(AND(B7&gt;0,G7&gt;0),0,IF(AND(G7&gt;0),0,F7+K7))</f>
        <v>48</v>
      </c>
      <c r="V34" s="10">
        <f t="shared" ref="V34:V40" si="18">IF(AND(G7&gt;0,L7&gt;0),0,IF(AND(L7&gt;0),0,K7+P7))</f>
        <v>48</v>
      </c>
      <c r="W34" s="78">
        <f t="shared" ref="W34:W44" si="19">IF(AND(L7&gt;0,Q7&gt;0),0,IF(AND(Q7&gt;0),0,P7+U7))</f>
        <v>48</v>
      </c>
      <c r="X34" s="78">
        <f t="shared" ref="X34:X44" si="20">IF(AND(Q7&gt;0,V7&gt;0),0,IF(AND(V7&gt;0),0,U7+Z7))</f>
        <v>48</v>
      </c>
      <c r="Y34" s="78">
        <f t="shared" ref="Y34:Y44" si="21">IF(AND(V7&gt;0,AA7&gt;0),0,IF(AND(AA7&gt;0),0,Z7+AE7))</f>
        <v>48</v>
      </c>
      <c r="Z34" s="78">
        <f t="shared" ref="Z34:Z44" si="22">IF(AND(AA7&gt;0,AF7&gt;0),0,IF(AND(AF7&gt;0),0,AE7+AJ7))</f>
        <v>48</v>
      </c>
      <c r="AA34" s="78"/>
      <c r="AB34" s="78"/>
      <c r="AC34" s="78"/>
      <c r="AD34" s="78"/>
      <c r="AE34" s="78"/>
      <c r="AF34" s="78"/>
      <c r="AG34" s="78" t="s">
        <v>12</v>
      </c>
      <c r="AH34" s="78"/>
      <c r="AI34" s="79">
        <v>42179</v>
      </c>
      <c r="AJ34" s="79"/>
      <c r="AK34" s="78"/>
      <c r="AL34" s="78">
        <v>7</v>
      </c>
      <c r="AM34" s="78"/>
      <c r="AN34" s="78"/>
      <c r="AO34" s="78"/>
      <c r="AP34" s="10"/>
      <c r="AQ34" s="10"/>
    </row>
    <row r="35" spans="1:43" x14ac:dyDescent="0.25">
      <c r="T35" s="10">
        <v>3</v>
      </c>
      <c r="U35" s="10">
        <f t="shared" si="17"/>
        <v>48</v>
      </c>
      <c r="V35" s="10">
        <f t="shared" si="18"/>
        <v>48</v>
      </c>
      <c r="W35" s="78">
        <f t="shared" si="19"/>
        <v>48</v>
      </c>
      <c r="X35" s="78">
        <f t="shared" si="20"/>
        <v>48</v>
      </c>
      <c r="Y35" s="78">
        <f t="shared" si="21"/>
        <v>48</v>
      </c>
      <c r="Z35" s="78">
        <f t="shared" si="22"/>
        <v>48</v>
      </c>
      <c r="AA35" s="78"/>
      <c r="AB35" s="78"/>
      <c r="AC35" s="78"/>
      <c r="AD35" s="78"/>
      <c r="AE35" s="78"/>
      <c r="AF35" s="78"/>
      <c r="AG35" s="78" t="s">
        <v>13</v>
      </c>
      <c r="AH35" s="78"/>
      <c r="AI35" s="79">
        <v>42180</v>
      </c>
      <c r="AJ35" s="79"/>
      <c r="AK35" s="78"/>
      <c r="AL35" s="78">
        <v>8</v>
      </c>
      <c r="AM35" s="78"/>
      <c r="AN35" s="78"/>
      <c r="AO35" s="78"/>
      <c r="AP35" s="78"/>
      <c r="AQ35" s="10"/>
    </row>
    <row r="36" spans="1:43" ht="13" x14ac:dyDescent="0.3">
      <c r="A36" s="98" t="s">
        <v>97</v>
      </c>
      <c r="B36" s="98"/>
      <c r="C36" s="98"/>
      <c r="D36" s="98"/>
      <c r="E36" s="98"/>
      <c r="F36" s="88"/>
      <c r="T36" s="10">
        <v>4</v>
      </c>
      <c r="U36" s="10">
        <f t="shared" si="17"/>
        <v>48</v>
      </c>
      <c r="V36" s="10">
        <f t="shared" si="18"/>
        <v>48</v>
      </c>
      <c r="W36" s="78">
        <f t="shared" si="19"/>
        <v>48</v>
      </c>
      <c r="X36" s="78">
        <f t="shared" si="20"/>
        <v>48</v>
      </c>
      <c r="Y36" s="78">
        <f t="shared" si="21"/>
        <v>48</v>
      </c>
      <c r="Z36" s="78">
        <f t="shared" si="22"/>
        <v>48</v>
      </c>
      <c r="AA36" s="78"/>
      <c r="AB36" s="78"/>
      <c r="AC36" s="78"/>
      <c r="AD36" s="78"/>
      <c r="AE36" s="78"/>
      <c r="AF36" s="78"/>
      <c r="AG36" s="78" t="s">
        <v>14</v>
      </c>
      <c r="AH36" s="78"/>
      <c r="AI36" s="79">
        <v>42181</v>
      </c>
      <c r="AJ36" s="79"/>
      <c r="AK36" s="78"/>
      <c r="AL36" s="3">
        <v>9</v>
      </c>
      <c r="AM36" s="78"/>
      <c r="AN36" s="78"/>
      <c r="AO36" s="78"/>
      <c r="AP36" s="78"/>
      <c r="AQ36" s="10"/>
    </row>
    <row r="37" spans="1:43" x14ac:dyDescent="0.25">
      <c r="A37" s="99" t="e">
        <f>C34/E3</f>
        <v>#DIV/0!</v>
      </c>
      <c r="B37" s="99"/>
      <c r="C37" s="99"/>
      <c r="T37" s="10">
        <v>5</v>
      </c>
      <c r="U37" s="10">
        <f t="shared" si="17"/>
        <v>48</v>
      </c>
      <c r="V37" s="10">
        <f t="shared" si="18"/>
        <v>48</v>
      </c>
      <c r="W37" s="78">
        <f t="shared" si="19"/>
        <v>48</v>
      </c>
      <c r="X37" s="78">
        <f t="shared" si="20"/>
        <v>48</v>
      </c>
      <c r="Y37" s="78">
        <f t="shared" si="21"/>
        <v>48</v>
      </c>
      <c r="Z37" s="78">
        <f t="shared" si="22"/>
        <v>48</v>
      </c>
      <c r="AA37" s="78"/>
      <c r="AB37" s="78"/>
      <c r="AC37" s="78"/>
      <c r="AD37" s="78"/>
      <c r="AE37" s="78"/>
      <c r="AF37" s="78"/>
      <c r="AG37" s="78" t="s">
        <v>15</v>
      </c>
      <c r="AH37" s="78"/>
      <c r="AI37" s="79">
        <v>42182</v>
      </c>
      <c r="AJ37" s="79"/>
      <c r="AK37" s="78"/>
      <c r="AL37" s="3">
        <v>10</v>
      </c>
      <c r="AM37" s="78"/>
      <c r="AN37" s="78"/>
      <c r="AO37" s="78"/>
      <c r="AP37" s="78"/>
      <c r="AQ37" s="10"/>
    </row>
    <row r="38" spans="1:43" x14ac:dyDescent="0.25">
      <c r="T38" s="10">
        <v>6</v>
      </c>
      <c r="U38" s="10">
        <f t="shared" si="17"/>
        <v>48</v>
      </c>
      <c r="V38" s="10">
        <f t="shared" si="18"/>
        <v>48</v>
      </c>
      <c r="W38" s="78">
        <f t="shared" si="19"/>
        <v>48</v>
      </c>
      <c r="X38" s="78">
        <f t="shared" si="20"/>
        <v>48</v>
      </c>
      <c r="Y38" s="78">
        <f t="shared" si="21"/>
        <v>48</v>
      </c>
      <c r="Z38" s="78">
        <f t="shared" si="22"/>
        <v>48</v>
      </c>
      <c r="AA38" s="78"/>
      <c r="AB38" s="78"/>
      <c r="AC38" s="78"/>
      <c r="AD38" s="78"/>
      <c r="AE38" s="78"/>
      <c r="AF38" s="78"/>
      <c r="AG38" s="78" t="s">
        <v>16</v>
      </c>
      <c r="AH38" s="78"/>
      <c r="AI38" s="79">
        <v>42183</v>
      </c>
      <c r="AJ38" s="79"/>
      <c r="AK38" s="78"/>
      <c r="AL38" s="3">
        <v>11</v>
      </c>
      <c r="AM38" s="78"/>
      <c r="AN38" s="78"/>
      <c r="AO38" s="78"/>
      <c r="AP38" s="78"/>
      <c r="AQ38" s="10"/>
    </row>
    <row r="39" spans="1:43" x14ac:dyDescent="0.25">
      <c r="T39" s="10">
        <v>7</v>
      </c>
      <c r="U39" s="10">
        <f t="shared" si="17"/>
        <v>48</v>
      </c>
      <c r="V39" s="10">
        <f t="shared" si="18"/>
        <v>48</v>
      </c>
      <c r="W39" s="78">
        <f t="shared" si="19"/>
        <v>48</v>
      </c>
      <c r="X39" s="78">
        <f t="shared" si="20"/>
        <v>48</v>
      </c>
      <c r="Y39" s="78">
        <f t="shared" si="21"/>
        <v>48</v>
      </c>
      <c r="Z39" s="78">
        <f t="shared" si="22"/>
        <v>48</v>
      </c>
      <c r="AA39" s="78"/>
      <c r="AB39" s="78"/>
      <c r="AC39" s="78"/>
      <c r="AD39" s="78"/>
      <c r="AE39" s="78"/>
      <c r="AF39" s="78"/>
      <c r="AG39" s="100">
        <f>IF(E1=AG32,AI32,IF(E1=AG33,AI33,IF(E1=AG34,AI34,IF(E1=AG35,AI35,IF(E1=AG36,AI36,IF(E1=AG37,AI37,IF(E1=AG38,AI38,AI32)))))))</f>
        <v>42177</v>
      </c>
      <c r="AH39" s="100"/>
      <c r="AI39" s="100"/>
      <c r="AJ39" s="100"/>
      <c r="AK39" s="100"/>
      <c r="AL39" s="3">
        <v>12</v>
      </c>
      <c r="AM39" s="78"/>
      <c r="AN39" s="78"/>
      <c r="AO39" s="78"/>
      <c r="AP39" s="78"/>
      <c r="AQ39" s="10"/>
    </row>
    <row r="40" spans="1:43" ht="13" x14ac:dyDescent="0.3">
      <c r="A40" s="4" t="s">
        <v>98</v>
      </c>
      <c r="T40" s="10">
        <v>8</v>
      </c>
      <c r="U40" s="10">
        <f t="shared" si="17"/>
        <v>48</v>
      </c>
      <c r="V40" s="10">
        <f t="shared" si="18"/>
        <v>48</v>
      </c>
      <c r="W40" s="78">
        <f t="shared" si="19"/>
        <v>48</v>
      </c>
      <c r="X40" s="78">
        <f t="shared" si="20"/>
        <v>48</v>
      </c>
      <c r="Y40" s="78">
        <f t="shared" si="21"/>
        <v>48</v>
      </c>
      <c r="Z40" s="78">
        <f t="shared" si="22"/>
        <v>48</v>
      </c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10"/>
    </row>
    <row r="41" spans="1:43" x14ac:dyDescent="0.25">
      <c r="A41" s="3" t="s">
        <v>99</v>
      </c>
      <c r="T41" s="10"/>
      <c r="U41" s="10"/>
      <c r="V41" s="10"/>
      <c r="W41" s="78">
        <f t="shared" si="19"/>
        <v>48</v>
      </c>
      <c r="X41" s="78">
        <f t="shared" si="20"/>
        <v>48</v>
      </c>
      <c r="Y41" s="78">
        <f t="shared" si="21"/>
        <v>48</v>
      </c>
      <c r="Z41" s="78">
        <f t="shared" si="22"/>
        <v>48</v>
      </c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10"/>
    </row>
    <row r="42" spans="1:43" ht="13" x14ac:dyDescent="0.3">
      <c r="A42" s="3" t="s">
        <v>100</v>
      </c>
      <c r="O42" s="81">
        <v>0.29166666666666669</v>
      </c>
      <c r="P42" s="81">
        <v>0.33333333333333331</v>
      </c>
      <c r="Q42" s="3">
        <f>(P42-O42)*24</f>
        <v>0.99999999999999911</v>
      </c>
      <c r="T42" s="10"/>
      <c r="U42" s="10"/>
      <c r="V42" s="10"/>
      <c r="W42" s="78">
        <f t="shared" si="19"/>
        <v>48</v>
      </c>
      <c r="X42" s="78">
        <f t="shared" si="20"/>
        <v>48</v>
      </c>
      <c r="Y42" s="78">
        <f t="shared" si="21"/>
        <v>48</v>
      </c>
      <c r="Z42" s="78">
        <f t="shared" si="22"/>
        <v>48</v>
      </c>
      <c r="AA42" s="78"/>
      <c r="AB42" s="78"/>
      <c r="AC42" s="78"/>
      <c r="AD42" s="78"/>
      <c r="AE42" s="78"/>
      <c r="AF42" s="78"/>
      <c r="AG42" s="80" t="s">
        <v>101</v>
      </c>
      <c r="AH42" s="80"/>
      <c r="AI42" s="78"/>
      <c r="AJ42" s="78"/>
      <c r="AK42" s="78"/>
      <c r="AL42" s="80" t="s">
        <v>102</v>
      </c>
      <c r="AM42" s="78"/>
      <c r="AN42" s="78"/>
      <c r="AO42" s="78"/>
      <c r="AP42" s="78"/>
      <c r="AQ42" s="10"/>
    </row>
    <row r="43" spans="1:43" x14ac:dyDescent="0.25">
      <c r="T43" s="10"/>
      <c r="U43" s="10"/>
      <c r="V43" s="10"/>
      <c r="W43" s="78">
        <f t="shared" si="19"/>
        <v>48</v>
      </c>
      <c r="X43" s="78">
        <f t="shared" si="20"/>
        <v>48</v>
      </c>
      <c r="Y43" s="78">
        <f t="shared" si="21"/>
        <v>48</v>
      </c>
      <c r="Z43" s="78">
        <f t="shared" si="22"/>
        <v>48</v>
      </c>
      <c r="AA43" s="78"/>
      <c r="AB43" s="78"/>
      <c r="AC43" s="78"/>
      <c r="AD43" s="78"/>
      <c r="AE43" s="78"/>
      <c r="AF43" s="78"/>
      <c r="AG43" s="78">
        <v>33.6</v>
      </c>
      <c r="AH43" s="78"/>
      <c r="AI43" s="78"/>
      <c r="AJ43" s="78"/>
      <c r="AK43" s="78"/>
      <c r="AL43" s="78" t="s">
        <v>103</v>
      </c>
      <c r="AM43" s="78"/>
      <c r="AN43" s="78"/>
      <c r="AO43" s="78"/>
      <c r="AP43" s="78"/>
      <c r="AQ43" s="10"/>
    </row>
    <row r="44" spans="1:43" x14ac:dyDescent="0.25">
      <c r="A44" s="3" t="s">
        <v>104</v>
      </c>
      <c r="T44" s="10"/>
      <c r="U44" s="10"/>
      <c r="V44" s="10"/>
      <c r="W44" s="78">
        <f t="shared" si="19"/>
        <v>48</v>
      </c>
      <c r="X44" s="78">
        <f t="shared" si="20"/>
        <v>48</v>
      </c>
      <c r="Y44" s="78">
        <f t="shared" si="21"/>
        <v>48</v>
      </c>
      <c r="Z44" s="78">
        <f t="shared" si="22"/>
        <v>48</v>
      </c>
      <c r="AA44" s="78"/>
      <c r="AB44" s="78"/>
      <c r="AC44" s="78"/>
      <c r="AD44" s="78"/>
      <c r="AE44" s="78"/>
      <c r="AF44" s="78"/>
      <c r="AG44" s="78">
        <v>35.5</v>
      </c>
      <c r="AH44" s="78"/>
      <c r="AI44" s="78"/>
      <c r="AJ44" s="78"/>
      <c r="AK44" s="78"/>
      <c r="AL44" s="78" t="s">
        <v>105</v>
      </c>
      <c r="AM44" s="78"/>
      <c r="AN44" s="78"/>
      <c r="AO44" s="78"/>
      <c r="AP44" s="78"/>
      <c r="AQ44" s="10"/>
    </row>
    <row r="45" spans="1:43" x14ac:dyDescent="0.25">
      <c r="A45" s="1">
        <v>11</v>
      </c>
      <c r="B45" s="5">
        <f>COUNTIF($F$6:$F$13,"&lt;" &amp; A45)+COUNTIF($K$6:$K$13,"&lt;" &amp; A45)+COUNTIF($P$6:$P$13,"&lt;" &amp; A45)+COUNTIF($U$6:$U$13,"&lt;" &amp; A45)+COUNTIF($Z$6:$Z$13,"&lt;" &amp; A45)+COUNTIF($AE$6:$AE$13,"&lt;" &amp; A45)+COUNTIF($AJ$6:$AJ$13,"&lt;" &amp; A45)</f>
        <v>0</v>
      </c>
      <c r="T45" s="10"/>
      <c r="U45" s="10"/>
      <c r="V45" s="10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>
        <v>37.5</v>
      </c>
      <c r="AH45" s="78"/>
      <c r="AI45" s="78"/>
      <c r="AJ45" s="78"/>
      <c r="AK45" s="78"/>
      <c r="AL45" s="78"/>
      <c r="AM45" s="78"/>
      <c r="AN45" s="78"/>
      <c r="AO45" s="78"/>
      <c r="AP45" s="78"/>
      <c r="AQ45" s="10"/>
    </row>
    <row r="46" spans="1:43" x14ac:dyDescent="0.25">
      <c r="T46" s="10"/>
      <c r="U46" s="10"/>
      <c r="V46" s="10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78"/>
      <c r="AQ46" s="10"/>
    </row>
    <row r="47" spans="1:43" x14ac:dyDescent="0.25">
      <c r="T47" s="10"/>
      <c r="U47" s="10"/>
      <c r="V47" s="10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10"/>
    </row>
    <row r="48" spans="1:43" x14ac:dyDescent="0.25">
      <c r="T48" s="10"/>
      <c r="U48" s="10"/>
      <c r="V48" s="10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78"/>
      <c r="AO48" s="78"/>
      <c r="AP48" s="78"/>
      <c r="AQ48" s="10"/>
    </row>
    <row r="49" spans="1:43" ht="13" x14ac:dyDescent="0.3">
      <c r="A49" s="4" t="s">
        <v>106</v>
      </c>
      <c r="T49" s="10"/>
      <c r="U49" s="10"/>
      <c r="V49" s="10"/>
      <c r="W49" s="78"/>
      <c r="X49" s="78"/>
      <c r="Y49" s="78"/>
      <c r="Z49" s="78"/>
      <c r="AA49" s="78"/>
      <c r="AB49" s="80" t="s">
        <v>107</v>
      </c>
      <c r="AC49" s="80"/>
      <c r="AD49" s="78"/>
      <c r="AE49" s="78"/>
      <c r="AF49" s="78"/>
      <c r="AG49" s="78"/>
      <c r="AH49" s="78"/>
      <c r="AI49" s="78"/>
      <c r="AJ49" s="78"/>
      <c r="AK49" s="78"/>
      <c r="AL49" s="78"/>
      <c r="AM49" s="78"/>
      <c r="AN49" s="78"/>
      <c r="AO49" s="78"/>
      <c r="AP49" s="78"/>
      <c r="AQ49" s="10"/>
    </row>
    <row r="50" spans="1:43" x14ac:dyDescent="0.25">
      <c r="A50" s="3" t="s">
        <v>108</v>
      </c>
      <c r="T50" s="10"/>
      <c r="U50" s="10"/>
      <c r="V50" s="10"/>
      <c r="W50" s="78"/>
      <c r="X50" s="78"/>
      <c r="Y50" s="78"/>
      <c r="Z50" s="78"/>
      <c r="AA50" s="78"/>
      <c r="AB50" s="78" t="s">
        <v>109</v>
      </c>
      <c r="AC50" s="78"/>
      <c r="AD50" s="78"/>
      <c r="AE50" s="78"/>
      <c r="AF50" s="78"/>
      <c r="AG50" s="78"/>
      <c r="AH50" s="78"/>
      <c r="AI50" s="78"/>
      <c r="AJ50" s="78"/>
      <c r="AK50" s="78"/>
      <c r="AL50" s="78"/>
      <c r="AM50" s="78"/>
      <c r="AN50" s="78"/>
      <c r="AO50" s="78"/>
      <c r="AP50" s="78"/>
      <c r="AQ50" s="10"/>
    </row>
    <row r="51" spans="1:43" ht="13" x14ac:dyDescent="0.3">
      <c r="A51" s="4" t="s">
        <v>110</v>
      </c>
      <c r="T51" s="10"/>
      <c r="U51" s="10"/>
      <c r="V51" s="10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  <c r="AN51" s="78"/>
      <c r="AO51" s="78"/>
      <c r="AP51" s="78"/>
      <c r="AQ51" s="10"/>
    </row>
    <row r="52" spans="1:43" x14ac:dyDescent="0.25">
      <c r="A52" s="3" t="s">
        <v>111</v>
      </c>
      <c r="T52" s="10"/>
      <c r="U52" s="10"/>
      <c r="V52" s="10"/>
      <c r="W52" s="78"/>
      <c r="X52" s="78"/>
      <c r="Y52" s="78"/>
      <c r="Z52" s="78"/>
      <c r="AA52" s="78"/>
      <c r="AB52" s="78" t="s">
        <v>112</v>
      </c>
      <c r="AC52" s="78"/>
      <c r="AD52" s="78"/>
      <c r="AE52" s="78"/>
      <c r="AF52" s="78"/>
      <c r="AG52" s="78"/>
      <c r="AH52" s="78"/>
      <c r="AI52" s="78"/>
      <c r="AJ52" s="78"/>
      <c r="AK52" s="78"/>
      <c r="AL52" s="78"/>
      <c r="AM52" s="78"/>
      <c r="AN52" s="78"/>
      <c r="AO52" s="78"/>
      <c r="AP52" s="78"/>
      <c r="AQ52" s="10"/>
    </row>
    <row r="53" spans="1:43" x14ac:dyDescent="0.25">
      <c r="A53" s="3" t="s">
        <v>113</v>
      </c>
      <c r="T53" s="10"/>
      <c r="U53" s="10"/>
      <c r="V53" s="10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78"/>
      <c r="AO53" s="78"/>
      <c r="AP53" s="78"/>
      <c r="AQ53" s="10"/>
    </row>
    <row r="54" spans="1:43" x14ac:dyDescent="0.25">
      <c r="A54" s="3" t="s">
        <v>114</v>
      </c>
      <c r="T54" s="10"/>
      <c r="U54" s="10"/>
      <c r="V54" s="10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78"/>
      <c r="AL54" s="78"/>
      <c r="AM54" s="78"/>
      <c r="AN54" s="78"/>
      <c r="AO54" s="78"/>
      <c r="AP54" s="78"/>
      <c r="AQ54" s="10"/>
    </row>
    <row r="55" spans="1:43" x14ac:dyDescent="0.25">
      <c r="T55" s="10"/>
      <c r="U55" s="10"/>
      <c r="V55" s="10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10"/>
    </row>
    <row r="56" spans="1:43" ht="13" x14ac:dyDescent="0.3">
      <c r="A56" s="4" t="s">
        <v>115</v>
      </c>
      <c r="T56" s="10"/>
      <c r="U56" s="10"/>
      <c r="V56" s="10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78"/>
      <c r="AO56" s="78"/>
      <c r="AP56" s="78"/>
      <c r="AQ56" s="10"/>
    </row>
    <row r="57" spans="1:43" x14ac:dyDescent="0.25">
      <c r="A57" s="3" t="s">
        <v>116</v>
      </c>
      <c r="T57" s="10"/>
      <c r="U57" s="10"/>
      <c r="V57" s="10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/>
      <c r="AO57" s="78"/>
      <c r="AP57" s="78"/>
      <c r="AQ57" s="10"/>
    </row>
    <row r="58" spans="1:43" ht="13" x14ac:dyDescent="0.3">
      <c r="A58" s="4" t="s">
        <v>110</v>
      </c>
      <c r="T58" s="10"/>
      <c r="U58" s="10"/>
      <c r="V58" s="10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 t="s">
        <v>117</v>
      </c>
      <c r="AH58" s="78"/>
      <c r="AI58" s="78"/>
      <c r="AJ58" s="78"/>
      <c r="AK58" s="78"/>
      <c r="AL58" s="78"/>
      <c r="AM58" s="78"/>
      <c r="AN58" s="78"/>
      <c r="AO58" s="78"/>
      <c r="AP58" s="78"/>
      <c r="AQ58" s="10"/>
    </row>
    <row r="59" spans="1:43" x14ac:dyDescent="0.25">
      <c r="A59" s="3" t="s">
        <v>111</v>
      </c>
      <c r="T59" s="10"/>
      <c r="U59" s="10"/>
      <c r="V59" s="10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>
        <v>0</v>
      </c>
      <c r="AH59" s="78">
        <v>1</v>
      </c>
      <c r="AI59" s="78">
        <v>2</v>
      </c>
      <c r="AJ59" s="78">
        <v>3</v>
      </c>
      <c r="AK59" s="78">
        <v>4</v>
      </c>
      <c r="AL59" s="78">
        <v>5</v>
      </c>
      <c r="AM59" s="78">
        <v>6</v>
      </c>
      <c r="AN59" s="78"/>
      <c r="AO59" s="78"/>
      <c r="AP59" s="78"/>
      <c r="AQ59" s="10"/>
    </row>
    <row r="60" spans="1:43" x14ac:dyDescent="0.25">
      <c r="A60" s="3" t="s">
        <v>113</v>
      </c>
      <c r="T60" s="10"/>
      <c r="U60" s="10"/>
      <c r="V60" s="10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>
        <v>7</v>
      </c>
      <c r="AH60" s="78">
        <v>8</v>
      </c>
      <c r="AI60" s="78">
        <v>9</v>
      </c>
      <c r="AJ60" s="78">
        <v>10</v>
      </c>
      <c r="AK60" s="78">
        <v>11</v>
      </c>
      <c r="AL60" s="78">
        <v>12</v>
      </c>
      <c r="AM60" s="78">
        <v>13</v>
      </c>
      <c r="AN60" s="78"/>
      <c r="AO60" s="78"/>
      <c r="AP60" s="78"/>
      <c r="AQ60" s="10"/>
    </row>
    <row r="61" spans="1:43" x14ac:dyDescent="0.25">
      <c r="T61" s="10"/>
      <c r="U61" s="10"/>
      <c r="V61" s="10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>
        <v>14</v>
      </c>
      <c r="AH61" s="78">
        <v>15</v>
      </c>
      <c r="AI61" s="78">
        <v>16</v>
      </c>
      <c r="AJ61" s="78">
        <v>17</v>
      </c>
      <c r="AK61" s="78">
        <v>18</v>
      </c>
      <c r="AL61" s="78">
        <v>19</v>
      </c>
      <c r="AM61" s="78">
        <v>20</v>
      </c>
      <c r="AN61" s="78"/>
      <c r="AO61" s="78"/>
      <c r="AP61" s="78"/>
      <c r="AQ61" s="10"/>
    </row>
    <row r="62" spans="1:43" ht="13" x14ac:dyDescent="0.3">
      <c r="A62" s="4" t="s">
        <v>118</v>
      </c>
      <c r="T62" s="10"/>
      <c r="U62" s="10"/>
      <c r="V62" s="10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>
        <v>21</v>
      </c>
      <c r="AH62" s="78">
        <v>22</v>
      </c>
      <c r="AI62" s="78">
        <v>23</v>
      </c>
      <c r="AJ62" s="78">
        <v>24</v>
      </c>
      <c r="AK62" s="78">
        <v>25</v>
      </c>
      <c r="AL62" s="78">
        <v>26</v>
      </c>
      <c r="AM62" s="78">
        <v>27</v>
      </c>
      <c r="AN62" s="78"/>
      <c r="AO62" s="78"/>
      <c r="AP62" s="78"/>
      <c r="AQ62" s="10"/>
    </row>
    <row r="63" spans="1:43" x14ac:dyDescent="0.25">
      <c r="A63" s="3" t="s">
        <v>119</v>
      </c>
      <c r="T63" s="10"/>
      <c r="U63" s="10"/>
      <c r="V63" s="10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>
        <v>28</v>
      </c>
      <c r="AH63" s="78">
        <v>29</v>
      </c>
      <c r="AI63" s="78">
        <v>30</v>
      </c>
      <c r="AJ63" s="78">
        <v>31</v>
      </c>
      <c r="AK63" s="78">
        <v>32</v>
      </c>
      <c r="AL63" s="78">
        <v>33</v>
      </c>
      <c r="AM63" s="78">
        <v>34</v>
      </c>
      <c r="AN63" s="78"/>
      <c r="AO63" s="78"/>
      <c r="AP63" s="78"/>
      <c r="AQ63" s="10"/>
    </row>
    <row r="64" spans="1:43" x14ac:dyDescent="0.25">
      <c r="A64" s="3" t="s">
        <v>120</v>
      </c>
      <c r="T64" s="10"/>
      <c r="U64" s="10"/>
      <c r="V64" s="10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>
        <v>35</v>
      </c>
      <c r="AH64" s="78">
        <v>36</v>
      </c>
      <c r="AI64" s="78">
        <v>37</v>
      </c>
      <c r="AJ64" s="78">
        <v>38</v>
      </c>
      <c r="AK64" s="78">
        <v>39</v>
      </c>
      <c r="AL64" s="78">
        <v>40</v>
      </c>
      <c r="AM64" s="78">
        <v>41</v>
      </c>
      <c r="AN64" s="78"/>
      <c r="AO64" s="78"/>
      <c r="AP64" s="78"/>
      <c r="AQ64" s="10"/>
    </row>
    <row r="65" spans="1:43" x14ac:dyDescent="0.25">
      <c r="T65" s="10"/>
      <c r="U65" s="10"/>
      <c r="V65" s="10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>
        <v>42</v>
      </c>
      <c r="AH65" s="78">
        <v>43</v>
      </c>
      <c r="AI65" s="78">
        <v>44</v>
      </c>
      <c r="AJ65" s="78">
        <v>45</v>
      </c>
      <c r="AK65" s="78">
        <v>46</v>
      </c>
      <c r="AL65" s="78">
        <v>47</v>
      </c>
      <c r="AM65" s="78">
        <v>48</v>
      </c>
      <c r="AN65" s="78"/>
      <c r="AO65" s="78"/>
      <c r="AP65" s="78"/>
      <c r="AQ65" s="10"/>
    </row>
    <row r="66" spans="1:43" ht="13" x14ac:dyDescent="0.3">
      <c r="A66" s="3" t="s">
        <v>121</v>
      </c>
      <c r="B66" s="4"/>
      <c r="T66" s="10"/>
      <c r="U66" s="10"/>
      <c r="V66" s="10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>
        <v>49</v>
      </c>
      <c r="AH66" s="78">
        <v>50</v>
      </c>
      <c r="AI66" s="78">
        <v>51</v>
      </c>
      <c r="AJ66" s="78">
        <v>52</v>
      </c>
      <c r="AK66" s="78">
        <v>53</v>
      </c>
      <c r="AL66" s="78">
        <v>54</v>
      </c>
      <c r="AM66" s="78">
        <v>55</v>
      </c>
      <c r="AN66" s="78"/>
      <c r="AO66" s="78"/>
      <c r="AP66" s="78"/>
      <c r="AQ66" s="10"/>
    </row>
    <row r="67" spans="1:43" ht="13" x14ac:dyDescent="0.3">
      <c r="A67" s="1">
        <v>9</v>
      </c>
      <c r="B67" s="5">
        <f>COUNTIF($E$6:$E$13,"&gt;" &amp; A67)+COUNTIF($J$6:$J$13,"&gt;" &amp; A67)+COUNTIF($O$6:$O$13,"&gt;" &amp; A67)+COUNTIF($T$6:$T$13,"&gt;" &amp; A67)+COUNTIF($Y$6:$Y$13,"&gt;" &amp; A67)+COUNTIF($AD$6:$AD$13,"&gt;" &amp; A67)+COUNTIF($AI$6:$AI$13,"&gt;" &amp; A67)</f>
        <v>0</v>
      </c>
      <c r="C67" s="3" t="s">
        <v>122</v>
      </c>
      <c r="E67" s="3" t="s">
        <v>123</v>
      </c>
      <c r="H67" s="1" t="s">
        <v>124</v>
      </c>
      <c r="L67" s="3" t="s">
        <v>125</v>
      </c>
      <c r="T67" s="10"/>
      <c r="U67" s="10"/>
      <c r="V67" s="10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>
        <v>56</v>
      </c>
      <c r="AH67" s="78">
        <v>57</v>
      </c>
      <c r="AI67" s="78">
        <v>58</v>
      </c>
      <c r="AJ67" s="78">
        <v>59</v>
      </c>
      <c r="AK67" s="78">
        <v>60</v>
      </c>
      <c r="AL67" s="78">
        <v>61</v>
      </c>
      <c r="AM67" s="78">
        <v>62</v>
      </c>
      <c r="AN67" s="78"/>
      <c r="AO67" s="78"/>
      <c r="AP67" s="78"/>
      <c r="AQ67" s="10"/>
    </row>
    <row r="68" spans="1:43" x14ac:dyDescent="0.25">
      <c r="T68" s="10"/>
      <c r="U68" s="10"/>
      <c r="V68" s="10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>
        <v>63</v>
      </c>
      <c r="AH68" s="78">
        <v>64</v>
      </c>
      <c r="AI68" s="78">
        <v>65</v>
      </c>
      <c r="AJ68" s="78">
        <v>66</v>
      </c>
      <c r="AK68" s="78">
        <v>67</v>
      </c>
      <c r="AL68" s="78">
        <v>68</v>
      </c>
      <c r="AM68" s="78">
        <v>69</v>
      </c>
      <c r="AN68" s="78"/>
      <c r="AO68" s="78"/>
      <c r="AP68" s="78"/>
      <c r="AQ68" s="10"/>
    </row>
    <row r="69" spans="1:43" x14ac:dyDescent="0.25">
      <c r="A69" s="3" t="s">
        <v>126</v>
      </c>
      <c r="T69" s="10"/>
      <c r="U69" s="10"/>
      <c r="V69" s="10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>
        <v>70</v>
      </c>
      <c r="AH69" s="78">
        <v>71</v>
      </c>
      <c r="AI69" s="78">
        <v>72</v>
      </c>
      <c r="AJ69" s="78">
        <v>73</v>
      </c>
      <c r="AK69" s="78">
        <v>74</v>
      </c>
      <c r="AL69" s="78">
        <v>75</v>
      </c>
      <c r="AM69" s="78">
        <v>76</v>
      </c>
      <c r="AN69" s="78"/>
      <c r="AO69" s="78"/>
      <c r="AP69" s="78"/>
      <c r="AQ69" s="10"/>
    </row>
    <row r="70" spans="1:43" x14ac:dyDescent="0.25">
      <c r="A70" s="1">
        <v>20</v>
      </c>
      <c r="B70" s="5">
        <f>COUNTIF($AK$6:$AK$13,"&gt;" &amp; A70)</f>
        <v>1</v>
      </c>
      <c r="C70" s="3" t="s">
        <v>127</v>
      </c>
      <c r="E70" s="3" t="s">
        <v>128</v>
      </c>
      <c r="H70" s="1" t="s">
        <v>124</v>
      </c>
      <c r="T70" s="10"/>
      <c r="U70" s="10"/>
      <c r="V70" s="10"/>
      <c r="W70" s="78"/>
      <c r="X70" s="78"/>
      <c r="Y70" s="78"/>
      <c r="Z70" s="78"/>
      <c r="AA70" s="78"/>
      <c r="AB70" s="78"/>
      <c r="AC70" s="78"/>
      <c r="AD70" s="78"/>
      <c r="AE70" s="78"/>
      <c r="AF70" s="78"/>
      <c r="AG70" s="78">
        <v>77</v>
      </c>
      <c r="AH70" s="78">
        <v>78</v>
      </c>
      <c r="AI70" s="78">
        <v>79</v>
      </c>
      <c r="AJ70" s="78">
        <v>80</v>
      </c>
      <c r="AK70" s="78">
        <v>81</v>
      </c>
      <c r="AL70" s="78">
        <v>82</v>
      </c>
      <c r="AM70" s="78">
        <v>83</v>
      </c>
      <c r="AN70" s="78"/>
      <c r="AO70" s="78"/>
      <c r="AP70" s="78"/>
      <c r="AQ70" s="10"/>
    </row>
    <row r="71" spans="1:43" x14ac:dyDescent="0.25">
      <c r="W71" s="78"/>
      <c r="X71" s="78"/>
      <c r="Y71" s="78"/>
      <c r="Z71" s="78"/>
      <c r="AA71" s="78"/>
      <c r="AB71" s="78"/>
      <c r="AC71" s="78"/>
      <c r="AD71" s="78"/>
      <c r="AE71" s="78"/>
      <c r="AF71" s="78"/>
      <c r="AG71" s="78">
        <v>84</v>
      </c>
      <c r="AH71" s="78">
        <v>85</v>
      </c>
      <c r="AI71" s="78">
        <v>86</v>
      </c>
      <c r="AJ71" s="78">
        <v>87</v>
      </c>
      <c r="AK71" s="78">
        <v>88</v>
      </c>
      <c r="AL71" s="78">
        <v>89</v>
      </c>
      <c r="AM71" s="78">
        <v>90</v>
      </c>
      <c r="AN71" s="78"/>
      <c r="AO71" s="78"/>
      <c r="AP71" s="78"/>
    </row>
    <row r="72" spans="1:43" x14ac:dyDescent="0.25"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  <c r="AL72" s="78"/>
      <c r="AM72" s="78"/>
      <c r="AN72" s="78"/>
      <c r="AO72" s="78"/>
      <c r="AP72" s="78"/>
    </row>
    <row r="73" spans="1:43" x14ac:dyDescent="0.25">
      <c r="W73" s="78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8"/>
      <c r="AK73" s="78"/>
      <c r="AL73" s="78"/>
      <c r="AM73" s="78"/>
      <c r="AN73" s="78"/>
      <c r="AO73" s="78"/>
      <c r="AP73" s="78"/>
    </row>
    <row r="74" spans="1:43" x14ac:dyDescent="0.25"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78"/>
      <c r="AO74" s="78"/>
      <c r="AP74" s="78"/>
    </row>
    <row r="75" spans="1:43" x14ac:dyDescent="0.25"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  <c r="AK75" s="78"/>
      <c r="AL75" s="78"/>
      <c r="AM75" s="78"/>
      <c r="AN75" s="78"/>
      <c r="AO75" s="78"/>
      <c r="AP75" s="78"/>
    </row>
    <row r="76" spans="1:43" x14ac:dyDescent="0.25">
      <c r="W76" s="78"/>
      <c r="X76" s="78"/>
      <c r="Y76" s="78"/>
      <c r="Z76" s="78"/>
      <c r="AA76" s="78"/>
      <c r="AB76" s="78"/>
      <c r="AC76" s="78"/>
      <c r="AD76" s="78"/>
      <c r="AE76" s="78"/>
      <c r="AF76" s="78"/>
      <c r="AG76" s="78"/>
      <c r="AH76" s="78"/>
      <c r="AI76" s="78"/>
      <c r="AJ76" s="78"/>
      <c r="AK76" s="78"/>
      <c r="AL76" s="78"/>
      <c r="AM76" s="78"/>
      <c r="AN76" s="78"/>
      <c r="AO76" s="78"/>
      <c r="AP76" s="78"/>
    </row>
    <row r="77" spans="1:43" x14ac:dyDescent="0.25"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78"/>
      <c r="AK77" s="78"/>
      <c r="AL77" s="78"/>
      <c r="AM77" s="78"/>
      <c r="AN77" s="78"/>
      <c r="AO77" s="78"/>
      <c r="AP77" s="78"/>
    </row>
    <row r="78" spans="1:43" x14ac:dyDescent="0.25">
      <c r="W78" s="78"/>
      <c r="X78" s="78"/>
      <c r="Y78" s="78"/>
      <c r="Z78" s="78"/>
      <c r="AA78" s="78"/>
      <c r="AB78" s="78"/>
      <c r="AC78" s="78"/>
      <c r="AD78" s="78"/>
      <c r="AE78" s="78"/>
      <c r="AF78" s="78"/>
      <c r="AG78" s="78"/>
      <c r="AH78" s="78"/>
      <c r="AI78" s="78"/>
      <c r="AJ78" s="78"/>
      <c r="AK78" s="78"/>
      <c r="AL78" s="78"/>
      <c r="AM78" s="78"/>
      <c r="AN78" s="78"/>
      <c r="AO78" s="78"/>
      <c r="AP78" s="78"/>
    </row>
    <row r="79" spans="1:43" x14ac:dyDescent="0.25">
      <c r="W79" s="78"/>
      <c r="X79" s="78"/>
      <c r="Y79" s="78"/>
      <c r="Z79" s="78"/>
      <c r="AA79" s="78"/>
      <c r="AB79" s="78"/>
      <c r="AC79" s="78"/>
      <c r="AD79" s="78"/>
      <c r="AE79" s="78"/>
      <c r="AF79" s="78"/>
      <c r="AG79" s="78"/>
      <c r="AH79" s="78"/>
      <c r="AI79" s="78"/>
      <c r="AJ79" s="78"/>
      <c r="AK79" s="78"/>
      <c r="AL79" s="78"/>
      <c r="AM79" s="78"/>
      <c r="AN79" s="78"/>
      <c r="AO79" s="78"/>
      <c r="AP79" s="78"/>
    </row>
    <row r="80" spans="1:43" x14ac:dyDescent="0.25">
      <c r="W80" s="78"/>
      <c r="X80" s="78"/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  <c r="AJ80" s="78"/>
      <c r="AK80" s="78"/>
      <c r="AL80" s="78"/>
      <c r="AM80" s="78"/>
      <c r="AN80" s="78"/>
      <c r="AO80" s="78"/>
      <c r="AP80" s="78"/>
    </row>
    <row r="81" spans="1:42" x14ac:dyDescent="0.25"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  <c r="AJ81" s="78"/>
      <c r="AK81" s="78"/>
      <c r="AL81" s="78"/>
      <c r="AM81" s="78"/>
      <c r="AN81" s="78"/>
      <c r="AO81" s="78"/>
      <c r="AP81" s="78"/>
    </row>
    <row r="82" spans="1:42" x14ac:dyDescent="0.25"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8"/>
      <c r="AH82" s="78"/>
      <c r="AI82" s="78"/>
      <c r="AJ82" s="78"/>
      <c r="AK82" s="78"/>
      <c r="AL82" s="78"/>
      <c r="AM82" s="78"/>
      <c r="AN82" s="78"/>
      <c r="AO82" s="78"/>
      <c r="AP82" s="78"/>
    </row>
    <row r="83" spans="1:42" x14ac:dyDescent="0.25"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</row>
    <row r="84" spans="1:42" x14ac:dyDescent="0.25"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</row>
    <row r="85" spans="1:42" x14ac:dyDescent="0.25"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</row>
    <row r="86" spans="1:42" x14ac:dyDescent="0.25"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8"/>
      <c r="AO86" s="78"/>
      <c r="AP86" s="78"/>
    </row>
    <row r="87" spans="1:42" x14ac:dyDescent="0.25"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  <c r="AN87" s="78"/>
      <c r="AO87" s="78"/>
      <c r="AP87" s="78"/>
    </row>
    <row r="95" spans="1:42" ht="13" x14ac:dyDescent="0.3">
      <c r="A95" s="4"/>
    </row>
  </sheetData>
  <sheetProtection algorithmName="SHA-512" hashValue="nEmLKfluXrwd8yhW7OoqW7RdN08njvCYxv+o7szVhrvgy7zJjrWUh2wfvBY8p9EDy/vTm2hvZXe5wlYI90PGaQ==" saltValue="XOOs+KMu5vHOewkYAeeCZg==" spinCount="100000" sheet="1" objects="1" scenarios="1"/>
  <dataConsolidate/>
  <mergeCells count="27">
    <mergeCell ref="A1:C1"/>
    <mergeCell ref="H1:L1"/>
    <mergeCell ref="A2:C2"/>
    <mergeCell ref="A3:C3"/>
    <mergeCell ref="B4:F4"/>
    <mergeCell ref="G4:J4"/>
    <mergeCell ref="L4:O4"/>
    <mergeCell ref="I2:J2"/>
    <mergeCell ref="Q4:T4"/>
    <mergeCell ref="V4:Y4"/>
    <mergeCell ref="AA4:AD4"/>
    <mergeCell ref="AF4:AI4"/>
    <mergeCell ref="AG39:AK39"/>
    <mergeCell ref="A28:C28"/>
    <mergeCell ref="A29:C29"/>
    <mergeCell ref="A30:C30"/>
    <mergeCell ref="D32:E32"/>
    <mergeCell ref="H32:I32"/>
    <mergeCell ref="A37:C37"/>
    <mergeCell ref="D31:E31"/>
    <mergeCell ref="H31:I31"/>
    <mergeCell ref="A36:E36"/>
    <mergeCell ref="N32:O32"/>
    <mergeCell ref="A33:C33"/>
    <mergeCell ref="G33:H33"/>
    <mergeCell ref="A34:B34"/>
    <mergeCell ref="N31:O31"/>
  </mergeCells>
  <conditionalFormatting sqref="A6:A17">
    <cfRule type="cellIs" dxfId="1174" priority="373" operator="equal">
      <formula>0</formula>
    </cfRule>
  </conditionalFormatting>
  <conditionalFormatting sqref="A37">
    <cfRule type="cellIs" dxfId="1173" priority="253" operator="notEqual">
      <formula>$E$2</formula>
    </cfRule>
    <cfRule type="cellIs" dxfId="1172" priority="254" operator="equal">
      <formula>$E$2</formula>
    </cfRule>
  </conditionalFormatting>
  <conditionalFormatting sqref="A32:D32 F32:H32 C34">
    <cfRule type="cellIs" dxfId="1171" priority="251" operator="notEqual">
      <formula>$E$3</formula>
    </cfRule>
    <cfRule type="cellIs" dxfId="1170" priority="252" operator="equal">
      <formula>$E$3</formula>
    </cfRule>
  </conditionalFormatting>
  <conditionalFormatting sqref="B6:D17">
    <cfRule type="expression" dxfId="1169" priority="112">
      <formula>$A6=0</formula>
    </cfRule>
  </conditionalFormatting>
  <conditionalFormatting sqref="E6:E17">
    <cfRule type="expression" dxfId="1168" priority="116">
      <formula>AND($H$67="ja",E6&gt;$A$67)</formula>
    </cfRule>
    <cfRule type="cellIs" dxfId="1167" priority="117" operator="greaterThanOrEqual">
      <formula>0</formula>
    </cfRule>
  </conditionalFormatting>
  <conditionalFormatting sqref="F6:F17">
    <cfRule type="cellIs" dxfId="1166" priority="31" operator="lessThan">
      <formula>$A$45</formula>
    </cfRule>
    <cfRule type="cellIs" dxfId="1165" priority="32" operator="equal">
      <formula>0</formula>
    </cfRule>
    <cfRule type="cellIs" dxfId="1164" priority="33" operator="notEqual">
      <formula>0</formula>
    </cfRule>
  </conditionalFormatting>
  <conditionalFormatting sqref="G6:I17">
    <cfRule type="expression" dxfId="1163" priority="52">
      <formula>$A6=0</formula>
    </cfRule>
  </conditionalFormatting>
  <conditionalFormatting sqref="J6:J17">
    <cfRule type="expression" dxfId="1162" priority="104">
      <formula>AND($H$67="ja",J6&gt;$A$67)</formula>
    </cfRule>
    <cfRule type="cellIs" dxfId="1161" priority="105" operator="greaterThanOrEqual">
      <formula>0</formula>
    </cfRule>
  </conditionalFormatting>
  <conditionalFormatting sqref="J32:N32">
    <cfRule type="cellIs" dxfId="1160" priority="249" operator="notEqual">
      <formula>$E$3</formula>
    </cfRule>
    <cfRule type="cellIs" dxfId="1159" priority="250" operator="equal">
      <formula>$E$3</formula>
    </cfRule>
  </conditionalFormatting>
  <conditionalFormatting sqref="K6:K17">
    <cfRule type="cellIs" dxfId="1158" priority="28" operator="lessThan">
      <formula>$A$45</formula>
    </cfRule>
    <cfRule type="cellIs" dxfId="1157" priority="29" operator="equal">
      <formula>0</formula>
    </cfRule>
    <cfRule type="cellIs" dxfId="1156" priority="30" operator="notEqual">
      <formula>0</formula>
    </cfRule>
  </conditionalFormatting>
  <conditionalFormatting sqref="L6:N17">
    <cfRule type="expression" dxfId="1155" priority="48">
      <formula>$A6=0</formula>
    </cfRule>
  </conditionalFormatting>
  <conditionalFormatting sqref="O6:O17">
    <cfRule type="cellIs" dxfId="1154" priority="97" operator="greaterThanOrEqual">
      <formula>0</formula>
    </cfRule>
    <cfRule type="expression" dxfId="1153" priority="96">
      <formula>AND($H$67="ja",O6&gt;$A$67)</formula>
    </cfRule>
  </conditionalFormatting>
  <conditionalFormatting sqref="P6:P17">
    <cfRule type="cellIs" dxfId="1152" priority="22" operator="lessThan">
      <formula>$A$45</formula>
    </cfRule>
    <cfRule type="cellIs" dxfId="1151" priority="23" operator="equal">
      <formula>0</formula>
    </cfRule>
    <cfRule type="cellIs" dxfId="1150" priority="24" operator="notEqual">
      <formula>0</formula>
    </cfRule>
  </conditionalFormatting>
  <conditionalFormatting sqref="Q6:S17">
    <cfRule type="expression" dxfId="1149" priority="47">
      <formula>$A6=0</formula>
    </cfRule>
  </conditionalFormatting>
  <conditionalFormatting sqref="T6:T17">
    <cfRule type="cellIs" dxfId="1148" priority="89" operator="greaterThanOrEqual">
      <formula>0</formula>
    </cfRule>
    <cfRule type="expression" dxfId="1147" priority="88">
      <formula>AND($H$67="ja",T6&gt;$A$67)</formula>
    </cfRule>
  </conditionalFormatting>
  <conditionalFormatting sqref="U6:U17">
    <cfRule type="cellIs" dxfId="1146" priority="17" operator="equal">
      <formula>0</formula>
    </cfRule>
    <cfRule type="cellIs" dxfId="1145" priority="16" operator="lessThan">
      <formula>$A$45</formula>
    </cfRule>
    <cfRule type="cellIs" dxfId="1144" priority="18" operator="notEqual">
      <formula>0</formula>
    </cfRule>
  </conditionalFormatting>
  <conditionalFormatting sqref="V6:X17">
    <cfRule type="expression" dxfId="1143" priority="46">
      <formula>$A6=0</formula>
    </cfRule>
  </conditionalFormatting>
  <conditionalFormatting sqref="Y6:Y17 AD6:AD17 AI6:AI17">
    <cfRule type="expression" dxfId="1142" priority="59">
      <formula>AND($H$67="ja",Y6&gt;$A$67)</formula>
    </cfRule>
    <cfRule type="cellIs" dxfId="1141" priority="60" operator="greaterThanOrEqual">
      <formula>0</formula>
    </cfRule>
  </conditionalFormatting>
  <conditionalFormatting sqref="Z6:Z17">
    <cfRule type="cellIs" dxfId="1140" priority="11" operator="equal">
      <formula>0</formula>
    </cfRule>
    <cfRule type="cellIs" dxfId="1139" priority="10" operator="lessThan">
      <formula>$A$45</formula>
    </cfRule>
    <cfRule type="cellIs" dxfId="1138" priority="12" operator="notEqual">
      <formula>0</formula>
    </cfRule>
  </conditionalFormatting>
  <conditionalFormatting sqref="AA6:AC17">
    <cfRule type="expression" dxfId="1137" priority="43">
      <formula>$A6=0</formula>
    </cfRule>
  </conditionalFormatting>
  <conditionalFormatting sqref="AE6:AE17">
    <cfRule type="cellIs" dxfId="1136" priority="5" operator="equal">
      <formula>0</formula>
    </cfRule>
    <cfRule type="cellIs" dxfId="1135" priority="4" operator="lessThan">
      <formula>$A$45</formula>
    </cfRule>
    <cfRule type="cellIs" dxfId="1134" priority="6" operator="notEqual">
      <formula>0</formula>
    </cfRule>
  </conditionalFormatting>
  <conditionalFormatting sqref="AF6:AH17">
    <cfRule type="expression" dxfId="1133" priority="34">
      <formula>$A6=0</formula>
    </cfRule>
  </conditionalFormatting>
  <conditionalFormatting sqref="AJ6:AJ17">
    <cfRule type="cellIs" dxfId="1132" priority="3" operator="notEqual">
      <formula>0</formula>
    </cfRule>
    <cfRule type="cellIs" dxfId="1131" priority="2" operator="equal">
      <formula>0</formula>
    </cfRule>
    <cfRule type="cellIs" dxfId="1130" priority="1" operator="lessThan">
      <formula>$A$45</formula>
    </cfRule>
  </conditionalFormatting>
  <conditionalFormatting sqref="AK6:AK17">
    <cfRule type="expression" dxfId="1129" priority="58">
      <formula>AND($H$70="ja",AK6&gt;$A$70)</formula>
    </cfRule>
    <cfRule type="cellIs" dxfId="1128" priority="61" operator="greaterThanOrEqual">
      <formula>0</formula>
    </cfRule>
  </conditionalFormatting>
  <dataValidations disablePrompts="1" count="1">
    <dataValidation type="list" allowBlank="1" showInputMessage="1" showErrorMessage="1" sqref="H67 H70" xr:uid="{00000000-0002-0000-0200-000000000000}">
      <formula1>Ja_og_nei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AQ95"/>
  <sheetViews>
    <sheetView zoomScaleNormal="100" workbookViewId="0">
      <pane ySplit="24" topLeftCell="A25" activePane="bottomLeft" state="frozen"/>
      <selection pane="bottomLeft" activeCell="B6" sqref="B6"/>
    </sheetView>
  </sheetViews>
  <sheetFormatPr defaultColWidth="9.08984375" defaultRowHeight="12.5" x14ac:dyDescent="0.25"/>
  <cols>
    <col min="1" max="1" width="10.7265625" style="3" customWidth="1"/>
    <col min="2" max="2" width="7.6328125" style="3" customWidth="1"/>
    <col min="3" max="3" width="7.81640625" style="3" customWidth="1"/>
    <col min="4" max="4" width="4.36328125" style="3" bestFit="1" customWidth="1"/>
    <col min="5" max="6" width="10" style="3" customWidth="1"/>
    <col min="7" max="7" width="7" style="3" customWidth="1"/>
    <col min="8" max="8" width="7.6328125" style="3" customWidth="1"/>
    <col min="9" max="9" width="4.36328125" style="3" bestFit="1" customWidth="1"/>
    <col min="10" max="11" width="10" style="3" customWidth="1"/>
    <col min="12" max="12" width="7.26953125" style="3" customWidth="1"/>
    <col min="13" max="13" width="7.7265625" style="3" customWidth="1"/>
    <col min="14" max="14" width="4.36328125" style="3" bestFit="1" customWidth="1"/>
    <col min="15" max="15" width="10.08984375" style="3" bestFit="1" customWidth="1"/>
    <col min="16" max="16" width="10.08984375" style="3" customWidth="1"/>
    <col min="17" max="17" width="7.6328125" style="3" customWidth="1"/>
    <col min="18" max="18" width="7.7265625" style="3" customWidth="1"/>
    <col min="19" max="19" width="4.36328125" style="3" bestFit="1" customWidth="1"/>
    <col min="20" max="20" width="10.08984375" style="3" bestFit="1" customWidth="1"/>
    <col min="21" max="21" width="10.08984375" style="3" customWidth="1"/>
    <col min="22" max="22" width="8.36328125" style="3" customWidth="1"/>
    <col min="23" max="23" width="8.81640625" style="3" customWidth="1"/>
    <col min="24" max="24" width="4.36328125" style="3" bestFit="1" customWidth="1"/>
    <col min="25" max="26" width="10" style="3" customWidth="1"/>
    <col min="27" max="28" width="7.81640625" style="3" customWidth="1"/>
    <col min="29" max="29" width="4.36328125" style="3" bestFit="1" customWidth="1"/>
    <col min="30" max="31" width="9.7265625" style="3" customWidth="1"/>
    <col min="32" max="32" width="6.81640625" style="3" customWidth="1"/>
    <col min="33" max="33" width="7.6328125" style="3" customWidth="1"/>
    <col min="34" max="34" width="4.36328125" style="3" bestFit="1" customWidth="1"/>
    <col min="35" max="36" width="9.6328125" style="3" customWidth="1"/>
    <col min="37" max="37" width="15.36328125" style="3" bestFit="1" customWidth="1"/>
    <col min="38" max="16384" width="9.08984375" style="3"/>
  </cols>
  <sheetData>
    <row r="1" spans="1:39" ht="13" x14ac:dyDescent="0.3">
      <c r="A1" s="98" t="s">
        <v>66</v>
      </c>
      <c r="B1" s="98"/>
      <c r="C1" s="98"/>
      <c r="D1" s="88"/>
      <c r="E1" s="5" t="str">
        <f>Vaktplan!G38</f>
        <v>mandag</v>
      </c>
      <c r="H1" s="98" t="s">
        <v>67</v>
      </c>
      <c r="I1" s="98"/>
      <c r="J1" s="98"/>
      <c r="K1" s="98"/>
      <c r="L1" s="98"/>
      <c r="M1" s="5">
        <f>Vaktplan!AJ42</f>
        <v>12</v>
      </c>
    </row>
    <row r="2" spans="1:39" ht="13" x14ac:dyDescent="0.3">
      <c r="A2" s="98" t="s">
        <v>36</v>
      </c>
      <c r="B2" s="98"/>
      <c r="C2" s="98"/>
      <c r="D2" s="88"/>
      <c r="E2" s="8">
        <f>Vaktplan!AM42</f>
        <v>0</v>
      </c>
      <c r="I2" s="106"/>
      <c r="J2" s="106"/>
    </row>
    <row r="3" spans="1:39" ht="13" x14ac:dyDescent="0.3">
      <c r="A3" s="98" t="s">
        <v>68</v>
      </c>
      <c r="B3" s="98"/>
      <c r="C3" s="98"/>
      <c r="D3" s="88"/>
      <c r="E3" s="5">
        <f>Vaktplan!AQ42</f>
        <v>0</v>
      </c>
      <c r="F3" s="4" t="s">
        <v>69</v>
      </c>
    </row>
    <row r="4" spans="1:39" ht="13" x14ac:dyDescent="0.3">
      <c r="A4" s="89" t="s">
        <v>70</v>
      </c>
      <c r="B4" s="103" t="str">
        <f>TEXT(AG39,"DDDD")</f>
        <v>Monday</v>
      </c>
      <c r="C4" s="104"/>
      <c r="D4" s="104"/>
      <c r="E4" s="104"/>
      <c r="F4" s="105"/>
      <c r="G4" s="102" t="str">
        <f>TEXT($AG$39+1,"DDDD")</f>
        <v>Tuesday</v>
      </c>
      <c r="H4" s="102"/>
      <c r="I4" s="102"/>
      <c r="J4" s="102"/>
      <c r="K4" s="89"/>
      <c r="L4" s="102" t="str">
        <f>TEXT($AG$39+2,"DDDD")</f>
        <v>Wednesday</v>
      </c>
      <c r="M4" s="102"/>
      <c r="N4" s="102"/>
      <c r="O4" s="102"/>
      <c r="P4" s="89"/>
      <c r="Q4" s="102" t="str">
        <f>TEXT($AG$39+3,"DDDD")</f>
        <v>Thursday</v>
      </c>
      <c r="R4" s="102"/>
      <c r="S4" s="102"/>
      <c r="T4" s="102"/>
      <c r="U4" s="89"/>
      <c r="V4" s="102" t="str">
        <f>TEXT($AG$39+4,"DDDD")</f>
        <v>Friday</v>
      </c>
      <c r="W4" s="102"/>
      <c r="X4" s="102"/>
      <c r="Y4" s="102"/>
      <c r="Z4" s="89"/>
      <c r="AA4" s="102" t="str">
        <f>TEXT($AG$39+5,"DDDD")</f>
        <v>Saturday</v>
      </c>
      <c r="AB4" s="102"/>
      <c r="AC4" s="102"/>
      <c r="AD4" s="102"/>
      <c r="AE4" s="89"/>
      <c r="AF4" s="102" t="str">
        <f>TEXT($AG$39+6,"DDDD")</f>
        <v>Sunday</v>
      </c>
      <c r="AG4" s="102"/>
      <c r="AH4" s="102"/>
      <c r="AI4" s="102"/>
      <c r="AJ4" s="89"/>
      <c r="AK4" s="7" t="s">
        <v>71</v>
      </c>
    </row>
    <row r="5" spans="1:39" x14ac:dyDescent="0.25">
      <c r="A5" s="6"/>
      <c r="B5" s="6" t="s">
        <v>72</v>
      </c>
      <c r="C5" s="6" t="s">
        <v>73</v>
      </c>
      <c r="D5" s="6" t="s">
        <v>55</v>
      </c>
      <c r="E5" s="6" t="s">
        <v>74</v>
      </c>
      <c r="F5" s="6" t="s">
        <v>75</v>
      </c>
      <c r="G5" s="6" t="s">
        <v>72</v>
      </c>
      <c r="H5" s="6" t="s">
        <v>73</v>
      </c>
      <c r="I5" s="6" t="s">
        <v>55</v>
      </c>
      <c r="J5" s="6" t="s">
        <v>74</v>
      </c>
      <c r="K5" s="6" t="s">
        <v>75</v>
      </c>
      <c r="L5" s="6" t="s">
        <v>72</v>
      </c>
      <c r="M5" s="6" t="s">
        <v>73</v>
      </c>
      <c r="N5" s="6" t="s">
        <v>55</v>
      </c>
      <c r="O5" s="6" t="s">
        <v>74</v>
      </c>
      <c r="P5" s="6" t="s">
        <v>75</v>
      </c>
      <c r="Q5" s="6" t="s">
        <v>72</v>
      </c>
      <c r="R5" s="6" t="s">
        <v>73</v>
      </c>
      <c r="S5" s="6" t="s">
        <v>55</v>
      </c>
      <c r="T5" s="6" t="s">
        <v>74</v>
      </c>
      <c r="U5" s="6" t="s">
        <v>75</v>
      </c>
      <c r="V5" s="6" t="s">
        <v>72</v>
      </c>
      <c r="W5" s="6" t="s">
        <v>73</v>
      </c>
      <c r="X5" s="6" t="s">
        <v>55</v>
      </c>
      <c r="Y5" s="6" t="s">
        <v>74</v>
      </c>
      <c r="Z5" s="6" t="s">
        <v>75</v>
      </c>
      <c r="AA5" s="6" t="s">
        <v>72</v>
      </c>
      <c r="AB5" s="6" t="s">
        <v>73</v>
      </c>
      <c r="AC5" s="6" t="s">
        <v>55</v>
      </c>
      <c r="AD5" s="6" t="s">
        <v>74</v>
      </c>
      <c r="AE5" s="6" t="s">
        <v>75</v>
      </c>
      <c r="AF5" s="6" t="s">
        <v>72</v>
      </c>
      <c r="AG5" s="6" t="s">
        <v>73</v>
      </c>
      <c r="AH5" s="6" t="s">
        <v>55</v>
      </c>
      <c r="AI5" s="6" t="s">
        <v>74</v>
      </c>
      <c r="AJ5" s="6" t="s">
        <v>75</v>
      </c>
      <c r="AK5" s="6"/>
    </row>
    <row r="6" spans="1:39" ht="13" x14ac:dyDescent="0.25">
      <c r="A6" s="7">
        <f>IF(M1&gt;=1,1,0)</f>
        <v>1</v>
      </c>
      <c r="B6" s="77">
        <f>IFERROR(VLOOKUP(Vaktplan!$A$42,Vaktplan!$A$4:$CL$35,87-AH59,FALSE),0)</f>
        <v>0</v>
      </c>
      <c r="C6" s="77">
        <f>IFERROR(VLOOKUP(Vaktplan!$A$42,Vaktplan!$A$4:$CL$35,87-AG59,FALSE),0)</f>
        <v>0</v>
      </c>
      <c r="D6" s="9">
        <f>IFERROR(VLOOKUP(Vaktplan!$A$42,Vaktplan!$A$4:$CL$35,89-AG59,FALSE),0)</f>
        <v>0</v>
      </c>
      <c r="E6" s="9">
        <f>IF(AND(B6=0,C6=0),0,IF(B6&lt;C6,((C6-B6)*24)-D6,(((1-B6)+C6)*24)-D6))</f>
        <v>0</v>
      </c>
      <c r="F6" s="9">
        <f>IF(AND(C6=0,G6=0),24,IF(C6=0,12+(G6*24),IF(C6&lt;G6,((G6-C6)*24),IF(G6=0,(1-C6+0.5)*24,((1-C6)+G6)*24))))</f>
        <v>24</v>
      </c>
      <c r="G6" s="77">
        <f>IFERROR(VLOOKUP(Vaktplan!$A$42,Vaktplan!$B$4:$CL$35,86-AH59,FALSE),0)</f>
        <v>0</v>
      </c>
      <c r="H6" s="77">
        <f>IFERROR(VLOOKUP(Vaktplan!$A$42,Vaktplan!$B$4:$CL$35,86-AG59,FALSE),0)</f>
        <v>0</v>
      </c>
      <c r="I6" s="9">
        <f>IFERROR(VLOOKUP(Vaktplan!$A$42,Vaktplan!$B$4:$CL$35,89-$AH59,FALSE),0)</f>
        <v>0</v>
      </c>
      <c r="J6" s="9">
        <f>IF(AND(G6=0,H6=0),0,IF(G6&lt;H6,((H6-G6)*24)-I6,(((1-G6)+H6)*24)-I6))</f>
        <v>0</v>
      </c>
      <c r="K6" s="9">
        <f>IF(AND(H6=0,L6=0),24,IF(H6=0,12+(L6*24),IF(H6&lt;L6,((L6-H6)*24),IF(L6=0,(1-H6+0.5)*24,((1-H6)+L6)*24))))</f>
        <v>24</v>
      </c>
      <c r="L6" s="77">
        <f>IFERROR(VLOOKUP(Vaktplan!$A$42,Vaktplan!$C$4:$CL$35,86-AI59,FALSE),0)</f>
        <v>0</v>
      </c>
      <c r="M6" s="77">
        <f>IFERROR(VLOOKUP(Vaktplan!$A$42,Vaktplan!$C$4:$CL$35,86-AH59,FALSE),0)</f>
        <v>0</v>
      </c>
      <c r="N6" s="9">
        <f>IFERROR(VLOOKUP(Vaktplan!$A$42,Vaktplan!$C$4:$CL$35,89-$AI59,FALSE),0)</f>
        <v>0</v>
      </c>
      <c r="O6" s="9">
        <f>IF(AND(L6=0,M6=0),0,IF(L6&lt;M6,((M6-L6)*24)-N6,(((1-L6)+M6)*24)-N6))</f>
        <v>0</v>
      </c>
      <c r="P6" s="9">
        <f>IF(AND(M6=0,Q6=0),24,IF(M6=0,12+(Q6*24),IF(M6&lt;Q6,((Q6-M6)*24),IF(Q6=0,(1-M6+0.5)*24,((1-M6)+Q6)*24))))</f>
        <v>24</v>
      </c>
      <c r="Q6" s="77">
        <f>IFERROR(VLOOKUP(Vaktplan!$A$42,Vaktplan!$D$4:$CL$35,86-AJ59,FALSE),0)</f>
        <v>0</v>
      </c>
      <c r="R6" s="77">
        <f>IFERROR(VLOOKUP(Vaktplan!$A$42,Vaktplan!$D$4:$CL$35,86-AI59,FALSE),0)</f>
        <v>0</v>
      </c>
      <c r="S6" s="9">
        <f>IFERROR(VLOOKUP(Vaktplan!$A$42,Vaktplan!$D$4:$CL$35,89-$AJ59,FALSE),0)</f>
        <v>0</v>
      </c>
      <c r="T6" s="9">
        <f t="shared" ref="T6:T17" si="0">IF(AND(Q6=0,R6=0),0,IF(Q6&lt;R6,((R6-Q6)*24)-S6,(((1-Q6)+R6)*24)-S6))</f>
        <v>0</v>
      </c>
      <c r="U6" s="9">
        <f>IF(AND(R6=0,V6=0),24,IF(R6=0,12+(V6*24),IF(R6&lt;V6,((V6-R6)*24),IF(V6=0,(1-R6+0.5)*24,((1-R6)+V6)*24))))</f>
        <v>24</v>
      </c>
      <c r="V6" s="77">
        <f>IFERROR(VLOOKUP(Vaktplan!$A$42,Vaktplan!$E$4:$CL$35,86-AK59,FALSE),0)</f>
        <v>0</v>
      </c>
      <c r="W6" s="77">
        <f>IFERROR(VLOOKUP(Vaktplan!$A$42,Vaktplan!$E$4:$CL$35,86-AJ59,FALSE),0)</f>
        <v>0</v>
      </c>
      <c r="X6" s="9">
        <f>IFERROR(VLOOKUP(Vaktplan!$A$42,Vaktplan!$E$4:$CL$35,89-$AK59,FALSE),0)</f>
        <v>0</v>
      </c>
      <c r="Y6" s="9">
        <f>IF(AND(V6=0,W6=0),0,IF(V6&lt;W6,((W6-V6)*24)-X6,(((1-V6)+W6)*24)-X6))</f>
        <v>0</v>
      </c>
      <c r="Z6" s="9">
        <f>IF(AND(W6=0,AA6=0),24,IF(W6=0,12+(AA6*24),IF(W6&lt;AA6,((AA6-W6)*24),IF(AA6=0,(1-W6+0.5)*24,((1-W6)+AA6)*24))))</f>
        <v>24</v>
      </c>
      <c r="AA6" s="77">
        <f>IFERROR(VLOOKUP(Vaktplan!$A$42,Vaktplan!$F$4:$CL$35,86-AL59,FALSE),0)</f>
        <v>0</v>
      </c>
      <c r="AB6" s="77">
        <f>IFERROR(VLOOKUP(Vaktplan!$A$42,Vaktplan!$F$4:$CL$35,86-AK59,FALSE),0)</f>
        <v>0</v>
      </c>
      <c r="AC6" s="9">
        <f>IFERROR(VLOOKUP(Vaktplan!$A$42,Vaktplan!$F$4:$CL$35,89-$AL59,FALSE),0)</f>
        <v>0</v>
      </c>
      <c r="AD6" s="9">
        <f>IF(AND(AA6=0,AB6=0),0,IF(AA6&lt;AB6,((AB6-AA6)*24)-AC6,(((1-AA6)+AB6)*24)-AC6))</f>
        <v>0</v>
      </c>
      <c r="AE6" s="9">
        <f>IF(AND(AB6=0,AF6=0),24,IF(AB6=0,12+(AF6*24),IF(AB6&lt;AF6,((AF6-AB6)*24),IF(AF6=0,(1-AB6+0.5)*24,((1-AB6)+AF6)*24))))</f>
        <v>24</v>
      </c>
      <c r="AF6" s="77">
        <f>IFERROR(VLOOKUP(Vaktplan!$A$42,Vaktplan!$G$4:$CL$35,86-AM59,FALSE),0)</f>
        <v>0</v>
      </c>
      <c r="AG6" s="77">
        <f>IFERROR(VLOOKUP(Vaktplan!$A$42,Vaktplan!$G$4:$CL$35,86-AL59,FALSE),0)</f>
        <v>0</v>
      </c>
      <c r="AH6" s="9">
        <f>IFERROR(VLOOKUP(Vaktplan!$A$42,Vaktplan!$G$4:$CL$35,89-$AM59,FALSE),0)</f>
        <v>0</v>
      </c>
      <c r="AI6" s="9">
        <f>IF(AND(AF6=0,AG6=0),0,IF(AF6&lt;AG6,((AG6-AF6)*24)-AH6,(((1-AF6)+AG6)*24)-AH6))</f>
        <v>0</v>
      </c>
      <c r="AJ6" s="9">
        <f>IF($M$1=AL28,IF(AND(AG6=0,B6=0),24,IF(AG6=0,12+($B$6*24),IF(AG6&lt;$B$6,(($B$6-AG6)*24),IF($B$6=0,(1-AG6+1)*24,((1-AG6)+$B$6)*24)))),IF(AND(AG6=0,B7=0),24,IF(AG6=0,12+(B7*24),IF(AG6&lt;B7,((B7-AG6)*24),IF(B7=0,(1-AG6+1)*24,((1-AG6)+B7)*24)))))</f>
        <v>24</v>
      </c>
      <c r="AK6" s="9">
        <f t="shared" ref="AK6:AK17" si="1">E6+J6+O6+T6+Y6+AD6+AI6</f>
        <v>0</v>
      </c>
      <c r="AL6" s="10">
        <f>AJ6</f>
        <v>24</v>
      </c>
      <c r="AM6" s="10">
        <f>AK6</f>
        <v>0</v>
      </c>
    </row>
    <row r="7" spans="1:39" ht="13" x14ac:dyDescent="0.25">
      <c r="A7" s="7">
        <f>IF($M$1&gt;=2,2,0)</f>
        <v>2</v>
      </c>
      <c r="B7" s="77">
        <f>IFERROR(VLOOKUP(Vaktplan!$A$42,Vaktplan!$H$4:$CL$35,87-AH60,FALSE),0)</f>
        <v>0</v>
      </c>
      <c r="C7" s="77">
        <f>IFERROR(VLOOKUP(Vaktplan!$A$42,Vaktplan!$H$4:$CL$35,87-AG60,FALSE),0)</f>
        <v>0</v>
      </c>
      <c r="D7" s="9">
        <f>IFERROR(VLOOKUP(Vaktplan!$A$42,Vaktplan!$H$4:$CL$35,89-AG60,FALSE),0)</f>
        <v>0</v>
      </c>
      <c r="E7" s="9">
        <f>IF(AND(B7=0,C7=0),0,IF(B7&lt;C7,((C7-B7)*24)-D7,(((1-B7)+C7)*24)-D7))</f>
        <v>0</v>
      </c>
      <c r="F7" s="9">
        <f t="shared" ref="F7:F17" si="2">IF(AND(C7=0,G7=0),24,IF(C7=0,12+(G7*24),IF(C7&lt;G7,((G7-C7)*24),IF(G7=0,(1-C7+0.5)*24,((1-C7)+G7)*24))))</f>
        <v>24</v>
      </c>
      <c r="G7" s="77">
        <f>IFERROR(VLOOKUP(Vaktplan!$A$42,Vaktplan!$I$4:$CL$35,86-AH60,FALSE),0)</f>
        <v>0</v>
      </c>
      <c r="H7" s="77">
        <f>IFERROR(VLOOKUP(Vaktplan!$A$42,Vaktplan!$I$4:$CL$35,86-AG60,FALSE),0)</f>
        <v>0</v>
      </c>
      <c r="I7" s="9">
        <f>IFERROR(VLOOKUP(Vaktplan!$A$42,Vaktplan!$I$4:$CL$35,89-$AH60,FALSE),0)</f>
        <v>0</v>
      </c>
      <c r="J7" s="9">
        <f t="shared" ref="J7:J17" si="3">IF(AND(G7=0,H7=0),0,IF(G7&lt;H7,((H7-G7)*24)-I7,(((1-G7)+H7)*24)-I7))</f>
        <v>0</v>
      </c>
      <c r="K7" s="9">
        <f t="shared" ref="K7:K17" si="4">IF(AND(H7=0,L7=0),24,IF(H7=0,12+(L7*24),IF(H7&lt;L7,((L7-H7)*24),IF(L7=0,(1-H7+0.5)*24,((1-H7)+L7)*24))))</f>
        <v>24</v>
      </c>
      <c r="L7" s="77">
        <f>IFERROR(VLOOKUP(Vaktplan!$A$42,Vaktplan!$J$4:$CL$35,86-AI60,FALSE),0)</f>
        <v>0</v>
      </c>
      <c r="M7" s="77">
        <f>IFERROR(VLOOKUP(Vaktplan!$A$42,Vaktplan!$J$4:$CL$35,86-AH60,FALSE),0)</f>
        <v>0</v>
      </c>
      <c r="N7" s="9">
        <f>IFERROR(VLOOKUP(Vaktplan!$A$42,Vaktplan!$J$4:$CL$35,89-$AI60,FALSE),0)</f>
        <v>0</v>
      </c>
      <c r="O7" s="9">
        <f t="shared" ref="O7:O17" si="5">IF(AND(L7=0,M7=0),0,IF(L7&lt;M7,((M7-L7)*24)-N7,(((1-L7)+M7)*24)-N7))</f>
        <v>0</v>
      </c>
      <c r="P7" s="9">
        <f t="shared" ref="P7:P17" si="6">IF(AND(M7=0,Q7=0),24,IF(M7=0,12+(Q7*24),IF(M7&lt;Q7,((Q7-M7)*24),IF(Q7=0,(1-M7+0.5)*24,((1-M7)+Q7)*24))))</f>
        <v>24</v>
      </c>
      <c r="Q7" s="77">
        <f>IFERROR(VLOOKUP(Vaktplan!$A$42,Vaktplan!$K$4:$CL$35,86-AJ60,FALSE),0)</f>
        <v>0</v>
      </c>
      <c r="R7" s="77">
        <f>IFERROR(VLOOKUP(Vaktplan!$A$42,Vaktplan!$K$4:$CL$35,86-AI60,FALSE),0)</f>
        <v>0</v>
      </c>
      <c r="S7" s="9">
        <f>IFERROR(VLOOKUP(Vaktplan!$A$42,Vaktplan!$K$4:$CL$35,89-$AJ60,FALSE),0)</f>
        <v>0</v>
      </c>
      <c r="T7" s="9">
        <f t="shared" si="0"/>
        <v>0</v>
      </c>
      <c r="U7" s="9">
        <f t="shared" ref="U7:U17" si="7">IF(AND(R7=0,V7=0),24,IF(R7=0,12+(V7*24),IF(R7&lt;V7,((V7-R7)*24),IF(V7=0,(1-R7+0.5)*24,((1-R7)+V7)*24))))</f>
        <v>24</v>
      </c>
      <c r="V7" s="77">
        <f>IFERROR(VLOOKUP(Vaktplan!$A$42,Vaktplan!$L$4:$CL$35,86-AK60,FALSE),0)</f>
        <v>0</v>
      </c>
      <c r="W7" s="77">
        <f>IFERROR(VLOOKUP(Vaktplan!$A$42,Vaktplan!$L$4:$CL$35,86-AJ60,FALSE),0)</f>
        <v>0</v>
      </c>
      <c r="X7" s="9">
        <f>IFERROR(VLOOKUP(Vaktplan!$A$42,Vaktplan!$L$4:$CL$35,89-$AK60,FALSE),0)</f>
        <v>0</v>
      </c>
      <c r="Y7" s="9">
        <f t="shared" ref="Y7:Y13" si="8">IF(AND(V7=0,W7=0),0,IF(V7&lt;W7,((W7-V7)*24)-X7,(((1-V7)+W7)*24)-X7))</f>
        <v>0</v>
      </c>
      <c r="Z7" s="9">
        <f t="shared" ref="Z7:Z17" si="9">IF(AND(W7=0,AA7=0),24,IF(W7=0,12+(AA7*24),IF(W7&lt;AA7,((AA7-W7)*24),IF(AA7=0,(1-W7+0.5)*24,((1-W7)+AA7)*24))))</f>
        <v>24</v>
      </c>
      <c r="AA7" s="77">
        <f>IFERROR(VLOOKUP(Vaktplan!$A$42,Vaktplan!$M$4:$CL$35,86-AL60,FALSE),0)</f>
        <v>0</v>
      </c>
      <c r="AB7" s="77">
        <f>IFERROR(VLOOKUP(Vaktplan!$A$42,Vaktplan!$M$4:$CL$35,86-AK60,FALSE),0)</f>
        <v>0</v>
      </c>
      <c r="AC7" s="9">
        <f>IFERROR(VLOOKUP(Vaktplan!$A$42,Vaktplan!$M$4:$CL$35,89-$AL60,FALSE),0)</f>
        <v>0</v>
      </c>
      <c r="AD7" s="9">
        <f t="shared" ref="AD7:AD13" si="10">IF(AND(AA7=0,AB7=0),0,IF(AA7&lt;AB7,((AB7-AA7)*24)-AC7,(((1-AA7)+AB7)*24)-AC7))</f>
        <v>0</v>
      </c>
      <c r="AE7" s="9">
        <f t="shared" ref="AE7:AE17" si="11">IF(AND(AB7=0,AF7=0),24,IF(AB7=0,12+(AF7*24),IF(AB7&lt;AF7,((AF7-AB7)*24),IF(AF7=0,(1-AB7+0.5)*24,((1-AB7)+AF7)*24))))</f>
        <v>24</v>
      </c>
      <c r="AF7" s="77">
        <f>IFERROR(VLOOKUP(Vaktplan!$A$42,Vaktplan!$N$4:$CL$35,86-AM60,FALSE),0)</f>
        <v>0</v>
      </c>
      <c r="AG7" s="77">
        <f>IFERROR(VLOOKUP(Vaktplan!$A$42,Vaktplan!$N$4:$CL$35,86-AL60,FALSE),0)</f>
        <v>0</v>
      </c>
      <c r="AH7" s="9">
        <f>IFERROR(VLOOKUP(Vaktplan!$A$42,Vaktplan!$N$4:$CL$35,89-$AM60,FALSE),0)</f>
        <v>0</v>
      </c>
      <c r="AI7" s="9">
        <f t="shared" ref="AI7:AI13" si="12">IF(AND(AF7=0,AG7=0),0,IF(AF7&lt;AG7,((AG7-AF7)*24)-AH7,(((1-AF7)+AG7)*24)-AH7))</f>
        <v>0</v>
      </c>
      <c r="AJ7" s="9">
        <f t="shared" ref="AJ7:AJ17" si="13">IF($M$1=AL29,IF(AND(AG7=0,B7=0),24,IF(AG7=0,12+($B$6*24),IF(AG7&lt;$B$6,(($B$6-AG7)*24),IF($B$6=0,(1-AG7+1)*24,((1-AG7)+$B$6)*24)))),IF(AND(AG7=0,B8=0),24,IF(AG7=0,12+(B8*24),IF(AG7&lt;B8,((B8-AG7)*24),IF(B8=0,(1-AG7+1)*24,((1-AG7)+B8)*24)))))</f>
        <v>24</v>
      </c>
      <c r="AK7" s="9">
        <f t="shared" si="1"/>
        <v>0</v>
      </c>
      <c r="AL7" s="10">
        <f t="shared" ref="AL7:AL13" si="14">AJ7</f>
        <v>24</v>
      </c>
      <c r="AM7" s="10">
        <f t="shared" ref="AM7:AM13" si="15">AK7</f>
        <v>0</v>
      </c>
    </row>
    <row r="8" spans="1:39" ht="13" x14ac:dyDescent="0.25">
      <c r="A8" s="7">
        <f>IF($M$1&gt;=3,3,0)</f>
        <v>3</v>
      </c>
      <c r="B8" s="77">
        <f>IFERROR(VLOOKUP(Vaktplan!$A$42,Vaktplan!$O$4:$CL$35,87-AH61,FALSE),0)</f>
        <v>0</v>
      </c>
      <c r="C8" s="77">
        <f>IFERROR(VLOOKUP(Vaktplan!$A$42,Vaktplan!$O$4:$CL$35,87-AG61,FALSE),0)</f>
        <v>0</v>
      </c>
      <c r="D8" s="9">
        <f>IFERROR(VLOOKUP(Vaktplan!$A$42,Vaktplan!$O$4:$CL$35,89-AG61,FALSE),0)</f>
        <v>0</v>
      </c>
      <c r="E8" s="9">
        <f t="shared" ref="E8:E17" si="16">IF(AND(B8=0,C8=0),0,IF(B8&lt;C8,((C8-B8)*24)-D8,(((1-B8)+C8)*24)-D8))</f>
        <v>0</v>
      </c>
      <c r="F8" s="9">
        <f t="shared" si="2"/>
        <v>24</v>
      </c>
      <c r="G8" s="77">
        <f>IFERROR(VLOOKUP(Vaktplan!$A$42,Vaktplan!$P$4:$CL$35,86-AH61,FALSE),0)</f>
        <v>0</v>
      </c>
      <c r="H8" s="77">
        <f>IFERROR(VLOOKUP(Vaktplan!$A$42,Vaktplan!$P$4:$CL$35,86-AG61,FALSE),0)</f>
        <v>0</v>
      </c>
      <c r="I8" s="9">
        <f>IFERROR(VLOOKUP(Vaktplan!$A$42,Vaktplan!$P$4:$CL$35,89-$AH61,FALSE),0)</f>
        <v>0</v>
      </c>
      <c r="J8" s="9">
        <f>IF(AND(G8=0,H8=0),0,IF(G8&lt;H8,((H8-G8)*24)-I8,(((1-G8)+H8)*24)-I8))</f>
        <v>0</v>
      </c>
      <c r="K8" s="9">
        <f t="shared" si="4"/>
        <v>24</v>
      </c>
      <c r="L8" s="77">
        <f>IFERROR(VLOOKUP(Vaktplan!$A$42,Vaktplan!$Q$4:$CL$35,86-AI61,FALSE),0)</f>
        <v>0</v>
      </c>
      <c r="M8" s="77">
        <f>IFERROR(VLOOKUP(Vaktplan!$A$42,Vaktplan!$Q$4:$CL$35,86-AH61,FALSE),0)</f>
        <v>0</v>
      </c>
      <c r="N8" s="9">
        <f>IFERROR(VLOOKUP(Vaktplan!$A$42,Vaktplan!$Q$4:$CL$35,89-$AI61,FALSE),0)</f>
        <v>0</v>
      </c>
      <c r="O8" s="9">
        <f t="shared" si="5"/>
        <v>0</v>
      </c>
      <c r="P8" s="9">
        <f t="shared" si="6"/>
        <v>24</v>
      </c>
      <c r="Q8" s="77">
        <f>IFERROR(VLOOKUP(Vaktplan!$A$42,Vaktplan!$R$4:$CL$35,86-AJ61,FALSE),0)</f>
        <v>0</v>
      </c>
      <c r="R8" s="77">
        <f>IFERROR(VLOOKUP(Vaktplan!$A$42,Vaktplan!$R$4:$CL$35,86-AI61,FALSE),0)</f>
        <v>0</v>
      </c>
      <c r="S8" s="9">
        <f>IFERROR(VLOOKUP(Vaktplan!$A$42,Vaktplan!$R$4:$CL$35,89-$AJ61,FALSE),0)</f>
        <v>0</v>
      </c>
      <c r="T8" s="9">
        <f t="shared" si="0"/>
        <v>0</v>
      </c>
      <c r="U8" s="9">
        <f t="shared" si="7"/>
        <v>24</v>
      </c>
      <c r="V8" s="77">
        <f>IFERROR(VLOOKUP(Vaktplan!$A$42,Vaktplan!$S$4:$CL$35,86-AK61,FALSE),0)</f>
        <v>0</v>
      </c>
      <c r="W8" s="77">
        <f>IFERROR(VLOOKUP(Vaktplan!$A$42,Vaktplan!$S$4:$CL$35,86-AJ61,FALSE),0)</f>
        <v>0</v>
      </c>
      <c r="X8" s="9">
        <f>IFERROR(VLOOKUP(Vaktplan!$A$42,Vaktplan!$S$4:$CL$35,89-$AK61,FALSE),0)</f>
        <v>0</v>
      </c>
      <c r="Y8" s="9">
        <f t="shared" si="8"/>
        <v>0</v>
      </c>
      <c r="Z8" s="9">
        <f t="shared" si="9"/>
        <v>24</v>
      </c>
      <c r="AA8" s="77">
        <f>IFERROR(VLOOKUP(Vaktplan!$A$42,Vaktplan!$T$4:$CL$35,86-AL61,FALSE),0)</f>
        <v>0</v>
      </c>
      <c r="AB8" s="77">
        <f>IFERROR(VLOOKUP(Vaktplan!$A$42,Vaktplan!$T$4:$CL$35,86-AK61,FALSE),0)</f>
        <v>0</v>
      </c>
      <c r="AC8" s="9">
        <f>IFERROR(VLOOKUP(Vaktplan!$A$42,Vaktplan!$T$4:$CL$35,89-$AL61,FALSE),0)</f>
        <v>0</v>
      </c>
      <c r="AD8" s="9">
        <f t="shared" si="10"/>
        <v>0</v>
      </c>
      <c r="AE8" s="9">
        <f t="shared" si="11"/>
        <v>24</v>
      </c>
      <c r="AF8" s="77">
        <f>IFERROR(VLOOKUP(Vaktplan!$A$42,Vaktplan!$U$4:$CL$35,86-AM61,FALSE),0)</f>
        <v>0</v>
      </c>
      <c r="AG8" s="77">
        <f>IFERROR(VLOOKUP(Vaktplan!$A$42,Vaktplan!$U$4:$CL$35,86-AL61,FALSE),0)</f>
        <v>0</v>
      </c>
      <c r="AH8" s="9">
        <f>IFERROR(VLOOKUP(Vaktplan!$A$42,Vaktplan!$U$4:$CL$35,89-$AM61,FALSE),0)</f>
        <v>0</v>
      </c>
      <c r="AI8" s="9">
        <f t="shared" si="12"/>
        <v>0</v>
      </c>
      <c r="AJ8" s="9">
        <f t="shared" si="13"/>
        <v>24</v>
      </c>
      <c r="AK8" s="9">
        <f t="shared" si="1"/>
        <v>0</v>
      </c>
      <c r="AL8" s="10">
        <f t="shared" si="14"/>
        <v>24</v>
      </c>
      <c r="AM8" s="10">
        <f t="shared" si="15"/>
        <v>0</v>
      </c>
    </row>
    <row r="9" spans="1:39" ht="13" x14ac:dyDescent="0.25">
      <c r="A9" s="7">
        <f>IF($M$1&gt;=4,4,0)</f>
        <v>4</v>
      </c>
      <c r="B9" s="77">
        <f>IFERROR(VLOOKUP(Vaktplan!$A$42,Vaktplan!$V$4:$CL$35,87-AH62,FALSE),0)</f>
        <v>0</v>
      </c>
      <c r="C9" s="77">
        <f>IFERROR(VLOOKUP(Vaktplan!$A$42,Vaktplan!$V$4:$CL$35,87-AG62,FALSE),0)</f>
        <v>0</v>
      </c>
      <c r="D9" s="9">
        <f>IFERROR(VLOOKUP(Vaktplan!$A$42,Vaktplan!$V$4:$CL$35,89-AG62,FALSE),0)</f>
        <v>0</v>
      </c>
      <c r="E9" s="9">
        <f t="shared" si="16"/>
        <v>0</v>
      </c>
      <c r="F9" s="9">
        <f t="shared" si="2"/>
        <v>24</v>
      </c>
      <c r="G9" s="77">
        <f>IFERROR(VLOOKUP(Vaktplan!$A$42,Vaktplan!$W$4:$CL$35,86-AH62,FALSE),0)</f>
        <v>0</v>
      </c>
      <c r="H9" s="77">
        <f>IFERROR(VLOOKUP(Vaktplan!$A$42,Vaktplan!$W$4:$CL$35,86-AG62,FALSE),0)</f>
        <v>0</v>
      </c>
      <c r="I9" s="9">
        <f>IFERROR(VLOOKUP(Vaktplan!$A$42,Vaktplan!$W$4:$CL$35,89-$AH62,FALSE),0)</f>
        <v>0</v>
      </c>
      <c r="J9" s="9">
        <f t="shared" si="3"/>
        <v>0</v>
      </c>
      <c r="K9" s="9">
        <f t="shared" si="4"/>
        <v>24</v>
      </c>
      <c r="L9" s="77">
        <f>IFERROR(VLOOKUP(Vaktplan!$A$42,Vaktplan!$X$4:$CL$35,86-AI62,FALSE),0)</f>
        <v>0</v>
      </c>
      <c r="M9" s="77">
        <f>IFERROR(VLOOKUP(Vaktplan!$A$42,Vaktplan!$X$4:$CL$35,86-AH62,FALSE),0)</f>
        <v>0</v>
      </c>
      <c r="N9" s="9">
        <f>IFERROR(VLOOKUP(Vaktplan!$A$42,Vaktplan!$X$4:$CL$35,89-$AI62,FALSE),0)</f>
        <v>0</v>
      </c>
      <c r="O9" s="9">
        <f t="shared" si="5"/>
        <v>0</v>
      </c>
      <c r="P9" s="9">
        <f t="shared" si="6"/>
        <v>24</v>
      </c>
      <c r="Q9" s="77">
        <f>IFERROR(VLOOKUP(Vaktplan!$A$42,Vaktplan!$Y$4:$CL$35,86-AJ62,FALSE),0)</f>
        <v>0</v>
      </c>
      <c r="R9" s="77">
        <f>IFERROR(VLOOKUP(Vaktplan!$A$42,Vaktplan!$Y$4:$CL$35,86-AI62,FALSE),0)</f>
        <v>0</v>
      </c>
      <c r="S9" s="9">
        <f>IFERROR(VLOOKUP(Vaktplan!$A$42,Vaktplan!$Y$4:$CL$35,89-$AJ62,FALSE),0)</f>
        <v>0</v>
      </c>
      <c r="T9" s="9">
        <f t="shared" si="0"/>
        <v>0</v>
      </c>
      <c r="U9" s="9">
        <f t="shared" si="7"/>
        <v>24</v>
      </c>
      <c r="V9" s="77">
        <f>IFERROR(VLOOKUP(Vaktplan!$A$42,Vaktplan!$Z$4:$CL$35,86-AK62,FALSE),0)</f>
        <v>0</v>
      </c>
      <c r="W9" s="77">
        <f>IFERROR(VLOOKUP(Vaktplan!$A$42,Vaktplan!$Z$4:$CL$35,86-AJ62,FALSE),0)</f>
        <v>0</v>
      </c>
      <c r="X9" s="9">
        <f>IFERROR(VLOOKUP(Vaktplan!$A$42,Vaktplan!$Z$4:$CL$35,89-$AK62,FALSE),0)</f>
        <v>0</v>
      </c>
      <c r="Y9" s="9">
        <f t="shared" si="8"/>
        <v>0</v>
      </c>
      <c r="Z9" s="9">
        <f t="shared" si="9"/>
        <v>24</v>
      </c>
      <c r="AA9" s="77">
        <f>IFERROR(VLOOKUP(Vaktplan!$A$42,Vaktplan!$AA$4:$CL$35,86-AL62,FALSE),0)</f>
        <v>0</v>
      </c>
      <c r="AB9" s="77">
        <f>IFERROR(VLOOKUP(Vaktplan!$A$42,Vaktplan!$AA$4:$CL$35,86-AK62,FALSE),0)</f>
        <v>0</v>
      </c>
      <c r="AC9" s="9">
        <f>IFERROR(VLOOKUP(Vaktplan!$A$42,Vaktplan!$AA$4:$CL$35,89-$AL62,FALSE),0)</f>
        <v>0</v>
      </c>
      <c r="AD9" s="9">
        <f t="shared" si="10"/>
        <v>0</v>
      </c>
      <c r="AE9" s="9">
        <f t="shared" si="11"/>
        <v>24</v>
      </c>
      <c r="AF9" s="77">
        <f>IFERROR(VLOOKUP(Vaktplan!$A$42,Vaktplan!$AB$4:$CL$35,86-AM62,FALSE),0)</f>
        <v>0</v>
      </c>
      <c r="AG9" s="77">
        <f>IFERROR(VLOOKUP(Vaktplan!$A$42,Vaktplan!$AB$4:$CL$35,86-AL62,FALSE),0)</f>
        <v>0</v>
      </c>
      <c r="AH9" s="9">
        <f>IFERROR(VLOOKUP(Vaktplan!$A$42,Vaktplan!$AB$4:$CL$35,89-$AM62,FALSE),0)</f>
        <v>0</v>
      </c>
      <c r="AI9" s="9">
        <f t="shared" si="12"/>
        <v>0</v>
      </c>
      <c r="AJ9" s="9">
        <f t="shared" si="13"/>
        <v>24</v>
      </c>
      <c r="AK9" s="9">
        <f t="shared" si="1"/>
        <v>0</v>
      </c>
      <c r="AL9" s="10">
        <f t="shared" si="14"/>
        <v>24</v>
      </c>
      <c r="AM9" s="10">
        <f t="shared" si="15"/>
        <v>0</v>
      </c>
    </row>
    <row r="10" spans="1:39" ht="13" x14ac:dyDescent="0.25">
      <c r="A10" s="7">
        <f>IF($M$1&gt;=5,5,0)</f>
        <v>5</v>
      </c>
      <c r="B10" s="77">
        <f>IFERROR(VLOOKUP(Vaktplan!$A$42,Vaktplan!$AC$4:$CL$35,87-AH63,FALSE),0)</f>
        <v>0</v>
      </c>
      <c r="C10" s="77">
        <f>IFERROR(VLOOKUP(Vaktplan!$A$42,Vaktplan!$AC$4:$CL$35,87-AG63,FALSE),0)</f>
        <v>0</v>
      </c>
      <c r="D10" s="9">
        <f>IFERROR(VLOOKUP(Vaktplan!$A$42,Vaktplan!$AC$4:$CL$35,89-AG63,FALSE),0)</f>
        <v>0</v>
      </c>
      <c r="E10" s="9">
        <f t="shared" si="16"/>
        <v>0</v>
      </c>
      <c r="F10" s="9">
        <f t="shared" si="2"/>
        <v>24</v>
      </c>
      <c r="G10" s="77">
        <f>IFERROR(VLOOKUP(Vaktplan!$A$42,Vaktplan!$AD$4:$CL$35,86-AH63,FALSE),0)</f>
        <v>0</v>
      </c>
      <c r="H10" s="77">
        <f>IFERROR(VLOOKUP(Vaktplan!$A$42,Vaktplan!$AD$4:$CL$35,86-AG63,FALSE),0)</f>
        <v>0</v>
      </c>
      <c r="I10" s="9">
        <f>IFERROR(VLOOKUP(Vaktplan!$A$42,Vaktplan!$AD$4:$CL$35,89-$AH63,FALSE),0)</f>
        <v>0</v>
      </c>
      <c r="J10" s="9">
        <f t="shared" si="3"/>
        <v>0</v>
      </c>
      <c r="K10" s="9">
        <f t="shared" si="4"/>
        <v>24</v>
      </c>
      <c r="L10" s="77">
        <f>IFERROR(VLOOKUP(Vaktplan!$A$42,Vaktplan!$AE$4:$CL$35,86-AI63,FALSE),0)</f>
        <v>0</v>
      </c>
      <c r="M10" s="77">
        <f>IFERROR(VLOOKUP(Vaktplan!$A$42,Vaktplan!$AE$4:$CL$35,86-AH63,FALSE),0)</f>
        <v>0</v>
      </c>
      <c r="N10" s="9">
        <f>IFERROR(VLOOKUP(Vaktplan!$A$42,Vaktplan!$AE$4:$CL$35,89-$AI63,FALSE),0)</f>
        <v>0</v>
      </c>
      <c r="O10" s="9">
        <f t="shared" si="5"/>
        <v>0</v>
      </c>
      <c r="P10" s="9">
        <f t="shared" si="6"/>
        <v>24</v>
      </c>
      <c r="Q10" s="77">
        <f>IFERROR(VLOOKUP(Vaktplan!$A$42,Vaktplan!$AF$4:$CL$35,86-AJ63,FALSE),0)</f>
        <v>0</v>
      </c>
      <c r="R10" s="77">
        <f>IFERROR(VLOOKUP(Vaktplan!$A$42,Vaktplan!$AF$4:$CL$35,86-AI63,FALSE),0)</f>
        <v>0</v>
      </c>
      <c r="S10" s="9">
        <f>IFERROR(VLOOKUP(Vaktplan!$A$42,Vaktplan!$AF$4:$CL$35,89-$AJ63,FALSE),0)</f>
        <v>0</v>
      </c>
      <c r="T10" s="9">
        <f t="shared" si="0"/>
        <v>0</v>
      </c>
      <c r="U10" s="9">
        <f t="shared" si="7"/>
        <v>24</v>
      </c>
      <c r="V10" s="77">
        <f>IFERROR(VLOOKUP(Vaktplan!$A$42,Vaktplan!$AG$4:$CL$35,86-AK63,FALSE),0)</f>
        <v>0</v>
      </c>
      <c r="W10" s="77">
        <f>IFERROR(VLOOKUP(Vaktplan!$A$42,Vaktplan!$AG$4:$CL$35,86-AJ63,FALSE),0)</f>
        <v>0</v>
      </c>
      <c r="X10" s="9">
        <f>IFERROR(VLOOKUP(Vaktplan!$A$42,Vaktplan!$AG$4:$CL$35,89-$AK63,FALSE),0)</f>
        <v>0</v>
      </c>
      <c r="Y10" s="9">
        <f t="shared" si="8"/>
        <v>0</v>
      </c>
      <c r="Z10" s="9">
        <f t="shared" si="9"/>
        <v>24</v>
      </c>
      <c r="AA10" s="77">
        <f>IFERROR(VLOOKUP(Vaktplan!$A$42,Vaktplan!$AH$4:$CL$35,86-AL63,FALSE),0)</f>
        <v>0</v>
      </c>
      <c r="AB10" s="77">
        <f>IFERROR(VLOOKUP(Vaktplan!$A$42,Vaktplan!$AH$4:$CL$35,86-AK63,FALSE),0)</f>
        <v>0</v>
      </c>
      <c r="AC10" s="9">
        <f>IFERROR(VLOOKUP(Vaktplan!$A$42,Vaktplan!$AH$4:$CL$35,89-$AL63,FALSE),0)</f>
        <v>0</v>
      </c>
      <c r="AD10" s="9">
        <f t="shared" si="10"/>
        <v>0</v>
      </c>
      <c r="AE10" s="9">
        <f t="shared" si="11"/>
        <v>24</v>
      </c>
      <c r="AF10" s="77">
        <f>IFERROR(VLOOKUP(Vaktplan!$A$42,Vaktplan!$AI$4:$CL$35,86-AM63,FALSE),0)</f>
        <v>0</v>
      </c>
      <c r="AG10" s="77">
        <f>IFERROR(VLOOKUP(Vaktplan!$A$42,Vaktplan!$AI$4:$CL$35,86-AL63,FALSE),0)</f>
        <v>0</v>
      </c>
      <c r="AH10" s="9">
        <f>IFERROR(VLOOKUP(Vaktplan!$A$42,Vaktplan!$AI$4:$CL$35,89-$AM63,FALSE),0)</f>
        <v>0</v>
      </c>
      <c r="AI10" s="9">
        <f t="shared" si="12"/>
        <v>0</v>
      </c>
      <c r="AJ10" s="9">
        <f t="shared" si="13"/>
        <v>24</v>
      </c>
      <c r="AK10" s="9">
        <f t="shared" si="1"/>
        <v>0</v>
      </c>
      <c r="AL10" s="10">
        <f t="shared" si="14"/>
        <v>24</v>
      </c>
      <c r="AM10" s="10">
        <f t="shared" si="15"/>
        <v>0</v>
      </c>
    </row>
    <row r="11" spans="1:39" ht="13" x14ac:dyDescent="0.25">
      <c r="A11" s="7">
        <f>IF($M$1&gt;=6,6,0)</f>
        <v>6</v>
      </c>
      <c r="B11" s="77">
        <f>IFERROR(VLOOKUP(Vaktplan!$A$42,Vaktplan!$AJ$4:$CL$35,87-AH64,FALSE),0)</f>
        <v>0</v>
      </c>
      <c r="C11" s="77">
        <f>IFERROR(VLOOKUP(Vaktplan!$A$42,Vaktplan!$AJ$4:$CL$35,87-AG64,FALSE),0)</f>
        <v>0</v>
      </c>
      <c r="D11" s="9">
        <f>IFERROR(VLOOKUP(Vaktplan!$A$42,Vaktplan!$AJ$4:$CL$35,89-AG64,FALSE),0)</f>
        <v>0</v>
      </c>
      <c r="E11" s="9">
        <f t="shared" si="16"/>
        <v>0</v>
      </c>
      <c r="F11" s="9">
        <f t="shared" si="2"/>
        <v>24</v>
      </c>
      <c r="G11" s="77">
        <f>IFERROR(VLOOKUP(Vaktplan!$A$42,Vaktplan!$AK$4:$CL$35,86-AH64,FALSE),0)</f>
        <v>0</v>
      </c>
      <c r="H11" s="77">
        <f>IFERROR(VLOOKUP(Vaktplan!$A$42,Vaktplan!$AK$4:$CL$35,86-AG64,FALSE),0)</f>
        <v>0</v>
      </c>
      <c r="I11" s="9">
        <f>IFERROR(VLOOKUP(Vaktplan!$A$42,Vaktplan!$AK$4:$CL$35,89-$AH64,FALSE),0)</f>
        <v>0</v>
      </c>
      <c r="J11" s="9">
        <f t="shared" si="3"/>
        <v>0</v>
      </c>
      <c r="K11" s="9">
        <f t="shared" si="4"/>
        <v>24</v>
      </c>
      <c r="L11" s="77">
        <f>IFERROR(VLOOKUP(Vaktplan!$A$42,Vaktplan!$AL$4:$CL$35,86-AI64,FALSE),0)</f>
        <v>0</v>
      </c>
      <c r="M11" s="77">
        <f>IFERROR(VLOOKUP(Vaktplan!$A$42,Vaktplan!$AL$4:$CL$35,86-AH64,FALSE),0)</f>
        <v>0</v>
      </c>
      <c r="N11" s="9">
        <f>IFERROR(VLOOKUP(Vaktplan!$A$42,Vaktplan!$AL$4:$CL$35,89-$AI64,FALSE),0)</f>
        <v>0</v>
      </c>
      <c r="O11" s="9">
        <f t="shared" si="5"/>
        <v>0</v>
      </c>
      <c r="P11" s="9">
        <f t="shared" si="6"/>
        <v>24</v>
      </c>
      <c r="Q11" s="77">
        <f>IFERROR(VLOOKUP(Vaktplan!$A$42,Vaktplan!$AM$4:$CL$35,86-AJ64,FALSE),0)</f>
        <v>0</v>
      </c>
      <c r="R11" s="77">
        <f>IFERROR(VLOOKUP(Vaktplan!$A$42,Vaktplan!$AM$4:$CL$35,86-AI64,FALSE),0)</f>
        <v>0</v>
      </c>
      <c r="S11" s="9">
        <f>IFERROR(VLOOKUP(Vaktplan!$A$42,Vaktplan!$AM$4:$CL$35,89-$AJ64,FALSE),0)</f>
        <v>0</v>
      </c>
      <c r="T11" s="9">
        <f t="shared" si="0"/>
        <v>0</v>
      </c>
      <c r="U11" s="9">
        <f t="shared" si="7"/>
        <v>24</v>
      </c>
      <c r="V11" s="77">
        <f>IFERROR(VLOOKUP(Vaktplan!$A$42,Vaktplan!$AN$4:$CL$35,86-AK64,FALSE),0)</f>
        <v>0</v>
      </c>
      <c r="W11" s="77">
        <f>IFERROR(VLOOKUP(Vaktplan!$A$42,Vaktplan!$AN$4:$CL$35,86-AJ64,FALSE),0)</f>
        <v>0</v>
      </c>
      <c r="X11" s="9">
        <f>IFERROR(VLOOKUP(Vaktplan!$A$42,Vaktplan!$AN$4:$CL$35,89-$AK64,FALSE),0)</f>
        <v>0</v>
      </c>
      <c r="Y11" s="9">
        <f t="shared" si="8"/>
        <v>0</v>
      </c>
      <c r="Z11" s="9">
        <f t="shared" si="9"/>
        <v>24</v>
      </c>
      <c r="AA11" s="77">
        <f>IFERROR(VLOOKUP(Vaktplan!$A$42,Vaktplan!$AO$4:$CL$35,86-AL64,FALSE),0)</f>
        <v>0</v>
      </c>
      <c r="AB11" s="77">
        <f>IFERROR(VLOOKUP(Vaktplan!$A$42,Vaktplan!$AO$4:$CL$35,86-AK64,FALSE),0)</f>
        <v>0</v>
      </c>
      <c r="AC11" s="9">
        <f>IFERROR(VLOOKUP(Vaktplan!$A$42,Vaktplan!$AO$4:$CL$35,89-$AL64,FALSE),0)</f>
        <v>0</v>
      </c>
      <c r="AD11" s="9">
        <f t="shared" si="10"/>
        <v>0</v>
      </c>
      <c r="AE11" s="9">
        <f t="shared" si="11"/>
        <v>24</v>
      </c>
      <c r="AF11" s="77">
        <f>IFERROR(VLOOKUP(Vaktplan!$A$42,Vaktplan!$AP$4:$CL$35,86-AM64,FALSE),0)</f>
        <v>0</v>
      </c>
      <c r="AG11" s="77">
        <f>IFERROR(VLOOKUP(Vaktplan!$A$42,Vaktplan!$AP$4:$CL$35,86-AL64,FALSE),0)</f>
        <v>0</v>
      </c>
      <c r="AH11" s="9">
        <f>IFERROR(VLOOKUP(Vaktplan!$A$42,Vaktplan!$AP$4:$CL$35,89-$AM64,FALSE),0)</f>
        <v>0</v>
      </c>
      <c r="AI11" s="9">
        <f t="shared" si="12"/>
        <v>0</v>
      </c>
      <c r="AJ11" s="9">
        <f t="shared" si="13"/>
        <v>24</v>
      </c>
      <c r="AK11" s="9">
        <f t="shared" si="1"/>
        <v>0</v>
      </c>
      <c r="AL11" s="10">
        <f t="shared" si="14"/>
        <v>24</v>
      </c>
      <c r="AM11" s="10">
        <f t="shared" si="15"/>
        <v>0</v>
      </c>
    </row>
    <row r="12" spans="1:39" ht="13" x14ac:dyDescent="0.25">
      <c r="A12" s="7">
        <f>IF($M$1&gt;=7,7,0)</f>
        <v>7</v>
      </c>
      <c r="B12" s="77">
        <f>IFERROR(VLOOKUP(Vaktplan!$A$42,Vaktplan!$AQ$4:$CL$35,87-AH65,FALSE),0)</f>
        <v>0</v>
      </c>
      <c r="C12" s="77">
        <f>IFERROR(VLOOKUP(Vaktplan!$A$42,Vaktplan!$AQ$4:$CL$35,87-AG65,FALSE),0)</f>
        <v>0</v>
      </c>
      <c r="D12" s="9">
        <f>IFERROR(VLOOKUP(Vaktplan!$A$42,Vaktplan!$AQ$4:$CL$35,89-AG65,FALSE),0)</f>
        <v>0</v>
      </c>
      <c r="E12" s="9">
        <f t="shared" si="16"/>
        <v>0</v>
      </c>
      <c r="F12" s="9">
        <f t="shared" si="2"/>
        <v>24</v>
      </c>
      <c r="G12" s="77">
        <f>IFERROR(VLOOKUP(Vaktplan!$A$42,Vaktplan!$AR$4:$CL$35,86-AH65,FALSE),0)</f>
        <v>0</v>
      </c>
      <c r="H12" s="77">
        <f>IFERROR(VLOOKUP(Vaktplan!$A$42,Vaktplan!$AR$4:$CL$35,86-AG65,FALSE),0)</f>
        <v>0</v>
      </c>
      <c r="I12" s="9">
        <f>IFERROR(VLOOKUP(Vaktplan!$A$42,Vaktplan!$AR$4:$CL$35,89-$AH65,FALSE),0)</f>
        <v>0</v>
      </c>
      <c r="J12" s="9">
        <f t="shared" si="3"/>
        <v>0</v>
      </c>
      <c r="K12" s="9">
        <f t="shared" si="4"/>
        <v>24</v>
      </c>
      <c r="L12" s="77">
        <f>IFERROR(VLOOKUP(Vaktplan!$A$42,Vaktplan!$AS$4:$CL$35,86-AI65,FALSE),0)</f>
        <v>0</v>
      </c>
      <c r="M12" s="77">
        <f>IFERROR(VLOOKUP(Vaktplan!$A$42,Vaktplan!$AS$4:$CL$35,86-AH65,FALSE),0)</f>
        <v>0</v>
      </c>
      <c r="N12" s="9">
        <f>IFERROR(VLOOKUP(Vaktplan!$A$42,Vaktplan!$AS$4:$CL$35,89-$AI65,FALSE),0)</f>
        <v>0</v>
      </c>
      <c r="O12" s="9">
        <f t="shared" si="5"/>
        <v>0</v>
      </c>
      <c r="P12" s="9">
        <f t="shared" si="6"/>
        <v>24</v>
      </c>
      <c r="Q12" s="77">
        <f>IFERROR(VLOOKUP(Vaktplan!$A$42,Vaktplan!$AT$4:$CL$35,86-AJ65,FALSE),0)</f>
        <v>0</v>
      </c>
      <c r="R12" s="77">
        <f>IFERROR(VLOOKUP(Vaktplan!$A$42,Vaktplan!$AT$4:$CL$35,86-AI65,FALSE),0)</f>
        <v>0</v>
      </c>
      <c r="S12" s="9">
        <f>IFERROR(VLOOKUP(Vaktplan!$A$42,Vaktplan!$AT$4:$CL$35,89-$AJ65,FALSE),0)</f>
        <v>0</v>
      </c>
      <c r="T12" s="9">
        <f t="shared" si="0"/>
        <v>0</v>
      </c>
      <c r="U12" s="9">
        <f t="shared" si="7"/>
        <v>24</v>
      </c>
      <c r="V12" s="77">
        <f>IFERROR(VLOOKUP(Vaktplan!$A$42,Vaktplan!$AU$4:$CL$35,86-AK65,FALSE),0)</f>
        <v>0</v>
      </c>
      <c r="W12" s="77">
        <f>IFERROR(VLOOKUP(Vaktplan!$A$42,Vaktplan!$AU$4:$CL$35,86-AJ65,FALSE),0)</f>
        <v>0</v>
      </c>
      <c r="X12" s="9">
        <f>IFERROR(VLOOKUP(Vaktplan!$A$42,Vaktplan!$AU$4:$CL$35,89-$AK65,FALSE),0)</f>
        <v>0</v>
      </c>
      <c r="Y12" s="9">
        <f t="shared" si="8"/>
        <v>0</v>
      </c>
      <c r="Z12" s="9">
        <f t="shared" si="9"/>
        <v>24</v>
      </c>
      <c r="AA12" s="77">
        <f>IFERROR(VLOOKUP(Vaktplan!$A$42,Vaktplan!$AV$4:$CL$35,86-AL65,FALSE),0)</f>
        <v>0</v>
      </c>
      <c r="AB12" s="77">
        <f>IFERROR(VLOOKUP(Vaktplan!$A$42,Vaktplan!$AV$4:$CL$35,86-AK65,FALSE),0)</f>
        <v>0</v>
      </c>
      <c r="AC12" s="9">
        <f>IFERROR(VLOOKUP(Vaktplan!$A$42,Vaktplan!$AV$4:$CL$35,89-$AL65,FALSE),0)</f>
        <v>0</v>
      </c>
      <c r="AD12" s="9">
        <f t="shared" si="10"/>
        <v>0</v>
      </c>
      <c r="AE12" s="9">
        <f t="shared" si="11"/>
        <v>24</v>
      </c>
      <c r="AF12" s="77">
        <f>IFERROR(VLOOKUP(Vaktplan!$A$42,Vaktplan!$AW$4:$CL$35,86-AM65,FALSE),0)</f>
        <v>0</v>
      </c>
      <c r="AG12" s="77">
        <f>IFERROR(VLOOKUP(Vaktplan!$A$42,Vaktplan!$AW$4:$CL$35,86-AL65,FALSE),0)</f>
        <v>0</v>
      </c>
      <c r="AH12" s="9">
        <f>IFERROR(VLOOKUP(Vaktplan!$A$42,Vaktplan!$AW$4:$CL$35,89-$AM65,FALSE),0)</f>
        <v>0</v>
      </c>
      <c r="AI12" s="9">
        <f t="shared" si="12"/>
        <v>0</v>
      </c>
      <c r="AJ12" s="9">
        <f t="shared" si="13"/>
        <v>24</v>
      </c>
      <c r="AK12" s="9">
        <f t="shared" si="1"/>
        <v>0</v>
      </c>
      <c r="AL12" s="10">
        <f t="shared" si="14"/>
        <v>24</v>
      </c>
      <c r="AM12" s="10">
        <f t="shared" si="15"/>
        <v>0</v>
      </c>
    </row>
    <row r="13" spans="1:39" ht="13" x14ac:dyDescent="0.25">
      <c r="A13" s="7">
        <f>IF($M$1&gt;=8,8,0)</f>
        <v>8</v>
      </c>
      <c r="B13" s="77">
        <f>IFERROR(VLOOKUP(Vaktplan!$A$42,Vaktplan!$AX$4:$CL$35,87-AH66,FALSE),0)</f>
        <v>0</v>
      </c>
      <c r="C13" s="77">
        <f>IFERROR(VLOOKUP(Vaktplan!$A$42,Vaktplan!$AX$4:$CL$35,87-AG66,FALSE),0)</f>
        <v>0</v>
      </c>
      <c r="D13" s="9">
        <f>IFERROR(VLOOKUP(Vaktplan!$A$42,Vaktplan!$AX$4:$CL$35,89-AG66,FALSE),0)</f>
        <v>0</v>
      </c>
      <c r="E13" s="9">
        <f t="shared" si="16"/>
        <v>0</v>
      </c>
      <c r="F13" s="9">
        <f t="shared" si="2"/>
        <v>24</v>
      </c>
      <c r="G13" s="77">
        <f>IFERROR(VLOOKUP(Vaktplan!$A$42,Vaktplan!$AY$4:$CL$35,86-AH66,FALSE),0)</f>
        <v>0</v>
      </c>
      <c r="H13" s="77">
        <f>IFERROR(VLOOKUP(Vaktplan!$A$42,Vaktplan!$AY$4:$CL$35,86-AG66,FALSE),0)</f>
        <v>0</v>
      </c>
      <c r="I13" s="9">
        <f>IFERROR(VLOOKUP(Vaktplan!$A$42,Vaktplan!$AY$4:$CL$35,89-$AH66,FALSE),0)</f>
        <v>0</v>
      </c>
      <c r="J13" s="9">
        <f t="shared" si="3"/>
        <v>0</v>
      </c>
      <c r="K13" s="9">
        <f t="shared" si="4"/>
        <v>24</v>
      </c>
      <c r="L13" s="77">
        <f>IFERROR(VLOOKUP(Vaktplan!$A$42,Vaktplan!$AZ$4:$CL$35,86-AI66,FALSE),0)</f>
        <v>0</v>
      </c>
      <c r="M13" s="77">
        <f>IFERROR(VLOOKUP(Vaktplan!$A$42,Vaktplan!$AZ$4:$CL$35,86-AH66,FALSE),0)</f>
        <v>0</v>
      </c>
      <c r="N13" s="9">
        <f>IFERROR(VLOOKUP(Vaktplan!$A$42,Vaktplan!$AZ$4:$CL$35,89-$AI66,FALSE),0)</f>
        <v>0</v>
      </c>
      <c r="O13" s="9">
        <f t="shared" si="5"/>
        <v>0</v>
      </c>
      <c r="P13" s="9">
        <f t="shared" si="6"/>
        <v>24</v>
      </c>
      <c r="Q13" s="77">
        <f>IFERROR(VLOOKUP(Vaktplan!$A$42,Vaktplan!$BA$4:$CL$35,86-AJ66,FALSE),0)</f>
        <v>0</v>
      </c>
      <c r="R13" s="77">
        <f>IFERROR(VLOOKUP(Vaktplan!$A$42,Vaktplan!$BA$4:$CL$35,86-AI66,FALSE),0)</f>
        <v>0</v>
      </c>
      <c r="S13" s="9">
        <f>IFERROR(VLOOKUP(Vaktplan!$A$42,Vaktplan!$BA$4:$CL$35,89-$AJ66,FALSE),0)</f>
        <v>0</v>
      </c>
      <c r="T13" s="9">
        <f t="shared" si="0"/>
        <v>0</v>
      </c>
      <c r="U13" s="9">
        <f t="shared" si="7"/>
        <v>24</v>
      </c>
      <c r="V13" s="77">
        <f>IFERROR(VLOOKUP(Vaktplan!$A$42,Vaktplan!$BB$4:$CL$35,86-AK66,FALSE),0)</f>
        <v>0</v>
      </c>
      <c r="W13" s="77">
        <f>IFERROR(VLOOKUP(Vaktplan!$A$42,Vaktplan!$BB$4:$CL$35,86-AJ66,FALSE),0)</f>
        <v>0</v>
      </c>
      <c r="X13" s="9">
        <f>IFERROR(VLOOKUP(Vaktplan!$A$42,Vaktplan!$BB$4:$CL$35,89-$AK66,FALSE),0)</f>
        <v>0</v>
      </c>
      <c r="Y13" s="9">
        <f t="shared" si="8"/>
        <v>0</v>
      </c>
      <c r="Z13" s="9">
        <f t="shared" si="9"/>
        <v>24</v>
      </c>
      <c r="AA13" s="77">
        <f>IFERROR(VLOOKUP(Vaktplan!$A$42,Vaktplan!$BC$4:$CL$35,86-AL66,FALSE),0)</f>
        <v>0</v>
      </c>
      <c r="AB13" s="77">
        <f>IFERROR(VLOOKUP(Vaktplan!$A$42,Vaktplan!$BC$4:$CL$35,86-AK66,FALSE),0)</f>
        <v>0</v>
      </c>
      <c r="AC13" s="9">
        <f>IFERROR(VLOOKUP(Vaktplan!$A$42,Vaktplan!$BC$4:$CL$35,89-$AL66,FALSE),0)</f>
        <v>0</v>
      </c>
      <c r="AD13" s="9">
        <f t="shared" si="10"/>
        <v>0</v>
      </c>
      <c r="AE13" s="9">
        <f t="shared" si="11"/>
        <v>24</v>
      </c>
      <c r="AF13" s="77">
        <f>IFERROR(VLOOKUP(Vaktplan!$A$42,Vaktplan!$BD$4:$CL$35,86-AM66,FALSE),0)</f>
        <v>0</v>
      </c>
      <c r="AG13" s="77">
        <f>IFERROR(VLOOKUP(Vaktplan!$A$42,Vaktplan!$BD$4:$CL$35,86-AL66,FALSE),0)</f>
        <v>0</v>
      </c>
      <c r="AH13" s="9">
        <f>IFERROR(VLOOKUP(Vaktplan!$A$42,Vaktplan!$BD$4:$CL$35,89-$AM66,FALSE),0)</f>
        <v>0</v>
      </c>
      <c r="AI13" s="9">
        <f t="shared" si="12"/>
        <v>0</v>
      </c>
      <c r="AJ13" s="9">
        <f t="shared" si="13"/>
        <v>24</v>
      </c>
      <c r="AK13" s="9">
        <f t="shared" si="1"/>
        <v>0</v>
      </c>
      <c r="AL13" s="10">
        <f t="shared" si="14"/>
        <v>24</v>
      </c>
      <c r="AM13" s="10">
        <f t="shared" si="15"/>
        <v>0</v>
      </c>
    </row>
    <row r="14" spans="1:39" ht="13" x14ac:dyDescent="0.25">
      <c r="A14" s="7">
        <v>9</v>
      </c>
      <c r="B14" s="77">
        <f>IFERROR(VLOOKUP(Vaktplan!$A$42,Vaktplan!$BE$4:$CL$35,87-AH67,FALSE),0)</f>
        <v>0</v>
      </c>
      <c r="C14" s="77">
        <f>IFERROR(VLOOKUP(Vaktplan!$A$42,Vaktplan!$BE$4:$CL$35,87-AG67,FALSE),0)</f>
        <v>0</v>
      </c>
      <c r="D14" s="9">
        <f>IFERROR(VLOOKUP(Vaktplan!$A$42,Vaktplan!$BE$4:$CL$35,89-AG67,FALSE),0)</f>
        <v>0</v>
      </c>
      <c r="E14" s="9">
        <f t="shared" si="16"/>
        <v>0</v>
      </c>
      <c r="F14" s="9">
        <f t="shared" si="2"/>
        <v>24</v>
      </c>
      <c r="G14" s="77">
        <f>IFERROR(VLOOKUP(Vaktplan!$A$42,Vaktplan!$BF$4:$CL$35,86-AH67,FALSE),0)</f>
        <v>0</v>
      </c>
      <c r="H14" s="77">
        <f>IFERROR(VLOOKUP(Vaktplan!$A$42,Vaktplan!$BF$4:$CL$35,86-AG67,FALSE),0)</f>
        <v>0</v>
      </c>
      <c r="I14" s="9">
        <f>IFERROR(VLOOKUP(Vaktplan!$A$42,Vaktplan!$BF$4:$CL$35,89-$AH67,FALSE),0)</f>
        <v>0</v>
      </c>
      <c r="J14" s="9">
        <f t="shared" si="3"/>
        <v>0</v>
      </c>
      <c r="K14" s="9">
        <f t="shared" si="4"/>
        <v>24</v>
      </c>
      <c r="L14" s="77">
        <f>IFERROR(VLOOKUP(Vaktplan!$A$42,Vaktplan!$BG$4:$CL$35,86-AI67,FALSE),0)</f>
        <v>0</v>
      </c>
      <c r="M14" s="77">
        <f>IFERROR(VLOOKUP(Vaktplan!$A$42,Vaktplan!$BG$4:$CL$35,86-AH67,FALSE),0)</f>
        <v>0</v>
      </c>
      <c r="N14" s="9">
        <f>IFERROR(VLOOKUP(Vaktplan!$A$42,Vaktplan!$BG$4:$CL$35,89-$AI67,FALSE),0)</f>
        <v>0</v>
      </c>
      <c r="O14" s="9">
        <f t="shared" si="5"/>
        <v>0</v>
      </c>
      <c r="P14" s="9">
        <f t="shared" si="6"/>
        <v>24</v>
      </c>
      <c r="Q14" s="77">
        <f>IFERROR(VLOOKUP(Vaktplan!$A$42,Vaktplan!$BH$4:$CL$35,86-AJ67,FALSE),0)</f>
        <v>0</v>
      </c>
      <c r="R14" s="77">
        <f>IFERROR(VLOOKUP(Vaktplan!$A$42,Vaktplan!$BH$4:$CL$35,86-AI67,FALSE),0)</f>
        <v>0</v>
      </c>
      <c r="S14" s="9">
        <f>IFERROR(VLOOKUP(Vaktplan!$A$42,Vaktplan!$BH$4:$CL$35,89-$AJ67,FALSE),0)</f>
        <v>0</v>
      </c>
      <c r="T14" s="9">
        <f t="shared" si="0"/>
        <v>0</v>
      </c>
      <c r="U14" s="9">
        <f t="shared" si="7"/>
        <v>24</v>
      </c>
      <c r="V14" s="77">
        <f>IFERROR(VLOOKUP(Vaktplan!$A$42,Vaktplan!$BI$4:$CL$35,86-AK67,FALSE),0)</f>
        <v>0</v>
      </c>
      <c r="W14" s="77">
        <f>IFERROR(VLOOKUP(Vaktplan!$A$42,Vaktplan!$BI$4:$CL$35,86-AJ67,FALSE),0)</f>
        <v>0</v>
      </c>
      <c r="X14" s="9">
        <f>IFERROR(VLOOKUP(Vaktplan!$A$42,Vaktplan!$BI$4:$CL$35,89-$AK67,FALSE),0)</f>
        <v>0</v>
      </c>
      <c r="Y14" s="9">
        <f>IF(AND(V14=0,W14=0),0,IF(V14&lt;W14,((W14-V14)*24)-X14,(((1-V14)+W14)*24)-X14))</f>
        <v>0</v>
      </c>
      <c r="Z14" s="9">
        <f t="shared" si="9"/>
        <v>24</v>
      </c>
      <c r="AA14" s="77">
        <f>IFERROR(VLOOKUP(Vaktplan!$A$42,Vaktplan!$BJ$4:$CL$35,86-AL67,FALSE),0)</f>
        <v>0</v>
      </c>
      <c r="AB14" s="77">
        <f>IFERROR(VLOOKUP(Vaktplan!$A$42,Vaktplan!$BJ$4:$CL$35,86-AK67,FALSE),0)</f>
        <v>0</v>
      </c>
      <c r="AC14" s="9">
        <f>IFERROR(VLOOKUP(Vaktplan!$A$42,Vaktplan!$BJ$4:$CL$35,89-$AL67,FALSE),0)</f>
        <v>0</v>
      </c>
      <c r="AD14" s="9">
        <f>IF(AND(AA14=0,AB14=0),0,IF(AA14&lt;AB14,((AB14-AA14)*24)-AC14,(((1-AA14)+AB14)*24)-AC14))</f>
        <v>0</v>
      </c>
      <c r="AE14" s="9">
        <f t="shared" si="11"/>
        <v>24</v>
      </c>
      <c r="AF14" s="77">
        <f>IFERROR(VLOOKUP(Vaktplan!$A$42,Vaktplan!$BK$4:$CL$35,86-AM67,FALSE),0)</f>
        <v>0</v>
      </c>
      <c r="AG14" s="77">
        <f>IFERROR(VLOOKUP(Vaktplan!$A$42,Vaktplan!$BK$4:$CL$35,86-AL67,FALSE),0)</f>
        <v>0</v>
      </c>
      <c r="AH14" s="9">
        <f>IFERROR(VLOOKUP(Vaktplan!$A$42,Vaktplan!$BK$4:$CL$35,89-$AM67,FALSE),0)</f>
        <v>0</v>
      </c>
      <c r="AI14" s="9">
        <f>IF(AND(AF14=0,AG14=0),0,IF(AF14&lt;AG14,((AG14-AF14)*24)-AH14,(((1-AF14)+AG14)*24)-AH14))</f>
        <v>0</v>
      </c>
      <c r="AJ14" s="9">
        <f t="shared" si="13"/>
        <v>24</v>
      </c>
      <c r="AK14" s="9">
        <f t="shared" si="1"/>
        <v>0</v>
      </c>
      <c r="AL14" s="10"/>
      <c r="AM14" s="10"/>
    </row>
    <row r="15" spans="1:39" ht="13" x14ac:dyDescent="0.25">
      <c r="A15" s="7">
        <v>10</v>
      </c>
      <c r="B15" s="77">
        <f>IFERROR(VLOOKUP(Vaktplan!$A$42,Vaktplan!$BL$4:$CL$35,87-AH68,FALSE),0)</f>
        <v>0</v>
      </c>
      <c r="C15" s="77">
        <f>IFERROR(VLOOKUP(Vaktplan!$A$42,Vaktplan!$BL$4:$CL$35,87-AG68,FALSE),0)</f>
        <v>0</v>
      </c>
      <c r="D15" s="9">
        <f>IFERROR(VLOOKUP(Vaktplan!$A$42,Vaktplan!$BL$4:$CL$35,89-AG68,FALSE),0)</f>
        <v>0</v>
      </c>
      <c r="E15" s="9">
        <f t="shared" si="16"/>
        <v>0</v>
      </c>
      <c r="F15" s="9">
        <f t="shared" si="2"/>
        <v>24</v>
      </c>
      <c r="G15" s="77">
        <f>IFERROR(VLOOKUP(Vaktplan!$A$42,Vaktplan!$BM$4:$CL$35,86-AH68,FALSE),0)</f>
        <v>0</v>
      </c>
      <c r="H15" s="77">
        <f>IFERROR(VLOOKUP(Vaktplan!$A$42,Vaktplan!$BM$4:$CL$35,86-AG68,FALSE),0)</f>
        <v>0</v>
      </c>
      <c r="I15" s="9">
        <f>IFERROR(VLOOKUP(Vaktplan!$A$42,Vaktplan!$BM$4:$CL$35,89-$AH68,FALSE),0)</f>
        <v>0</v>
      </c>
      <c r="J15" s="9">
        <f t="shared" si="3"/>
        <v>0</v>
      </c>
      <c r="K15" s="9">
        <f t="shared" si="4"/>
        <v>24</v>
      </c>
      <c r="L15" s="77">
        <f>IFERROR(VLOOKUP(Vaktplan!$A$42,Vaktplan!$BN$4:$CL$35,86-AI68,FALSE),0)</f>
        <v>0</v>
      </c>
      <c r="M15" s="77">
        <f>IFERROR(VLOOKUP(Vaktplan!$A$42,Vaktplan!$BN$4:$CL$35,86-AH68,FALSE),0)</f>
        <v>0</v>
      </c>
      <c r="N15" s="9">
        <f>IFERROR(VLOOKUP(Vaktplan!$A$42,Vaktplan!$BN$4:$CL$35,89-$AI68,FALSE),0)</f>
        <v>0</v>
      </c>
      <c r="O15" s="9">
        <f t="shared" si="5"/>
        <v>0</v>
      </c>
      <c r="P15" s="9">
        <f t="shared" si="6"/>
        <v>24</v>
      </c>
      <c r="Q15" s="77">
        <f>IFERROR(VLOOKUP(Vaktplan!$A$42,Vaktplan!$BO$4:$CL$35,86-AJ68,FALSE),0)</f>
        <v>0</v>
      </c>
      <c r="R15" s="77">
        <f>IFERROR(VLOOKUP(Vaktplan!$A$42,Vaktplan!$BO$4:$CL$35,86-AI68,FALSE),0)</f>
        <v>0</v>
      </c>
      <c r="S15" s="9">
        <f>IFERROR(VLOOKUP(Vaktplan!$A$42,Vaktplan!$BO$4:$CL$35,89-$AJ68,FALSE),0)</f>
        <v>0</v>
      </c>
      <c r="T15" s="9">
        <f t="shared" si="0"/>
        <v>0</v>
      </c>
      <c r="U15" s="9">
        <f t="shared" si="7"/>
        <v>24</v>
      </c>
      <c r="V15" s="77">
        <f>IFERROR(VLOOKUP(Vaktplan!$A$42,Vaktplan!$BP$4:$CL$35,86-AK68,FALSE),0)</f>
        <v>0</v>
      </c>
      <c r="W15" s="77">
        <f>IFERROR(VLOOKUP(Vaktplan!$A$42,Vaktplan!$BP$4:$CL$35,86-AJ68,FALSE),0)</f>
        <v>0</v>
      </c>
      <c r="X15" s="9">
        <f>IFERROR(VLOOKUP(Vaktplan!$A$42,Vaktplan!$BP$4:$CL$35,89-$AK68,FALSE),0)</f>
        <v>0</v>
      </c>
      <c r="Y15" s="9">
        <f>IF(AND(V15=0,W15=0),0,IF(V15&lt;W15,((W15-V15)*24)-X15,(((1-V15)+W15)*24)-X15))</f>
        <v>0</v>
      </c>
      <c r="Z15" s="9">
        <f t="shared" si="9"/>
        <v>24</v>
      </c>
      <c r="AA15" s="77">
        <f>IFERROR(VLOOKUP(Vaktplan!$A$42,Vaktplan!$BQ$4:$CL$35,86-AL68,FALSE),0)</f>
        <v>0</v>
      </c>
      <c r="AB15" s="77">
        <f>IFERROR(VLOOKUP(Vaktplan!$A$42,Vaktplan!$BQ$4:$CL$35,86-AK68,FALSE),0)</f>
        <v>0</v>
      </c>
      <c r="AC15" s="9">
        <f>IFERROR(VLOOKUP(Vaktplan!$A$42,Vaktplan!$BQ$4:$CL$35,89-$AL68,FALSE),0)</f>
        <v>0</v>
      </c>
      <c r="AD15" s="9">
        <f>IF(AND(AA15=0,AB15=0),0,IF(AA15&lt;AB15,((AB15-AA15)*24)-AC15,(((1-AA15)+AB15)*24)-AC15))</f>
        <v>0</v>
      </c>
      <c r="AE15" s="9">
        <f t="shared" si="11"/>
        <v>24</v>
      </c>
      <c r="AF15" s="77">
        <f>IFERROR(VLOOKUP(Vaktplan!$A$42,Vaktplan!$BR$4:$CL$35,86-AM68,FALSE),0)</f>
        <v>0</v>
      </c>
      <c r="AG15" s="77">
        <f>IFERROR(VLOOKUP(Vaktplan!$A$42,Vaktplan!$BR$4:$CL$35,86-AL68,FALSE),0)</f>
        <v>0</v>
      </c>
      <c r="AH15" s="9">
        <f>IFERROR(VLOOKUP(Vaktplan!$A$42,Vaktplan!$BR$4:$CL$35,89-$AM68,FALSE),0)</f>
        <v>0</v>
      </c>
      <c r="AI15" s="9">
        <f>IF(AND(AF15=0,AG15=0),0,IF(AF15&lt;AG15,((AG15-AF15)*24)-AH15,(((1-AF15)+AG15)*24)-AH15))</f>
        <v>0</v>
      </c>
      <c r="AJ15" s="9">
        <f t="shared" si="13"/>
        <v>24</v>
      </c>
      <c r="AK15" s="9">
        <f t="shared" si="1"/>
        <v>0</v>
      </c>
      <c r="AL15" s="10"/>
      <c r="AM15" s="10"/>
    </row>
    <row r="16" spans="1:39" ht="13" x14ac:dyDescent="0.25">
      <c r="A16" s="7">
        <v>11</v>
      </c>
      <c r="B16" s="77">
        <f>IFERROR(VLOOKUP(Vaktplan!$A$42,Vaktplan!$BS$4:$CL$35,87-AH69,FALSE),0)</f>
        <v>0</v>
      </c>
      <c r="C16" s="77">
        <f>IFERROR(VLOOKUP(Vaktplan!$A$42,Vaktplan!$BS$4:$CL$35,87-AG69,FALSE),0)</f>
        <v>0</v>
      </c>
      <c r="D16" s="9">
        <f>IFERROR(VLOOKUP(Vaktplan!$A$42,Vaktplan!$BS$4:$CL$35,89-AG69,FALSE),0)</f>
        <v>0</v>
      </c>
      <c r="E16" s="9">
        <f t="shared" si="16"/>
        <v>0</v>
      </c>
      <c r="F16" s="9">
        <f t="shared" si="2"/>
        <v>24</v>
      </c>
      <c r="G16" s="77">
        <f>IFERROR(VLOOKUP(Vaktplan!$A$42,Vaktplan!$BT$4:$CL$35,86-AH69,FALSE),0)</f>
        <v>0</v>
      </c>
      <c r="H16" s="77">
        <f>IFERROR(VLOOKUP(Vaktplan!$A$42,Vaktplan!$BT$4:$CL$35,86-AG69,FALSE),0)</f>
        <v>0</v>
      </c>
      <c r="I16" s="9">
        <f>IFERROR(VLOOKUP(Vaktplan!$A$42,Vaktplan!$BT$4:$CL$35,89-$AH69,FALSE),0)</f>
        <v>0</v>
      </c>
      <c r="J16" s="9">
        <f t="shared" si="3"/>
        <v>0</v>
      </c>
      <c r="K16" s="9">
        <f t="shared" si="4"/>
        <v>24</v>
      </c>
      <c r="L16" s="77">
        <f>IFERROR(VLOOKUP(Vaktplan!$A$42,Vaktplan!$BU$4:$CL$35,86-AI69,FALSE),0)</f>
        <v>0</v>
      </c>
      <c r="M16" s="77">
        <f>IFERROR(VLOOKUP(Vaktplan!$A$42,Vaktplan!$BU$4:$CL$35,86-AH69,FALSE),0)</f>
        <v>0</v>
      </c>
      <c r="N16" s="9">
        <f>IFERROR(VLOOKUP(Vaktplan!$A$42,Vaktplan!$BU$4:$CL$35,89-$AI69,FALSE),0)</f>
        <v>0</v>
      </c>
      <c r="O16" s="9">
        <f t="shared" si="5"/>
        <v>0</v>
      </c>
      <c r="P16" s="9">
        <f t="shared" si="6"/>
        <v>24</v>
      </c>
      <c r="Q16" s="77">
        <f>IFERROR(VLOOKUP(Vaktplan!$A$42,Vaktplan!$BV$4:$CL$35,86-AJ69,FALSE),0)</f>
        <v>0</v>
      </c>
      <c r="R16" s="77">
        <f>IFERROR(VLOOKUP(Vaktplan!$A$42,Vaktplan!$BV$4:$CL$35,86-AI69,FALSE),0)</f>
        <v>0</v>
      </c>
      <c r="S16" s="9">
        <f>IFERROR(VLOOKUP(Vaktplan!$A$42,Vaktplan!$BV$4:$CL$35,89-$AJ69,FALSE),0)</f>
        <v>0</v>
      </c>
      <c r="T16" s="9">
        <f t="shared" si="0"/>
        <v>0</v>
      </c>
      <c r="U16" s="9">
        <f t="shared" si="7"/>
        <v>24</v>
      </c>
      <c r="V16" s="77">
        <f>IFERROR(VLOOKUP(Vaktplan!$A$42,Vaktplan!$BW$4:$CL$35,86-AK69,FALSE),0)</f>
        <v>0</v>
      </c>
      <c r="W16" s="77">
        <f>IFERROR(VLOOKUP(Vaktplan!$A$42,Vaktplan!$BW$4:$CL$35,86-AJ69,FALSE),0)</f>
        <v>0</v>
      </c>
      <c r="X16" s="9">
        <f>IFERROR(VLOOKUP(Vaktplan!$A$42,Vaktplan!$BW$4:$CL$35,89-$AK69,FALSE),0)</f>
        <v>0</v>
      </c>
      <c r="Y16" s="9">
        <f>IF(AND(V16=0,W16=0),0,IF(V16&lt;W16,((W16-V16)*24)-X16,(((1-V16)+W16)*24)-X16))</f>
        <v>0</v>
      </c>
      <c r="Z16" s="9">
        <f t="shared" si="9"/>
        <v>24</v>
      </c>
      <c r="AA16" s="77">
        <f>IFERROR(VLOOKUP(Vaktplan!$A$42,Vaktplan!$BX$4:$CL$35,86-AL69,FALSE),0)</f>
        <v>0</v>
      </c>
      <c r="AB16" s="77">
        <f>IFERROR(VLOOKUP(Vaktplan!$A$42,Vaktplan!$BX$4:$CL$35,86-AK69,FALSE),0)</f>
        <v>0</v>
      </c>
      <c r="AC16" s="9">
        <f>IFERROR(VLOOKUP(Vaktplan!$A$42,Vaktplan!$BX$4:$CL$35,89-$AL69,FALSE),0)</f>
        <v>0</v>
      </c>
      <c r="AD16" s="9">
        <f>IF(AND(AA16=0,AB16=0),0,IF(AA16&lt;AB16,((AB16-AA16)*24)-AC16,(((1-AA16)+AB16)*24)-AC16))</f>
        <v>0</v>
      </c>
      <c r="AE16" s="9">
        <f t="shared" si="11"/>
        <v>24</v>
      </c>
      <c r="AF16" s="77">
        <f>IFERROR(VLOOKUP(Vaktplan!$A$42,Vaktplan!$BY$4:$CL$35,86-AM69,FALSE),0)</f>
        <v>0</v>
      </c>
      <c r="AG16" s="77">
        <f>IFERROR(VLOOKUP(Vaktplan!$A$42,Vaktplan!$BY$4:$CL$35,86-AL69,FALSE),0)</f>
        <v>0</v>
      </c>
      <c r="AH16" s="9">
        <f>IFERROR(VLOOKUP(Vaktplan!$A$42,Vaktplan!$BY$4:$CL$35,89-$AM69,FALSE),0)</f>
        <v>0</v>
      </c>
      <c r="AI16" s="9">
        <f>IF(AND(AF16=0,AG16=0),0,IF(AF16&lt;AG16,((AG16-AF16)*24)-AH16,(((1-AF16)+AG16)*24)-AH16))</f>
        <v>0</v>
      </c>
      <c r="AJ16" s="9">
        <f t="shared" si="13"/>
        <v>24</v>
      </c>
      <c r="AK16" s="9">
        <f t="shared" si="1"/>
        <v>0</v>
      </c>
      <c r="AL16" s="10"/>
      <c r="AM16" s="10"/>
    </row>
    <row r="17" spans="1:43" ht="13" x14ac:dyDescent="0.25">
      <c r="A17" s="7">
        <v>12</v>
      </c>
      <c r="B17" s="77">
        <f>IFERROR(VLOOKUP(Vaktplan!$A$42,Vaktplan!$BZ$4:$CL$35,87-AH70,FALSE),0)</f>
        <v>0</v>
      </c>
      <c r="C17" s="77">
        <f>IFERROR(VLOOKUP(Vaktplan!$A$42,Vaktplan!$BZ$4:$CL$35,87-AG70,FALSE),0)</f>
        <v>0</v>
      </c>
      <c r="D17" s="9">
        <f>IFERROR(VLOOKUP(Vaktplan!$A$42,Vaktplan!$BZ$4:$CL$35,89-AG70,FALSE),0)</f>
        <v>0</v>
      </c>
      <c r="E17" s="9">
        <f t="shared" si="16"/>
        <v>0</v>
      </c>
      <c r="F17" s="9">
        <f t="shared" si="2"/>
        <v>24</v>
      </c>
      <c r="G17" s="77">
        <f>IFERROR(VLOOKUP(Vaktplan!$A$42,Vaktplan!$CA$4:$CL$35,86-AH70,FALSE),0)</f>
        <v>0</v>
      </c>
      <c r="H17" s="77">
        <f>IFERROR(VLOOKUP(Vaktplan!$A$42,Vaktplan!$CA$4:$CL$35,86-AG70,FALSE),0)</f>
        <v>0</v>
      </c>
      <c r="I17" s="9">
        <f>IFERROR(VLOOKUP(Vaktplan!$A$42,Vaktplan!$CA$4:$CL$35,89-$AH70,FALSE),0)</f>
        <v>0</v>
      </c>
      <c r="J17" s="9">
        <f t="shared" si="3"/>
        <v>0</v>
      </c>
      <c r="K17" s="9">
        <f t="shared" si="4"/>
        <v>24</v>
      </c>
      <c r="L17" s="77">
        <f>IFERROR(VLOOKUP(Vaktplan!$A$42,Vaktplan!$CB$4:$CL$35,86-AI70,FALSE),0)</f>
        <v>0</v>
      </c>
      <c r="M17" s="77">
        <f>IFERROR(VLOOKUP(Vaktplan!$A$42,Vaktplan!$CB$4:$CL$35,86-AH70,FALSE),0)</f>
        <v>0</v>
      </c>
      <c r="N17" s="9">
        <f>IFERROR(VLOOKUP(Vaktplan!$A$42,Vaktplan!$CB$4:$CL$35,89-$AI70,FALSE),0)</f>
        <v>0</v>
      </c>
      <c r="O17" s="9">
        <f t="shared" si="5"/>
        <v>0</v>
      </c>
      <c r="P17" s="9">
        <f t="shared" si="6"/>
        <v>24</v>
      </c>
      <c r="Q17" s="77">
        <f>IFERROR(VLOOKUP(Vaktplan!$A$42,Vaktplan!$CC$4:$CL$35,86-AJ70,FALSE),0)</f>
        <v>0</v>
      </c>
      <c r="R17" s="77">
        <f>IFERROR(VLOOKUP(Vaktplan!$A$42,Vaktplan!$CC$4:$CL$35,86-AI70,FALSE),0)</f>
        <v>0</v>
      </c>
      <c r="S17" s="9">
        <f>IFERROR(VLOOKUP(Vaktplan!$A$42,Vaktplan!$CC$4:$CL$35,89-$AJ70,FALSE),0)</f>
        <v>0</v>
      </c>
      <c r="T17" s="9">
        <f t="shared" si="0"/>
        <v>0</v>
      </c>
      <c r="U17" s="9">
        <f t="shared" si="7"/>
        <v>24</v>
      </c>
      <c r="V17" s="77">
        <f>IFERROR(VLOOKUP(Vaktplan!$A$42,Vaktplan!$CD$4:$CL$35,86-AK70,FALSE),0)</f>
        <v>0</v>
      </c>
      <c r="W17" s="77">
        <f>IFERROR(VLOOKUP(Vaktplan!$A$42,Vaktplan!$CD$4:$CL$35,86-AJ70,FALSE),0)</f>
        <v>0</v>
      </c>
      <c r="X17" s="9">
        <f>IFERROR(VLOOKUP(Vaktplan!$A$42,Vaktplan!$CD$4:$CL$35,89-$AK70,FALSE),0)</f>
        <v>0</v>
      </c>
      <c r="Y17" s="9">
        <f>IF(AND(V17=0,W17=0),0,IF(V17&lt;W17,((W17-V17)*24)-X17,(((1-V17)+W17)*24)-X17))</f>
        <v>0</v>
      </c>
      <c r="Z17" s="9">
        <f t="shared" si="9"/>
        <v>24</v>
      </c>
      <c r="AA17" s="77">
        <f>IFERROR(VLOOKUP(Vaktplan!$A$42,Vaktplan!$CE$4:$CL$35,86-AL70,FALSE),0)</f>
        <v>0</v>
      </c>
      <c r="AB17" s="77">
        <f>IFERROR(VLOOKUP(Vaktplan!$A$42,Vaktplan!$CE$4:$CL$35,86-AK70,FALSE),0)</f>
        <v>0</v>
      </c>
      <c r="AC17" s="9">
        <f>IFERROR(VLOOKUP(Vaktplan!$A$42,Vaktplan!$CE$4:$FCE$35,89-$AL70,FALSE),0)</f>
        <v>0</v>
      </c>
      <c r="AD17" s="9">
        <f>IF(AND(AA17=0,AB17=0),0,IF(AA17&lt;AB17,((AB17-AA17)*24)-AC17,(((1-AA17)+AB17)*24)-AC17))</f>
        <v>0</v>
      </c>
      <c r="AE17" s="9">
        <f t="shared" si="11"/>
        <v>24</v>
      </c>
      <c r="AF17" s="77">
        <f>IFERROR(VLOOKUP(Vaktplan!$A$42,Vaktplan!$CF$4:$CL$35,86-AM70,FALSE),0)</f>
        <v>0</v>
      </c>
      <c r="AG17" s="77">
        <f>IFERROR(VLOOKUP(Vaktplan!$A$42,Vaktplan!$CF$4:$CL$35,86-AL70,FALSE),0)</f>
        <v>0</v>
      </c>
      <c r="AH17" s="9">
        <f>IFERROR(VLOOKUP(Vaktplan!$A$42,Vaktplan!$CF$4:$CL$35,89-$AM70,FALSE),0)</f>
        <v>0</v>
      </c>
      <c r="AI17" s="9">
        <f>IF(AND(AF17=0,AG17=0),0,IF(AF17&lt;AG17,((AG17-AF17)*24)-AH17,(((1-AF17)+AG17)*24)-AH17))</f>
        <v>0</v>
      </c>
      <c r="AJ17" s="9">
        <f t="shared" si="13"/>
        <v>24</v>
      </c>
      <c r="AK17" s="9">
        <f t="shared" si="1"/>
        <v>0</v>
      </c>
      <c r="AL17" s="10"/>
      <c r="AM17" s="10"/>
    </row>
    <row r="19" spans="1:43" ht="13" x14ac:dyDescent="0.3">
      <c r="A19" s="4" t="s">
        <v>76</v>
      </c>
    </row>
    <row r="20" spans="1:43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3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3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3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3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6" spans="1:43" ht="13" x14ac:dyDescent="0.3">
      <c r="A26" s="4" t="s">
        <v>77</v>
      </c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</row>
    <row r="27" spans="1:43" ht="13" x14ac:dyDescent="0.3">
      <c r="A27" s="3" t="s">
        <v>78</v>
      </c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80" t="s">
        <v>79</v>
      </c>
      <c r="AM27" s="78"/>
      <c r="AN27" s="78"/>
      <c r="AO27" s="78"/>
    </row>
    <row r="28" spans="1:43" ht="13" x14ac:dyDescent="0.3">
      <c r="A28" s="98" t="s">
        <v>36</v>
      </c>
      <c r="B28" s="98"/>
      <c r="C28" s="98"/>
      <c r="D28" s="88"/>
      <c r="E28" s="8">
        <f>E2</f>
        <v>0</v>
      </c>
      <c r="F28" s="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>
        <v>1</v>
      </c>
      <c r="AM28" s="78"/>
      <c r="AN28" s="78"/>
      <c r="AO28" s="78"/>
    </row>
    <row r="29" spans="1:43" ht="13" x14ac:dyDescent="0.3">
      <c r="A29" s="98" t="s">
        <v>80</v>
      </c>
      <c r="B29" s="98"/>
      <c r="C29" s="98"/>
      <c r="D29" s="88"/>
      <c r="E29" s="5">
        <f>E3</f>
        <v>0</v>
      </c>
      <c r="F29" s="5"/>
      <c r="T29" s="10"/>
      <c r="U29" s="10"/>
      <c r="V29" s="10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80" t="s">
        <v>81</v>
      </c>
      <c r="AH29" s="80"/>
      <c r="AI29" s="78"/>
      <c r="AJ29" s="78"/>
      <c r="AK29" s="78"/>
      <c r="AL29" s="78">
        <v>2</v>
      </c>
      <c r="AM29" s="78"/>
      <c r="AN29" s="78"/>
      <c r="AO29" s="78"/>
      <c r="AP29" s="10"/>
      <c r="AQ29" s="10"/>
    </row>
    <row r="30" spans="1:43" ht="13" x14ac:dyDescent="0.3">
      <c r="A30" s="98" t="s">
        <v>82</v>
      </c>
      <c r="B30" s="98"/>
      <c r="C30" s="98"/>
      <c r="D30" s="88"/>
      <c r="T30" s="10"/>
      <c r="U30" s="10"/>
      <c r="V30" s="10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>
        <v>3</v>
      </c>
      <c r="AM30" s="78"/>
      <c r="AN30" s="78"/>
      <c r="AO30" s="78"/>
      <c r="AP30" s="10"/>
      <c r="AQ30" s="10"/>
    </row>
    <row r="31" spans="1:43" ht="13" x14ac:dyDescent="0.3">
      <c r="A31" s="4" t="s">
        <v>83</v>
      </c>
      <c r="B31" s="4" t="s">
        <v>84</v>
      </c>
      <c r="C31" s="4" t="s">
        <v>85</v>
      </c>
      <c r="D31" s="98" t="s">
        <v>86</v>
      </c>
      <c r="E31" s="98"/>
      <c r="F31" s="4" t="s">
        <v>87</v>
      </c>
      <c r="G31" s="4" t="s">
        <v>88</v>
      </c>
      <c r="H31" s="98" t="s">
        <v>27</v>
      </c>
      <c r="I31" s="98"/>
      <c r="J31" s="4" t="s">
        <v>28</v>
      </c>
      <c r="K31" s="4" t="s">
        <v>29</v>
      </c>
      <c r="L31" s="4" t="s">
        <v>30</v>
      </c>
      <c r="M31" s="4" t="s">
        <v>31</v>
      </c>
      <c r="N31" s="98" t="s">
        <v>32</v>
      </c>
      <c r="O31" s="98"/>
      <c r="T31" s="10"/>
      <c r="U31" s="10"/>
      <c r="V31" s="10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80" t="s">
        <v>9</v>
      </c>
      <c r="AH31" s="80"/>
      <c r="AI31" s="78"/>
      <c r="AJ31" s="78"/>
      <c r="AK31" s="78"/>
      <c r="AL31" s="78">
        <v>4</v>
      </c>
      <c r="AM31" s="78"/>
      <c r="AN31" s="78"/>
      <c r="AO31" s="78"/>
      <c r="AP31" s="10"/>
      <c r="AQ31" s="10"/>
    </row>
    <row r="32" spans="1:43" ht="13" x14ac:dyDescent="0.3">
      <c r="A32" s="3">
        <f>AK6</f>
        <v>0</v>
      </c>
      <c r="B32" s="3">
        <f>AK7</f>
        <v>0</v>
      </c>
      <c r="C32" s="3">
        <f>AK8</f>
        <v>0</v>
      </c>
      <c r="D32" s="101">
        <f>AK9</f>
        <v>0</v>
      </c>
      <c r="E32" s="101"/>
      <c r="F32" s="3">
        <f>AK10</f>
        <v>0</v>
      </c>
      <c r="G32" s="3">
        <f>AK11</f>
        <v>0</v>
      </c>
      <c r="H32" s="101">
        <f>AK12</f>
        <v>0</v>
      </c>
      <c r="I32" s="101"/>
      <c r="J32" s="3">
        <f>AK13</f>
        <v>0</v>
      </c>
      <c r="K32" s="3">
        <f>AK14</f>
        <v>0</v>
      </c>
      <c r="L32" s="3">
        <f>AK15</f>
        <v>0</v>
      </c>
      <c r="M32" s="3">
        <f>AK16</f>
        <v>0</v>
      </c>
      <c r="N32" s="101">
        <f>AK17</f>
        <v>0</v>
      </c>
      <c r="O32" s="101"/>
      <c r="T32" s="11" t="s">
        <v>70</v>
      </c>
      <c r="U32" s="10" t="s">
        <v>89</v>
      </c>
      <c r="V32" s="10" t="s">
        <v>90</v>
      </c>
      <c r="W32" s="78" t="s">
        <v>91</v>
      </c>
      <c r="X32" s="78" t="s">
        <v>92</v>
      </c>
      <c r="Y32" s="78" t="s">
        <v>93</v>
      </c>
      <c r="Z32" s="78" t="s">
        <v>94</v>
      </c>
      <c r="AA32" s="78"/>
      <c r="AB32" s="78"/>
      <c r="AC32" s="78"/>
      <c r="AD32" s="78"/>
      <c r="AE32" s="78"/>
      <c r="AF32" s="78"/>
      <c r="AG32" s="78" t="s">
        <v>10</v>
      </c>
      <c r="AH32" s="78"/>
      <c r="AI32" s="79">
        <v>42177</v>
      </c>
      <c r="AJ32" s="79"/>
      <c r="AK32" s="78"/>
      <c r="AL32" s="78">
        <v>5</v>
      </c>
      <c r="AM32" s="78"/>
      <c r="AN32" s="78"/>
      <c r="AO32" s="78"/>
      <c r="AP32" s="10"/>
      <c r="AQ32" s="10"/>
    </row>
    <row r="33" spans="1:43" ht="13" x14ac:dyDescent="0.3">
      <c r="A33" s="98" t="s">
        <v>95</v>
      </c>
      <c r="B33" s="98"/>
      <c r="C33" s="98"/>
      <c r="D33" s="88"/>
      <c r="G33" s="101"/>
      <c r="H33" s="101"/>
      <c r="I33" s="90"/>
      <c r="T33" s="10">
        <v>1</v>
      </c>
      <c r="U33" s="10">
        <f>IF(AND(B6&gt;0,G6&gt;0),0,IF(AND(G6&gt;0),0,F6+K6))</f>
        <v>48</v>
      </c>
      <c r="V33" s="10">
        <f>IF(AND(G6&gt;0,L6&gt;0),0,IF(AND(L6&gt;0),0,K6+P6))</f>
        <v>48</v>
      </c>
      <c r="W33" s="78">
        <f>IF(AND(L6&gt;0,Q6&gt;0),0,IF(AND(Q6&gt;0),0,P6+U6))</f>
        <v>48</v>
      </c>
      <c r="X33" s="78">
        <f>IF(AND(Q6&gt;0,V6&gt;0),0,IF(AND(V6&gt;0),0,U6+Z6))</f>
        <v>48</v>
      </c>
      <c r="Y33" s="78">
        <f>IF(AND(V6&gt;0,AA6&gt;0),0,IF(AND(AA6&gt;0),0,Z6+AE6))</f>
        <v>48</v>
      </c>
      <c r="Z33" s="78">
        <f>IF(AND(AA6&gt;0,AF6&gt;0),0,IF(AND(AF6&gt;0),0,AE6+AJ6))</f>
        <v>48</v>
      </c>
      <c r="AA33" s="78"/>
      <c r="AB33" s="78"/>
      <c r="AC33" s="78"/>
      <c r="AD33" s="78"/>
      <c r="AE33" s="78"/>
      <c r="AF33" s="78"/>
      <c r="AG33" s="78" t="s">
        <v>11</v>
      </c>
      <c r="AH33" s="78"/>
      <c r="AI33" s="79">
        <v>42178</v>
      </c>
      <c r="AJ33" s="79"/>
      <c r="AK33" s="78"/>
      <c r="AL33" s="78">
        <v>6</v>
      </c>
      <c r="AM33" s="78"/>
      <c r="AN33" s="78"/>
      <c r="AO33" s="78"/>
      <c r="AP33" s="10"/>
      <c r="AQ33" s="10"/>
    </row>
    <row r="34" spans="1:43" x14ac:dyDescent="0.25">
      <c r="A34" s="101" t="s">
        <v>96</v>
      </c>
      <c r="B34" s="101"/>
      <c r="C34" s="3">
        <f>(AK6+AK7+AK8+AK9+AK10+AK11+AK12+AK13+AK14+AK15+AK16+AK17)/M1</f>
        <v>0</v>
      </c>
      <c r="T34" s="10">
        <v>2</v>
      </c>
      <c r="U34" s="10">
        <f t="shared" ref="U34:U40" si="17">IF(AND(B7&gt;0,G7&gt;0),0,IF(AND(G7&gt;0),0,F7+K7))</f>
        <v>48</v>
      </c>
      <c r="V34" s="10">
        <f t="shared" ref="V34:V40" si="18">IF(AND(G7&gt;0,L7&gt;0),0,IF(AND(L7&gt;0),0,K7+P7))</f>
        <v>48</v>
      </c>
      <c r="W34" s="78">
        <f t="shared" ref="W34:W44" si="19">IF(AND(L7&gt;0,Q7&gt;0),0,IF(AND(Q7&gt;0),0,P7+U7))</f>
        <v>48</v>
      </c>
      <c r="X34" s="78">
        <f t="shared" ref="X34:X44" si="20">IF(AND(Q7&gt;0,V7&gt;0),0,IF(AND(V7&gt;0),0,U7+Z7))</f>
        <v>48</v>
      </c>
      <c r="Y34" s="78">
        <f t="shared" ref="Y34:Y44" si="21">IF(AND(V7&gt;0,AA7&gt;0),0,IF(AND(AA7&gt;0),0,Z7+AE7))</f>
        <v>48</v>
      </c>
      <c r="Z34" s="78">
        <f t="shared" ref="Z34:Z44" si="22">IF(AND(AA7&gt;0,AF7&gt;0),0,IF(AND(AF7&gt;0),0,AE7+AJ7))</f>
        <v>48</v>
      </c>
      <c r="AA34" s="78"/>
      <c r="AB34" s="78"/>
      <c r="AC34" s="78"/>
      <c r="AD34" s="78"/>
      <c r="AE34" s="78"/>
      <c r="AF34" s="78"/>
      <c r="AG34" s="78" t="s">
        <v>12</v>
      </c>
      <c r="AH34" s="78"/>
      <c r="AI34" s="79">
        <v>42179</v>
      </c>
      <c r="AJ34" s="79"/>
      <c r="AK34" s="78"/>
      <c r="AL34" s="78">
        <v>7</v>
      </c>
      <c r="AM34" s="78"/>
      <c r="AN34" s="78"/>
      <c r="AO34" s="78"/>
      <c r="AP34" s="10"/>
      <c r="AQ34" s="10"/>
    </row>
    <row r="35" spans="1:43" x14ac:dyDescent="0.25">
      <c r="T35" s="10">
        <v>3</v>
      </c>
      <c r="U35" s="10">
        <f t="shared" si="17"/>
        <v>48</v>
      </c>
      <c r="V35" s="10">
        <f t="shared" si="18"/>
        <v>48</v>
      </c>
      <c r="W35" s="78">
        <f t="shared" si="19"/>
        <v>48</v>
      </c>
      <c r="X35" s="78">
        <f t="shared" si="20"/>
        <v>48</v>
      </c>
      <c r="Y35" s="78">
        <f t="shared" si="21"/>
        <v>48</v>
      </c>
      <c r="Z35" s="78">
        <f t="shared" si="22"/>
        <v>48</v>
      </c>
      <c r="AA35" s="78"/>
      <c r="AB35" s="78"/>
      <c r="AC35" s="78"/>
      <c r="AD35" s="78"/>
      <c r="AE35" s="78"/>
      <c r="AF35" s="78"/>
      <c r="AG35" s="78" t="s">
        <v>13</v>
      </c>
      <c r="AH35" s="78"/>
      <c r="AI35" s="79">
        <v>42180</v>
      </c>
      <c r="AJ35" s="79"/>
      <c r="AK35" s="78"/>
      <c r="AL35" s="78">
        <v>8</v>
      </c>
      <c r="AM35" s="78"/>
      <c r="AN35" s="78"/>
      <c r="AO35" s="78"/>
      <c r="AP35" s="78"/>
      <c r="AQ35" s="10"/>
    </row>
    <row r="36" spans="1:43" ht="13" x14ac:dyDescent="0.3">
      <c r="A36" s="98" t="s">
        <v>97</v>
      </c>
      <c r="B36" s="98"/>
      <c r="C36" s="98"/>
      <c r="D36" s="98"/>
      <c r="E36" s="98"/>
      <c r="F36" s="88"/>
      <c r="T36" s="10">
        <v>4</v>
      </c>
      <c r="U36" s="10">
        <f t="shared" si="17"/>
        <v>48</v>
      </c>
      <c r="V36" s="10">
        <f t="shared" si="18"/>
        <v>48</v>
      </c>
      <c r="W36" s="78">
        <f t="shared" si="19"/>
        <v>48</v>
      </c>
      <c r="X36" s="78">
        <f t="shared" si="20"/>
        <v>48</v>
      </c>
      <c r="Y36" s="78">
        <f t="shared" si="21"/>
        <v>48</v>
      </c>
      <c r="Z36" s="78">
        <f t="shared" si="22"/>
        <v>48</v>
      </c>
      <c r="AA36" s="78"/>
      <c r="AB36" s="78"/>
      <c r="AC36" s="78"/>
      <c r="AD36" s="78"/>
      <c r="AE36" s="78"/>
      <c r="AF36" s="78"/>
      <c r="AG36" s="78" t="s">
        <v>14</v>
      </c>
      <c r="AH36" s="78"/>
      <c r="AI36" s="79">
        <v>42181</v>
      </c>
      <c r="AJ36" s="79"/>
      <c r="AK36" s="78"/>
      <c r="AL36" s="3">
        <v>9</v>
      </c>
      <c r="AM36" s="78"/>
      <c r="AN36" s="78"/>
      <c r="AO36" s="78"/>
      <c r="AP36" s="78"/>
      <c r="AQ36" s="10"/>
    </row>
    <row r="37" spans="1:43" x14ac:dyDescent="0.25">
      <c r="A37" s="99" t="e">
        <f>C34/E3</f>
        <v>#DIV/0!</v>
      </c>
      <c r="B37" s="99"/>
      <c r="C37" s="99"/>
      <c r="T37" s="10">
        <v>5</v>
      </c>
      <c r="U37" s="10">
        <f t="shared" si="17"/>
        <v>48</v>
      </c>
      <c r="V37" s="10">
        <f t="shared" si="18"/>
        <v>48</v>
      </c>
      <c r="W37" s="78">
        <f t="shared" si="19"/>
        <v>48</v>
      </c>
      <c r="X37" s="78">
        <f t="shared" si="20"/>
        <v>48</v>
      </c>
      <c r="Y37" s="78">
        <f t="shared" si="21"/>
        <v>48</v>
      </c>
      <c r="Z37" s="78">
        <f t="shared" si="22"/>
        <v>48</v>
      </c>
      <c r="AA37" s="78"/>
      <c r="AB37" s="78"/>
      <c r="AC37" s="78"/>
      <c r="AD37" s="78"/>
      <c r="AE37" s="78"/>
      <c r="AF37" s="78"/>
      <c r="AG37" s="78" t="s">
        <v>15</v>
      </c>
      <c r="AH37" s="78"/>
      <c r="AI37" s="79">
        <v>42182</v>
      </c>
      <c r="AJ37" s="79"/>
      <c r="AK37" s="78"/>
      <c r="AL37" s="3">
        <v>10</v>
      </c>
      <c r="AM37" s="78"/>
      <c r="AN37" s="78"/>
      <c r="AO37" s="78"/>
      <c r="AP37" s="78"/>
      <c r="AQ37" s="10"/>
    </row>
    <row r="38" spans="1:43" x14ac:dyDescent="0.25">
      <c r="T38" s="10">
        <v>6</v>
      </c>
      <c r="U38" s="10">
        <f t="shared" si="17"/>
        <v>48</v>
      </c>
      <c r="V38" s="10">
        <f t="shared" si="18"/>
        <v>48</v>
      </c>
      <c r="W38" s="78">
        <f t="shared" si="19"/>
        <v>48</v>
      </c>
      <c r="X38" s="78">
        <f t="shared" si="20"/>
        <v>48</v>
      </c>
      <c r="Y38" s="78">
        <f t="shared" si="21"/>
        <v>48</v>
      </c>
      <c r="Z38" s="78">
        <f t="shared" si="22"/>
        <v>48</v>
      </c>
      <c r="AA38" s="78"/>
      <c r="AB38" s="78"/>
      <c r="AC38" s="78"/>
      <c r="AD38" s="78"/>
      <c r="AE38" s="78"/>
      <c r="AF38" s="78"/>
      <c r="AG38" s="78" t="s">
        <v>16</v>
      </c>
      <c r="AH38" s="78"/>
      <c r="AI38" s="79">
        <v>42183</v>
      </c>
      <c r="AJ38" s="79"/>
      <c r="AK38" s="78"/>
      <c r="AL38" s="3">
        <v>11</v>
      </c>
      <c r="AM38" s="78"/>
      <c r="AN38" s="78"/>
      <c r="AO38" s="78"/>
      <c r="AP38" s="78"/>
      <c r="AQ38" s="10"/>
    </row>
    <row r="39" spans="1:43" x14ac:dyDescent="0.25">
      <c r="T39" s="10">
        <v>7</v>
      </c>
      <c r="U39" s="10">
        <f t="shared" si="17"/>
        <v>48</v>
      </c>
      <c r="V39" s="10">
        <f t="shared" si="18"/>
        <v>48</v>
      </c>
      <c r="W39" s="78">
        <f t="shared" si="19"/>
        <v>48</v>
      </c>
      <c r="X39" s="78">
        <f t="shared" si="20"/>
        <v>48</v>
      </c>
      <c r="Y39" s="78">
        <f t="shared" si="21"/>
        <v>48</v>
      </c>
      <c r="Z39" s="78">
        <f t="shared" si="22"/>
        <v>48</v>
      </c>
      <c r="AA39" s="78"/>
      <c r="AB39" s="78"/>
      <c r="AC39" s="78"/>
      <c r="AD39" s="78"/>
      <c r="AE39" s="78"/>
      <c r="AF39" s="78"/>
      <c r="AG39" s="100">
        <f>IF(E1=AG32,AI32,IF(E1=AG33,AI33,IF(E1=AG34,AI34,IF(E1=AG35,AI35,IF(E1=AG36,AI36,IF(E1=AG37,AI37,IF(E1=AG38,AI38,AI32)))))))</f>
        <v>42177</v>
      </c>
      <c r="AH39" s="100"/>
      <c r="AI39" s="100"/>
      <c r="AJ39" s="100"/>
      <c r="AK39" s="100"/>
      <c r="AL39" s="3">
        <v>12</v>
      </c>
      <c r="AM39" s="78"/>
      <c r="AN39" s="78"/>
      <c r="AO39" s="78"/>
      <c r="AP39" s="78"/>
      <c r="AQ39" s="10"/>
    </row>
    <row r="40" spans="1:43" ht="13" x14ac:dyDescent="0.3">
      <c r="A40" s="4" t="s">
        <v>98</v>
      </c>
      <c r="T40" s="10">
        <v>8</v>
      </c>
      <c r="U40" s="10">
        <f t="shared" si="17"/>
        <v>48</v>
      </c>
      <c r="V40" s="10">
        <f t="shared" si="18"/>
        <v>48</v>
      </c>
      <c r="W40" s="78">
        <f t="shared" si="19"/>
        <v>48</v>
      </c>
      <c r="X40" s="78">
        <f t="shared" si="20"/>
        <v>48</v>
      </c>
      <c r="Y40" s="78">
        <f t="shared" si="21"/>
        <v>48</v>
      </c>
      <c r="Z40" s="78">
        <f t="shared" si="22"/>
        <v>48</v>
      </c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10"/>
    </row>
    <row r="41" spans="1:43" x14ac:dyDescent="0.25">
      <c r="A41" s="3" t="s">
        <v>99</v>
      </c>
      <c r="T41" s="10"/>
      <c r="U41" s="10"/>
      <c r="V41" s="10"/>
      <c r="W41" s="78">
        <f t="shared" si="19"/>
        <v>48</v>
      </c>
      <c r="X41" s="78">
        <f t="shared" si="20"/>
        <v>48</v>
      </c>
      <c r="Y41" s="78">
        <f t="shared" si="21"/>
        <v>48</v>
      </c>
      <c r="Z41" s="78">
        <f t="shared" si="22"/>
        <v>48</v>
      </c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10"/>
    </row>
    <row r="42" spans="1:43" ht="13" x14ac:dyDescent="0.3">
      <c r="A42" s="3" t="s">
        <v>100</v>
      </c>
      <c r="O42" s="81">
        <v>0.29166666666666669</v>
      </c>
      <c r="P42" s="81">
        <v>0.33333333333333331</v>
      </c>
      <c r="Q42" s="3">
        <f>(P42-O42)*24</f>
        <v>0.99999999999999911</v>
      </c>
      <c r="T42" s="10"/>
      <c r="U42" s="10"/>
      <c r="V42" s="10"/>
      <c r="W42" s="78">
        <f t="shared" si="19"/>
        <v>48</v>
      </c>
      <c r="X42" s="78">
        <f t="shared" si="20"/>
        <v>48</v>
      </c>
      <c r="Y42" s="78">
        <f t="shared" si="21"/>
        <v>48</v>
      </c>
      <c r="Z42" s="78">
        <f t="shared" si="22"/>
        <v>48</v>
      </c>
      <c r="AA42" s="78"/>
      <c r="AB42" s="78"/>
      <c r="AC42" s="78"/>
      <c r="AD42" s="78"/>
      <c r="AE42" s="78"/>
      <c r="AF42" s="78"/>
      <c r="AG42" s="80" t="s">
        <v>101</v>
      </c>
      <c r="AH42" s="80"/>
      <c r="AI42" s="78"/>
      <c r="AJ42" s="78"/>
      <c r="AK42" s="78"/>
      <c r="AL42" s="80" t="s">
        <v>102</v>
      </c>
      <c r="AM42" s="78"/>
      <c r="AN42" s="78"/>
      <c r="AO42" s="78"/>
      <c r="AP42" s="78"/>
      <c r="AQ42" s="10"/>
    </row>
    <row r="43" spans="1:43" x14ac:dyDescent="0.25">
      <c r="T43" s="10"/>
      <c r="U43" s="10"/>
      <c r="V43" s="10"/>
      <c r="W43" s="78">
        <f t="shared" si="19"/>
        <v>48</v>
      </c>
      <c r="X43" s="78">
        <f t="shared" si="20"/>
        <v>48</v>
      </c>
      <c r="Y43" s="78">
        <f t="shared" si="21"/>
        <v>48</v>
      </c>
      <c r="Z43" s="78">
        <f t="shared" si="22"/>
        <v>48</v>
      </c>
      <c r="AA43" s="78"/>
      <c r="AB43" s="78"/>
      <c r="AC43" s="78"/>
      <c r="AD43" s="78"/>
      <c r="AE43" s="78"/>
      <c r="AF43" s="78"/>
      <c r="AG43" s="78">
        <v>33.6</v>
      </c>
      <c r="AH43" s="78"/>
      <c r="AI43" s="78"/>
      <c r="AJ43" s="78"/>
      <c r="AK43" s="78"/>
      <c r="AL43" s="78" t="s">
        <v>103</v>
      </c>
      <c r="AM43" s="78"/>
      <c r="AN43" s="78"/>
      <c r="AO43" s="78"/>
      <c r="AP43" s="78"/>
      <c r="AQ43" s="10"/>
    </row>
    <row r="44" spans="1:43" x14ac:dyDescent="0.25">
      <c r="A44" s="3" t="s">
        <v>104</v>
      </c>
      <c r="T44" s="10"/>
      <c r="U44" s="10"/>
      <c r="V44" s="10"/>
      <c r="W44" s="78">
        <f t="shared" si="19"/>
        <v>48</v>
      </c>
      <c r="X44" s="78">
        <f t="shared" si="20"/>
        <v>48</v>
      </c>
      <c r="Y44" s="78">
        <f t="shared" si="21"/>
        <v>48</v>
      </c>
      <c r="Z44" s="78">
        <f t="shared" si="22"/>
        <v>48</v>
      </c>
      <c r="AA44" s="78"/>
      <c r="AB44" s="78"/>
      <c r="AC44" s="78"/>
      <c r="AD44" s="78"/>
      <c r="AE44" s="78"/>
      <c r="AF44" s="78"/>
      <c r="AG44" s="78">
        <v>35.5</v>
      </c>
      <c r="AH44" s="78"/>
      <c r="AI44" s="78"/>
      <c r="AJ44" s="78"/>
      <c r="AK44" s="78"/>
      <c r="AL44" s="78" t="s">
        <v>105</v>
      </c>
      <c r="AM44" s="78"/>
      <c r="AN44" s="78"/>
      <c r="AO44" s="78"/>
      <c r="AP44" s="78"/>
      <c r="AQ44" s="10"/>
    </row>
    <row r="45" spans="1:43" x14ac:dyDescent="0.25">
      <c r="A45" s="1">
        <v>11</v>
      </c>
      <c r="B45" s="5">
        <f>COUNTIF($F$6:$F$13,"&lt;" &amp; A45)+COUNTIF($K$6:$K$13,"&lt;" &amp; A45)+COUNTIF($P$6:$P$13,"&lt;" &amp; A45)+COUNTIF($U$6:$U$13,"&lt;" &amp; A45)+COUNTIF($Z$6:$Z$13,"&lt;" &amp; A45)+COUNTIF($AE$6:$AE$13,"&lt;" &amp; A45)+COUNTIF($AJ$6:$AJ$13,"&lt;" &amp; A45)</f>
        <v>0</v>
      </c>
      <c r="T45" s="10"/>
      <c r="U45" s="10"/>
      <c r="V45" s="10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>
        <v>37.5</v>
      </c>
      <c r="AH45" s="78"/>
      <c r="AI45" s="78"/>
      <c r="AJ45" s="78"/>
      <c r="AK45" s="78"/>
      <c r="AL45" s="78"/>
      <c r="AM45" s="78"/>
      <c r="AN45" s="78"/>
      <c r="AO45" s="78"/>
      <c r="AP45" s="78"/>
      <c r="AQ45" s="10"/>
    </row>
    <row r="46" spans="1:43" x14ac:dyDescent="0.25">
      <c r="T46" s="10"/>
      <c r="U46" s="10"/>
      <c r="V46" s="10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78"/>
      <c r="AQ46" s="10"/>
    </row>
    <row r="47" spans="1:43" x14ac:dyDescent="0.25">
      <c r="T47" s="10"/>
      <c r="U47" s="10"/>
      <c r="V47" s="10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10"/>
    </row>
    <row r="48" spans="1:43" x14ac:dyDescent="0.25">
      <c r="T48" s="10"/>
      <c r="U48" s="10"/>
      <c r="V48" s="10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78"/>
      <c r="AO48" s="78"/>
      <c r="AP48" s="78"/>
      <c r="AQ48" s="10"/>
    </row>
    <row r="49" spans="1:43" ht="13" x14ac:dyDescent="0.3">
      <c r="A49" s="4" t="s">
        <v>106</v>
      </c>
      <c r="T49" s="10"/>
      <c r="U49" s="10"/>
      <c r="V49" s="10"/>
      <c r="W49" s="78"/>
      <c r="X49" s="78"/>
      <c r="Y49" s="78"/>
      <c r="Z49" s="78"/>
      <c r="AA49" s="78"/>
      <c r="AB49" s="80" t="s">
        <v>107</v>
      </c>
      <c r="AC49" s="80"/>
      <c r="AD49" s="78"/>
      <c r="AE49" s="78"/>
      <c r="AF49" s="78"/>
      <c r="AG49" s="78"/>
      <c r="AH49" s="78"/>
      <c r="AI49" s="78"/>
      <c r="AJ49" s="78"/>
      <c r="AK49" s="78"/>
      <c r="AL49" s="78"/>
      <c r="AM49" s="78"/>
      <c r="AN49" s="78"/>
      <c r="AO49" s="78"/>
      <c r="AP49" s="78"/>
      <c r="AQ49" s="10"/>
    </row>
    <row r="50" spans="1:43" x14ac:dyDescent="0.25">
      <c r="A50" s="3" t="s">
        <v>108</v>
      </c>
      <c r="T50" s="10"/>
      <c r="U50" s="10"/>
      <c r="V50" s="10"/>
      <c r="W50" s="78"/>
      <c r="X50" s="78"/>
      <c r="Y50" s="78"/>
      <c r="Z50" s="78"/>
      <c r="AA50" s="78"/>
      <c r="AB50" s="78" t="s">
        <v>109</v>
      </c>
      <c r="AC50" s="78"/>
      <c r="AD50" s="78"/>
      <c r="AE50" s="78"/>
      <c r="AF50" s="78"/>
      <c r="AG50" s="78"/>
      <c r="AH50" s="78"/>
      <c r="AI50" s="78"/>
      <c r="AJ50" s="78"/>
      <c r="AK50" s="78"/>
      <c r="AL50" s="78"/>
      <c r="AM50" s="78"/>
      <c r="AN50" s="78"/>
      <c r="AO50" s="78"/>
      <c r="AP50" s="78"/>
      <c r="AQ50" s="10"/>
    </row>
    <row r="51" spans="1:43" ht="13" x14ac:dyDescent="0.3">
      <c r="A51" s="4" t="s">
        <v>110</v>
      </c>
      <c r="T51" s="10"/>
      <c r="U51" s="10"/>
      <c r="V51" s="10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  <c r="AN51" s="78"/>
      <c r="AO51" s="78"/>
      <c r="AP51" s="78"/>
      <c r="AQ51" s="10"/>
    </row>
    <row r="52" spans="1:43" x14ac:dyDescent="0.25">
      <c r="A52" s="3" t="s">
        <v>111</v>
      </c>
      <c r="T52" s="10"/>
      <c r="U52" s="10"/>
      <c r="V52" s="10"/>
      <c r="W52" s="78"/>
      <c r="X52" s="78"/>
      <c r="Y52" s="78"/>
      <c r="Z52" s="78"/>
      <c r="AA52" s="78"/>
      <c r="AB52" s="78" t="s">
        <v>112</v>
      </c>
      <c r="AC52" s="78"/>
      <c r="AD52" s="78"/>
      <c r="AE52" s="78"/>
      <c r="AF52" s="78"/>
      <c r="AG52" s="78"/>
      <c r="AH52" s="78"/>
      <c r="AI52" s="78"/>
      <c r="AJ52" s="78"/>
      <c r="AK52" s="78"/>
      <c r="AL52" s="78"/>
      <c r="AM52" s="78"/>
      <c r="AN52" s="78"/>
      <c r="AO52" s="78"/>
      <c r="AP52" s="78"/>
      <c r="AQ52" s="10"/>
    </row>
    <row r="53" spans="1:43" x14ac:dyDescent="0.25">
      <c r="A53" s="3" t="s">
        <v>113</v>
      </c>
      <c r="T53" s="10"/>
      <c r="U53" s="10"/>
      <c r="V53" s="10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78"/>
      <c r="AO53" s="78"/>
      <c r="AP53" s="78"/>
      <c r="AQ53" s="10"/>
    </row>
    <row r="54" spans="1:43" x14ac:dyDescent="0.25">
      <c r="A54" s="3" t="s">
        <v>114</v>
      </c>
      <c r="T54" s="10"/>
      <c r="U54" s="10"/>
      <c r="V54" s="10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78"/>
      <c r="AL54" s="78"/>
      <c r="AM54" s="78"/>
      <c r="AN54" s="78"/>
      <c r="AO54" s="78"/>
      <c r="AP54" s="78"/>
      <c r="AQ54" s="10"/>
    </row>
    <row r="55" spans="1:43" x14ac:dyDescent="0.25">
      <c r="T55" s="10"/>
      <c r="U55" s="10"/>
      <c r="V55" s="10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10"/>
    </row>
    <row r="56" spans="1:43" ht="13" x14ac:dyDescent="0.3">
      <c r="A56" s="4" t="s">
        <v>115</v>
      </c>
      <c r="T56" s="10"/>
      <c r="U56" s="10"/>
      <c r="V56" s="10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78"/>
      <c r="AO56" s="78"/>
      <c r="AP56" s="78"/>
      <c r="AQ56" s="10"/>
    </row>
    <row r="57" spans="1:43" x14ac:dyDescent="0.25">
      <c r="A57" s="3" t="s">
        <v>116</v>
      </c>
      <c r="T57" s="10"/>
      <c r="U57" s="10"/>
      <c r="V57" s="10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/>
      <c r="AO57" s="78"/>
      <c r="AP57" s="78"/>
      <c r="AQ57" s="10"/>
    </row>
    <row r="58" spans="1:43" ht="13" x14ac:dyDescent="0.3">
      <c r="A58" s="4" t="s">
        <v>110</v>
      </c>
      <c r="T58" s="10"/>
      <c r="U58" s="10"/>
      <c r="V58" s="10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 t="s">
        <v>117</v>
      </c>
      <c r="AH58" s="78"/>
      <c r="AI58" s="78"/>
      <c r="AJ58" s="78"/>
      <c r="AK58" s="78"/>
      <c r="AL58" s="78"/>
      <c r="AM58" s="78"/>
      <c r="AN58" s="78"/>
      <c r="AO58" s="78"/>
      <c r="AP58" s="78"/>
      <c r="AQ58" s="10"/>
    </row>
    <row r="59" spans="1:43" x14ac:dyDescent="0.25">
      <c r="A59" s="3" t="s">
        <v>111</v>
      </c>
      <c r="T59" s="10"/>
      <c r="U59" s="10"/>
      <c r="V59" s="10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>
        <v>0</v>
      </c>
      <c r="AH59" s="78">
        <v>1</v>
      </c>
      <c r="AI59" s="78">
        <v>2</v>
      </c>
      <c r="AJ59" s="78">
        <v>3</v>
      </c>
      <c r="AK59" s="78">
        <v>4</v>
      </c>
      <c r="AL59" s="78">
        <v>5</v>
      </c>
      <c r="AM59" s="78">
        <v>6</v>
      </c>
      <c r="AN59" s="78"/>
      <c r="AO59" s="78"/>
      <c r="AP59" s="78"/>
      <c r="AQ59" s="10"/>
    </row>
    <row r="60" spans="1:43" x14ac:dyDescent="0.25">
      <c r="A60" s="3" t="s">
        <v>113</v>
      </c>
      <c r="T60" s="10"/>
      <c r="U60" s="10"/>
      <c r="V60" s="10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>
        <v>7</v>
      </c>
      <c r="AH60" s="78">
        <v>8</v>
      </c>
      <c r="AI60" s="78">
        <v>9</v>
      </c>
      <c r="AJ60" s="78">
        <v>10</v>
      </c>
      <c r="AK60" s="78">
        <v>11</v>
      </c>
      <c r="AL60" s="78">
        <v>12</v>
      </c>
      <c r="AM60" s="78">
        <v>13</v>
      </c>
      <c r="AN60" s="78"/>
      <c r="AO60" s="78"/>
      <c r="AP60" s="78"/>
      <c r="AQ60" s="10"/>
    </row>
    <row r="61" spans="1:43" x14ac:dyDescent="0.25">
      <c r="T61" s="10"/>
      <c r="U61" s="10"/>
      <c r="V61" s="10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>
        <v>14</v>
      </c>
      <c r="AH61" s="78">
        <v>15</v>
      </c>
      <c r="AI61" s="78">
        <v>16</v>
      </c>
      <c r="AJ61" s="78">
        <v>17</v>
      </c>
      <c r="AK61" s="78">
        <v>18</v>
      </c>
      <c r="AL61" s="78">
        <v>19</v>
      </c>
      <c r="AM61" s="78">
        <v>20</v>
      </c>
      <c r="AN61" s="78"/>
      <c r="AO61" s="78"/>
      <c r="AP61" s="78"/>
      <c r="AQ61" s="10"/>
    </row>
    <row r="62" spans="1:43" ht="13" x14ac:dyDescent="0.3">
      <c r="A62" s="4" t="s">
        <v>118</v>
      </c>
      <c r="T62" s="10"/>
      <c r="U62" s="10"/>
      <c r="V62" s="10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>
        <v>21</v>
      </c>
      <c r="AH62" s="78">
        <v>22</v>
      </c>
      <c r="AI62" s="78">
        <v>23</v>
      </c>
      <c r="AJ62" s="78">
        <v>24</v>
      </c>
      <c r="AK62" s="78">
        <v>25</v>
      </c>
      <c r="AL62" s="78">
        <v>26</v>
      </c>
      <c r="AM62" s="78">
        <v>27</v>
      </c>
      <c r="AN62" s="78"/>
      <c r="AO62" s="78"/>
      <c r="AP62" s="78"/>
      <c r="AQ62" s="10"/>
    </row>
    <row r="63" spans="1:43" x14ac:dyDescent="0.25">
      <c r="A63" s="3" t="s">
        <v>119</v>
      </c>
      <c r="T63" s="10"/>
      <c r="U63" s="10"/>
      <c r="V63" s="10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>
        <v>28</v>
      </c>
      <c r="AH63" s="78">
        <v>29</v>
      </c>
      <c r="AI63" s="78">
        <v>30</v>
      </c>
      <c r="AJ63" s="78">
        <v>31</v>
      </c>
      <c r="AK63" s="78">
        <v>32</v>
      </c>
      <c r="AL63" s="78">
        <v>33</v>
      </c>
      <c r="AM63" s="78">
        <v>34</v>
      </c>
      <c r="AN63" s="78"/>
      <c r="AO63" s="78"/>
      <c r="AP63" s="78"/>
      <c r="AQ63" s="10"/>
    </row>
    <row r="64" spans="1:43" x14ac:dyDescent="0.25">
      <c r="A64" s="3" t="s">
        <v>120</v>
      </c>
      <c r="T64" s="10"/>
      <c r="U64" s="10"/>
      <c r="V64" s="10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>
        <v>35</v>
      </c>
      <c r="AH64" s="78">
        <v>36</v>
      </c>
      <c r="AI64" s="78">
        <v>37</v>
      </c>
      <c r="AJ64" s="78">
        <v>38</v>
      </c>
      <c r="AK64" s="78">
        <v>39</v>
      </c>
      <c r="AL64" s="78">
        <v>40</v>
      </c>
      <c r="AM64" s="78">
        <v>41</v>
      </c>
      <c r="AN64" s="78"/>
      <c r="AO64" s="78"/>
      <c r="AP64" s="78"/>
      <c r="AQ64" s="10"/>
    </row>
    <row r="65" spans="1:43" x14ac:dyDescent="0.25">
      <c r="T65" s="10"/>
      <c r="U65" s="10"/>
      <c r="V65" s="10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>
        <v>42</v>
      </c>
      <c r="AH65" s="78">
        <v>43</v>
      </c>
      <c r="AI65" s="78">
        <v>44</v>
      </c>
      <c r="AJ65" s="78">
        <v>45</v>
      </c>
      <c r="AK65" s="78">
        <v>46</v>
      </c>
      <c r="AL65" s="78">
        <v>47</v>
      </c>
      <c r="AM65" s="78">
        <v>48</v>
      </c>
      <c r="AN65" s="78"/>
      <c r="AO65" s="78"/>
      <c r="AP65" s="78"/>
      <c r="AQ65" s="10"/>
    </row>
    <row r="66" spans="1:43" ht="13" x14ac:dyDescent="0.3">
      <c r="A66" s="3" t="s">
        <v>121</v>
      </c>
      <c r="B66" s="4"/>
      <c r="T66" s="10"/>
      <c r="U66" s="10"/>
      <c r="V66" s="10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>
        <v>49</v>
      </c>
      <c r="AH66" s="78">
        <v>50</v>
      </c>
      <c r="AI66" s="78">
        <v>51</v>
      </c>
      <c r="AJ66" s="78">
        <v>52</v>
      </c>
      <c r="AK66" s="78">
        <v>53</v>
      </c>
      <c r="AL66" s="78">
        <v>54</v>
      </c>
      <c r="AM66" s="78">
        <v>55</v>
      </c>
      <c r="AN66" s="78"/>
      <c r="AO66" s="78"/>
      <c r="AP66" s="78"/>
      <c r="AQ66" s="10"/>
    </row>
    <row r="67" spans="1:43" ht="13" x14ac:dyDescent="0.3">
      <c r="A67" s="1">
        <v>9</v>
      </c>
      <c r="B67" s="5">
        <f>COUNTIF($E$6:$E$13,"&gt;" &amp; A67)+COUNTIF($J$6:$J$13,"&gt;" &amp; A67)+COUNTIF($O$6:$O$13,"&gt;" &amp; A67)+COUNTIF($T$6:$T$13,"&gt;" &amp; A67)+COUNTIF($Y$6:$Y$13,"&gt;" &amp; A67)+COUNTIF($AD$6:$AD$13,"&gt;" &amp; A67)+COUNTIF($AI$6:$AI$13,"&gt;" &amp; A67)</f>
        <v>0</v>
      </c>
      <c r="C67" s="3" t="s">
        <v>122</v>
      </c>
      <c r="E67" s="3" t="s">
        <v>123</v>
      </c>
      <c r="H67" s="1" t="s">
        <v>124</v>
      </c>
      <c r="L67" s="3" t="s">
        <v>125</v>
      </c>
      <c r="T67" s="10"/>
      <c r="U67" s="10"/>
      <c r="V67" s="10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>
        <v>56</v>
      </c>
      <c r="AH67" s="78">
        <v>57</v>
      </c>
      <c r="AI67" s="78">
        <v>58</v>
      </c>
      <c r="AJ67" s="78">
        <v>59</v>
      </c>
      <c r="AK67" s="78">
        <v>60</v>
      </c>
      <c r="AL67" s="78">
        <v>61</v>
      </c>
      <c r="AM67" s="78">
        <v>62</v>
      </c>
      <c r="AN67" s="78"/>
      <c r="AO67" s="78"/>
      <c r="AP67" s="78"/>
      <c r="AQ67" s="10"/>
    </row>
    <row r="68" spans="1:43" x14ac:dyDescent="0.25">
      <c r="T68" s="10"/>
      <c r="U68" s="10"/>
      <c r="V68" s="10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>
        <v>63</v>
      </c>
      <c r="AH68" s="78">
        <v>64</v>
      </c>
      <c r="AI68" s="78">
        <v>65</v>
      </c>
      <c r="AJ68" s="78">
        <v>66</v>
      </c>
      <c r="AK68" s="78">
        <v>67</v>
      </c>
      <c r="AL68" s="78">
        <v>68</v>
      </c>
      <c r="AM68" s="78">
        <v>69</v>
      </c>
      <c r="AN68" s="78"/>
      <c r="AO68" s="78"/>
      <c r="AP68" s="78"/>
      <c r="AQ68" s="10"/>
    </row>
    <row r="69" spans="1:43" x14ac:dyDescent="0.25">
      <c r="A69" s="3" t="s">
        <v>126</v>
      </c>
      <c r="T69" s="10"/>
      <c r="U69" s="10"/>
      <c r="V69" s="10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>
        <v>70</v>
      </c>
      <c r="AH69" s="78">
        <v>71</v>
      </c>
      <c r="AI69" s="78">
        <v>72</v>
      </c>
      <c r="AJ69" s="78">
        <v>73</v>
      </c>
      <c r="AK69" s="78">
        <v>74</v>
      </c>
      <c r="AL69" s="78">
        <v>75</v>
      </c>
      <c r="AM69" s="78">
        <v>76</v>
      </c>
      <c r="AN69" s="78"/>
      <c r="AO69" s="78"/>
      <c r="AP69" s="78"/>
      <c r="AQ69" s="10"/>
    </row>
    <row r="70" spans="1:43" x14ac:dyDescent="0.25">
      <c r="A70" s="1">
        <v>20</v>
      </c>
      <c r="B70" s="5">
        <f>COUNTIF($AK$6:$AK$13,"&gt;" &amp; A70)</f>
        <v>0</v>
      </c>
      <c r="C70" s="3" t="s">
        <v>127</v>
      </c>
      <c r="E70" s="3" t="s">
        <v>128</v>
      </c>
      <c r="H70" s="1" t="s">
        <v>124</v>
      </c>
      <c r="T70" s="10"/>
      <c r="U70" s="10"/>
      <c r="V70" s="10"/>
      <c r="W70" s="78"/>
      <c r="X70" s="78"/>
      <c r="Y70" s="78"/>
      <c r="Z70" s="78"/>
      <c r="AA70" s="78"/>
      <c r="AB70" s="78"/>
      <c r="AC70" s="78"/>
      <c r="AD70" s="78"/>
      <c r="AE70" s="78"/>
      <c r="AF70" s="78"/>
      <c r="AG70" s="78">
        <v>77</v>
      </c>
      <c r="AH70" s="78">
        <v>78</v>
      </c>
      <c r="AI70" s="78">
        <v>79</v>
      </c>
      <c r="AJ70" s="78">
        <v>80</v>
      </c>
      <c r="AK70" s="78">
        <v>81</v>
      </c>
      <c r="AL70" s="78">
        <v>82</v>
      </c>
      <c r="AM70" s="78">
        <v>83</v>
      </c>
      <c r="AN70" s="78"/>
      <c r="AO70" s="78"/>
      <c r="AP70" s="78"/>
      <c r="AQ70" s="10"/>
    </row>
    <row r="71" spans="1:43" x14ac:dyDescent="0.25">
      <c r="W71" s="78"/>
      <c r="X71" s="78"/>
      <c r="Y71" s="78"/>
      <c r="Z71" s="78"/>
      <c r="AA71" s="78"/>
      <c r="AB71" s="78"/>
      <c r="AC71" s="78"/>
      <c r="AD71" s="78"/>
      <c r="AE71" s="78"/>
      <c r="AF71" s="78"/>
      <c r="AG71" s="78">
        <v>84</v>
      </c>
      <c r="AH71" s="78">
        <v>85</v>
      </c>
      <c r="AI71" s="78">
        <v>86</v>
      </c>
      <c r="AJ71" s="78">
        <v>87</v>
      </c>
      <c r="AK71" s="78">
        <v>88</v>
      </c>
      <c r="AL71" s="78">
        <v>89</v>
      </c>
      <c r="AM71" s="78">
        <v>90</v>
      </c>
      <c r="AN71" s="78"/>
      <c r="AO71" s="78"/>
      <c r="AP71" s="78"/>
    </row>
    <row r="72" spans="1:43" x14ac:dyDescent="0.25"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  <c r="AL72" s="78"/>
      <c r="AM72" s="78"/>
      <c r="AN72" s="78"/>
      <c r="AO72" s="78"/>
      <c r="AP72" s="78"/>
    </row>
    <row r="73" spans="1:43" x14ac:dyDescent="0.25">
      <c r="W73" s="78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8"/>
      <c r="AK73" s="78"/>
      <c r="AL73" s="78"/>
      <c r="AM73" s="78"/>
      <c r="AN73" s="78"/>
      <c r="AO73" s="78"/>
      <c r="AP73" s="78"/>
    </row>
    <row r="74" spans="1:43" x14ac:dyDescent="0.25"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78"/>
      <c r="AO74" s="78"/>
      <c r="AP74" s="78"/>
    </row>
    <row r="75" spans="1:43" x14ac:dyDescent="0.25"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  <c r="AK75" s="78"/>
      <c r="AL75" s="78"/>
      <c r="AM75" s="78"/>
      <c r="AN75" s="78"/>
      <c r="AO75" s="78"/>
      <c r="AP75" s="78"/>
    </row>
    <row r="76" spans="1:43" x14ac:dyDescent="0.25">
      <c r="W76" s="78"/>
      <c r="X76" s="78"/>
      <c r="Y76" s="78"/>
      <c r="Z76" s="78"/>
      <c r="AA76" s="78"/>
      <c r="AB76" s="78"/>
      <c r="AC76" s="78"/>
      <c r="AD76" s="78"/>
      <c r="AE76" s="78"/>
      <c r="AF76" s="78"/>
      <c r="AG76" s="78"/>
      <c r="AH76" s="78"/>
      <c r="AI76" s="78"/>
      <c r="AJ76" s="78"/>
      <c r="AK76" s="78"/>
      <c r="AL76" s="78"/>
      <c r="AM76" s="78"/>
      <c r="AN76" s="78"/>
      <c r="AO76" s="78"/>
      <c r="AP76" s="78"/>
    </row>
    <row r="77" spans="1:43" x14ac:dyDescent="0.25"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78"/>
      <c r="AK77" s="78"/>
      <c r="AL77" s="78"/>
      <c r="AM77" s="78"/>
      <c r="AN77" s="78"/>
      <c r="AO77" s="78"/>
      <c r="AP77" s="78"/>
    </row>
    <row r="78" spans="1:43" x14ac:dyDescent="0.25">
      <c r="W78" s="78"/>
      <c r="X78" s="78"/>
      <c r="Y78" s="78"/>
      <c r="Z78" s="78"/>
      <c r="AA78" s="78"/>
      <c r="AB78" s="78"/>
      <c r="AC78" s="78"/>
      <c r="AD78" s="78"/>
      <c r="AE78" s="78"/>
      <c r="AF78" s="78"/>
      <c r="AG78" s="78"/>
      <c r="AH78" s="78"/>
      <c r="AI78" s="78"/>
      <c r="AJ78" s="78"/>
      <c r="AK78" s="78"/>
      <c r="AL78" s="78"/>
      <c r="AM78" s="78"/>
      <c r="AN78" s="78"/>
      <c r="AO78" s="78"/>
      <c r="AP78" s="78"/>
    </row>
    <row r="79" spans="1:43" x14ac:dyDescent="0.25">
      <c r="W79" s="78"/>
      <c r="X79" s="78"/>
      <c r="Y79" s="78"/>
      <c r="Z79" s="78"/>
      <c r="AA79" s="78"/>
      <c r="AB79" s="78"/>
      <c r="AC79" s="78"/>
      <c r="AD79" s="78"/>
      <c r="AE79" s="78"/>
      <c r="AF79" s="78"/>
      <c r="AG79" s="78"/>
      <c r="AH79" s="78"/>
      <c r="AI79" s="78"/>
      <c r="AJ79" s="78"/>
      <c r="AK79" s="78"/>
      <c r="AL79" s="78"/>
      <c r="AM79" s="78"/>
      <c r="AN79" s="78"/>
      <c r="AO79" s="78"/>
      <c r="AP79" s="78"/>
    </row>
    <row r="80" spans="1:43" x14ac:dyDescent="0.25">
      <c r="W80" s="78"/>
      <c r="X80" s="78"/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  <c r="AJ80" s="78"/>
      <c r="AK80" s="78"/>
      <c r="AL80" s="78"/>
      <c r="AM80" s="78"/>
      <c r="AN80" s="78"/>
      <c r="AO80" s="78"/>
      <c r="AP80" s="78"/>
    </row>
    <row r="81" spans="1:42" x14ac:dyDescent="0.25"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  <c r="AJ81" s="78"/>
      <c r="AK81" s="78"/>
      <c r="AL81" s="78"/>
      <c r="AM81" s="78"/>
      <c r="AN81" s="78"/>
      <c r="AO81" s="78"/>
      <c r="AP81" s="78"/>
    </row>
    <row r="82" spans="1:42" x14ac:dyDescent="0.25"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8"/>
      <c r="AH82" s="78"/>
      <c r="AI82" s="78"/>
      <c r="AJ82" s="78"/>
      <c r="AK82" s="78"/>
      <c r="AL82" s="78"/>
      <c r="AM82" s="78"/>
      <c r="AN82" s="78"/>
      <c r="AO82" s="78"/>
      <c r="AP82" s="78"/>
    </row>
    <row r="83" spans="1:42" x14ac:dyDescent="0.25"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</row>
    <row r="84" spans="1:42" x14ac:dyDescent="0.25"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</row>
    <row r="85" spans="1:42" x14ac:dyDescent="0.25"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</row>
    <row r="86" spans="1:42" x14ac:dyDescent="0.25"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8"/>
      <c r="AO86" s="78"/>
      <c r="AP86" s="78"/>
    </row>
    <row r="87" spans="1:42" x14ac:dyDescent="0.25"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  <c r="AN87" s="78"/>
      <c r="AO87" s="78"/>
      <c r="AP87" s="78"/>
    </row>
    <row r="95" spans="1:42" ht="13" x14ac:dyDescent="0.3">
      <c r="A95" s="4"/>
    </row>
  </sheetData>
  <sheetProtection algorithmName="SHA-512" hashValue="X6eud+pCExAkcvicdYhPSZWkghzCmmzPa6XDkPShC2A0sx/nweLdizgPhevSZ1ydhlDcsK7HKW8eTocwo3p9SQ==" saltValue="7pcGeH7hW8QfCumcxXeHYg==" spinCount="100000" sheet="1" objects="1" scenarios="1"/>
  <mergeCells count="27">
    <mergeCell ref="A1:C1"/>
    <mergeCell ref="H1:L1"/>
    <mergeCell ref="A2:C2"/>
    <mergeCell ref="A3:C3"/>
    <mergeCell ref="B4:F4"/>
    <mergeCell ref="G4:J4"/>
    <mergeCell ref="L4:O4"/>
    <mergeCell ref="I2:J2"/>
    <mergeCell ref="Q4:T4"/>
    <mergeCell ref="V4:Y4"/>
    <mergeCell ref="AA4:AD4"/>
    <mergeCell ref="AF4:AI4"/>
    <mergeCell ref="AG39:AK39"/>
    <mergeCell ref="A28:C28"/>
    <mergeCell ref="A29:C29"/>
    <mergeCell ref="A30:C30"/>
    <mergeCell ref="D32:E32"/>
    <mergeCell ref="H32:I32"/>
    <mergeCell ref="A37:C37"/>
    <mergeCell ref="D31:E31"/>
    <mergeCell ref="H31:I31"/>
    <mergeCell ref="A36:E36"/>
    <mergeCell ref="N32:O32"/>
    <mergeCell ref="A33:C33"/>
    <mergeCell ref="G33:H33"/>
    <mergeCell ref="A34:B34"/>
    <mergeCell ref="N31:O31"/>
  </mergeCells>
  <conditionalFormatting sqref="A6:A17">
    <cfRule type="cellIs" dxfId="1127" priority="373" operator="equal">
      <formula>0</formula>
    </cfRule>
  </conditionalFormatting>
  <conditionalFormatting sqref="A37">
    <cfRule type="cellIs" dxfId="1126" priority="253" operator="notEqual">
      <formula>$E$2</formula>
    </cfRule>
    <cfRule type="cellIs" dxfId="1125" priority="254" operator="equal">
      <formula>$E$2</formula>
    </cfRule>
  </conditionalFormatting>
  <conditionalFormatting sqref="A32:D32 F32:H32 C34">
    <cfRule type="cellIs" dxfId="1124" priority="251" operator="notEqual">
      <formula>$E$3</formula>
    </cfRule>
    <cfRule type="cellIs" dxfId="1123" priority="252" operator="equal">
      <formula>$E$3</formula>
    </cfRule>
  </conditionalFormatting>
  <conditionalFormatting sqref="B6:D17">
    <cfRule type="expression" dxfId="1122" priority="112">
      <formula>$A6=0</formula>
    </cfRule>
  </conditionalFormatting>
  <conditionalFormatting sqref="E6:E17">
    <cfRule type="expression" dxfId="1121" priority="116">
      <formula>AND($H$67="ja",E6&gt;$A$67)</formula>
    </cfRule>
    <cfRule type="cellIs" dxfId="1120" priority="117" operator="greaterThanOrEqual">
      <formula>0</formula>
    </cfRule>
  </conditionalFormatting>
  <conditionalFormatting sqref="F6:F17">
    <cfRule type="cellIs" dxfId="1119" priority="31" operator="lessThan">
      <formula>$A$45</formula>
    </cfRule>
    <cfRule type="cellIs" dxfId="1118" priority="32" operator="equal">
      <formula>0</formula>
    </cfRule>
    <cfRule type="cellIs" dxfId="1117" priority="33" operator="notEqual">
      <formula>0</formula>
    </cfRule>
  </conditionalFormatting>
  <conditionalFormatting sqref="G6:I17">
    <cfRule type="expression" dxfId="1116" priority="52">
      <formula>$A6=0</formula>
    </cfRule>
  </conditionalFormatting>
  <conditionalFormatting sqref="J6:J17">
    <cfRule type="expression" dxfId="1115" priority="104">
      <formula>AND($H$67="ja",J6&gt;$A$67)</formula>
    </cfRule>
    <cfRule type="cellIs" dxfId="1114" priority="105" operator="greaterThanOrEqual">
      <formula>0</formula>
    </cfRule>
  </conditionalFormatting>
  <conditionalFormatting sqref="J32:N32">
    <cfRule type="cellIs" dxfId="1113" priority="249" operator="notEqual">
      <formula>$E$3</formula>
    </cfRule>
    <cfRule type="cellIs" dxfId="1112" priority="250" operator="equal">
      <formula>$E$3</formula>
    </cfRule>
  </conditionalFormatting>
  <conditionalFormatting sqref="K6:K17">
    <cfRule type="cellIs" dxfId="1111" priority="28" operator="lessThan">
      <formula>$A$45</formula>
    </cfRule>
    <cfRule type="cellIs" dxfId="1110" priority="29" operator="equal">
      <formula>0</formula>
    </cfRule>
    <cfRule type="cellIs" dxfId="1109" priority="30" operator="notEqual">
      <formula>0</formula>
    </cfRule>
  </conditionalFormatting>
  <conditionalFormatting sqref="L6:N17">
    <cfRule type="expression" dxfId="1108" priority="48">
      <formula>$A6=0</formula>
    </cfRule>
  </conditionalFormatting>
  <conditionalFormatting sqref="O6:O17">
    <cfRule type="cellIs" dxfId="1107" priority="97" operator="greaterThanOrEqual">
      <formula>0</formula>
    </cfRule>
    <cfRule type="expression" dxfId="1106" priority="96">
      <formula>AND($H$67="ja",O6&gt;$A$67)</formula>
    </cfRule>
  </conditionalFormatting>
  <conditionalFormatting sqref="P6:P17">
    <cfRule type="cellIs" dxfId="1105" priority="22" operator="lessThan">
      <formula>$A$45</formula>
    </cfRule>
    <cfRule type="cellIs" dxfId="1104" priority="23" operator="equal">
      <formula>0</formula>
    </cfRule>
    <cfRule type="cellIs" dxfId="1103" priority="24" operator="notEqual">
      <formula>0</formula>
    </cfRule>
  </conditionalFormatting>
  <conditionalFormatting sqref="Q6:S17">
    <cfRule type="expression" dxfId="1102" priority="47">
      <formula>$A6=0</formula>
    </cfRule>
  </conditionalFormatting>
  <conditionalFormatting sqref="T6:T17">
    <cfRule type="cellIs" dxfId="1101" priority="89" operator="greaterThanOrEqual">
      <formula>0</formula>
    </cfRule>
    <cfRule type="expression" dxfId="1100" priority="88">
      <formula>AND($H$67="ja",T6&gt;$A$67)</formula>
    </cfRule>
  </conditionalFormatting>
  <conditionalFormatting sqref="U6:U17">
    <cfRule type="cellIs" dxfId="1099" priority="17" operator="equal">
      <formula>0</formula>
    </cfRule>
    <cfRule type="cellIs" dxfId="1098" priority="16" operator="lessThan">
      <formula>$A$45</formula>
    </cfRule>
    <cfRule type="cellIs" dxfId="1097" priority="18" operator="notEqual">
      <formula>0</formula>
    </cfRule>
  </conditionalFormatting>
  <conditionalFormatting sqref="V6:X17">
    <cfRule type="expression" dxfId="1096" priority="46">
      <formula>$A6=0</formula>
    </cfRule>
  </conditionalFormatting>
  <conditionalFormatting sqref="Y6:Y17 AD6:AD17 AI6:AI17">
    <cfRule type="expression" dxfId="1095" priority="59">
      <formula>AND($H$67="ja",Y6&gt;$A$67)</formula>
    </cfRule>
    <cfRule type="cellIs" dxfId="1094" priority="60" operator="greaterThanOrEqual">
      <formula>0</formula>
    </cfRule>
  </conditionalFormatting>
  <conditionalFormatting sqref="Z6:Z17">
    <cfRule type="cellIs" dxfId="1093" priority="11" operator="equal">
      <formula>0</formula>
    </cfRule>
    <cfRule type="cellIs" dxfId="1092" priority="10" operator="lessThan">
      <formula>$A$45</formula>
    </cfRule>
    <cfRule type="cellIs" dxfId="1091" priority="12" operator="notEqual">
      <formula>0</formula>
    </cfRule>
  </conditionalFormatting>
  <conditionalFormatting sqref="AA6:AC17">
    <cfRule type="expression" dxfId="1090" priority="43">
      <formula>$A6=0</formula>
    </cfRule>
  </conditionalFormatting>
  <conditionalFormatting sqref="AE6:AE17">
    <cfRule type="cellIs" dxfId="1089" priority="5" operator="equal">
      <formula>0</formula>
    </cfRule>
    <cfRule type="cellIs" dxfId="1088" priority="4" operator="lessThan">
      <formula>$A$45</formula>
    </cfRule>
    <cfRule type="cellIs" dxfId="1087" priority="6" operator="notEqual">
      <formula>0</formula>
    </cfRule>
  </conditionalFormatting>
  <conditionalFormatting sqref="AF6:AH17">
    <cfRule type="expression" dxfId="1086" priority="34">
      <formula>$A6=0</formula>
    </cfRule>
  </conditionalFormatting>
  <conditionalFormatting sqref="AJ6:AJ17">
    <cfRule type="cellIs" dxfId="1085" priority="3" operator="notEqual">
      <formula>0</formula>
    </cfRule>
    <cfRule type="cellIs" dxfId="1084" priority="2" operator="equal">
      <formula>0</formula>
    </cfRule>
    <cfRule type="cellIs" dxfId="1083" priority="1" operator="lessThan">
      <formula>$A$45</formula>
    </cfRule>
  </conditionalFormatting>
  <conditionalFormatting sqref="AK6:AK17">
    <cfRule type="expression" dxfId="1082" priority="58">
      <formula>AND($H$70="ja",AK6&gt;$A$70)</formula>
    </cfRule>
    <cfRule type="cellIs" dxfId="1081" priority="61" operator="greaterThanOrEqual">
      <formula>0</formula>
    </cfRule>
  </conditionalFormatting>
  <dataValidations disablePrompts="1" count="1">
    <dataValidation type="list" allowBlank="1" showInputMessage="1" showErrorMessage="1" sqref="H67 H70" xr:uid="{00000000-0002-0000-0300-000000000000}">
      <formula1>Ja_og_nei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AQ95"/>
  <sheetViews>
    <sheetView zoomScaleNormal="100" workbookViewId="0">
      <pane ySplit="24" topLeftCell="A25" activePane="bottomLeft" state="frozen"/>
      <selection pane="bottomLeft" activeCell="B6" sqref="B6"/>
    </sheetView>
  </sheetViews>
  <sheetFormatPr defaultColWidth="9.08984375" defaultRowHeight="12.5" x14ac:dyDescent="0.25"/>
  <cols>
    <col min="1" max="1" width="10.7265625" style="3" customWidth="1"/>
    <col min="2" max="2" width="7.6328125" style="3" customWidth="1"/>
    <col min="3" max="3" width="7.81640625" style="3" customWidth="1"/>
    <col min="4" max="4" width="4.36328125" style="3" bestFit="1" customWidth="1"/>
    <col min="5" max="6" width="10" style="3" customWidth="1"/>
    <col min="7" max="7" width="7" style="3" customWidth="1"/>
    <col min="8" max="8" width="7.6328125" style="3" customWidth="1"/>
    <col min="9" max="9" width="4.36328125" style="3" bestFit="1" customWidth="1"/>
    <col min="10" max="11" width="10" style="3" customWidth="1"/>
    <col min="12" max="12" width="7.26953125" style="3" customWidth="1"/>
    <col min="13" max="13" width="7.7265625" style="3" customWidth="1"/>
    <col min="14" max="14" width="4.36328125" style="3" bestFit="1" customWidth="1"/>
    <col min="15" max="15" width="10.08984375" style="3" bestFit="1" customWidth="1"/>
    <col min="16" max="16" width="10.08984375" style="3" customWidth="1"/>
    <col min="17" max="17" width="7.6328125" style="3" customWidth="1"/>
    <col min="18" max="18" width="7.7265625" style="3" customWidth="1"/>
    <col min="19" max="19" width="4.36328125" style="3" bestFit="1" customWidth="1"/>
    <col min="20" max="20" width="10.08984375" style="3" bestFit="1" customWidth="1"/>
    <col min="21" max="21" width="10.08984375" style="3" customWidth="1"/>
    <col min="22" max="22" width="8.36328125" style="3" customWidth="1"/>
    <col min="23" max="23" width="8.81640625" style="3" customWidth="1"/>
    <col min="24" max="24" width="4.36328125" style="3" bestFit="1" customWidth="1"/>
    <col min="25" max="26" width="10" style="3" customWidth="1"/>
    <col min="27" max="28" width="7.81640625" style="3" customWidth="1"/>
    <col min="29" max="29" width="4.36328125" style="3" bestFit="1" customWidth="1"/>
    <col min="30" max="31" width="9.7265625" style="3" customWidth="1"/>
    <col min="32" max="32" width="6.81640625" style="3" customWidth="1"/>
    <col min="33" max="33" width="7.6328125" style="3" customWidth="1"/>
    <col min="34" max="34" width="4.36328125" style="3" bestFit="1" customWidth="1"/>
    <col min="35" max="36" width="9.6328125" style="3" customWidth="1"/>
    <col min="37" max="37" width="15.36328125" style="3" bestFit="1" customWidth="1"/>
    <col min="38" max="16384" width="9.08984375" style="3"/>
  </cols>
  <sheetData>
    <row r="1" spans="1:39" ht="13" x14ac:dyDescent="0.3">
      <c r="A1" s="98" t="s">
        <v>66</v>
      </c>
      <c r="B1" s="98"/>
      <c r="C1" s="98"/>
      <c r="D1" s="88"/>
      <c r="E1" s="5" t="str">
        <f>Vaktplan!G38</f>
        <v>mandag</v>
      </c>
      <c r="H1" s="98" t="s">
        <v>67</v>
      </c>
      <c r="I1" s="98"/>
      <c r="J1" s="98"/>
      <c r="K1" s="98"/>
      <c r="L1" s="98"/>
      <c r="M1" s="5">
        <f>Vaktplan!AJ43</f>
        <v>12</v>
      </c>
    </row>
    <row r="2" spans="1:39" ht="13" x14ac:dyDescent="0.3">
      <c r="A2" s="98" t="s">
        <v>36</v>
      </c>
      <c r="B2" s="98"/>
      <c r="C2" s="98"/>
      <c r="D2" s="88"/>
      <c r="E2" s="8">
        <f>Vaktplan!AM43</f>
        <v>0</v>
      </c>
      <c r="I2" s="106"/>
      <c r="J2" s="106"/>
    </row>
    <row r="3" spans="1:39" ht="13" x14ac:dyDescent="0.3">
      <c r="A3" s="98" t="s">
        <v>68</v>
      </c>
      <c r="B3" s="98"/>
      <c r="C3" s="98"/>
      <c r="D3" s="88"/>
      <c r="E3" s="5">
        <f>Vaktplan!AQ43</f>
        <v>0</v>
      </c>
      <c r="F3" s="4" t="s">
        <v>69</v>
      </c>
    </row>
    <row r="4" spans="1:39" ht="13" x14ac:dyDescent="0.3">
      <c r="A4" s="89" t="s">
        <v>70</v>
      </c>
      <c r="B4" s="103" t="str">
        <f>TEXT(AG39,"DDDD")</f>
        <v>Monday</v>
      </c>
      <c r="C4" s="104"/>
      <c r="D4" s="104"/>
      <c r="E4" s="104"/>
      <c r="F4" s="105"/>
      <c r="G4" s="102" t="str">
        <f>TEXT($AG$39+1,"DDDD")</f>
        <v>Tuesday</v>
      </c>
      <c r="H4" s="102"/>
      <c r="I4" s="102"/>
      <c r="J4" s="102"/>
      <c r="K4" s="89"/>
      <c r="L4" s="102" t="str">
        <f>TEXT($AG$39+2,"DDDD")</f>
        <v>Wednesday</v>
      </c>
      <c r="M4" s="102"/>
      <c r="N4" s="102"/>
      <c r="O4" s="102"/>
      <c r="P4" s="89"/>
      <c r="Q4" s="102" t="str">
        <f>TEXT($AG$39+3,"DDDD")</f>
        <v>Thursday</v>
      </c>
      <c r="R4" s="102"/>
      <c r="S4" s="102"/>
      <c r="T4" s="102"/>
      <c r="U4" s="89"/>
      <c r="V4" s="102" t="str">
        <f>TEXT($AG$39+4,"DDDD")</f>
        <v>Friday</v>
      </c>
      <c r="W4" s="102"/>
      <c r="X4" s="102"/>
      <c r="Y4" s="102"/>
      <c r="Z4" s="89"/>
      <c r="AA4" s="102" t="str">
        <f>TEXT($AG$39+5,"DDDD")</f>
        <v>Saturday</v>
      </c>
      <c r="AB4" s="102"/>
      <c r="AC4" s="102"/>
      <c r="AD4" s="102"/>
      <c r="AE4" s="89"/>
      <c r="AF4" s="102" t="str">
        <f>TEXT($AG$39+6,"DDDD")</f>
        <v>Sunday</v>
      </c>
      <c r="AG4" s="102"/>
      <c r="AH4" s="102"/>
      <c r="AI4" s="102"/>
      <c r="AJ4" s="89"/>
      <c r="AK4" s="7" t="s">
        <v>71</v>
      </c>
    </row>
    <row r="5" spans="1:39" x14ac:dyDescent="0.25">
      <c r="A5" s="6"/>
      <c r="B5" s="6" t="s">
        <v>72</v>
      </c>
      <c r="C5" s="6" t="s">
        <v>73</v>
      </c>
      <c r="D5" s="6" t="s">
        <v>55</v>
      </c>
      <c r="E5" s="6" t="s">
        <v>74</v>
      </c>
      <c r="F5" s="6" t="s">
        <v>75</v>
      </c>
      <c r="G5" s="6" t="s">
        <v>72</v>
      </c>
      <c r="H5" s="6" t="s">
        <v>73</v>
      </c>
      <c r="I5" s="6" t="s">
        <v>55</v>
      </c>
      <c r="J5" s="6" t="s">
        <v>74</v>
      </c>
      <c r="K5" s="6" t="s">
        <v>75</v>
      </c>
      <c r="L5" s="6" t="s">
        <v>72</v>
      </c>
      <c r="M5" s="6" t="s">
        <v>73</v>
      </c>
      <c r="N5" s="6" t="s">
        <v>55</v>
      </c>
      <c r="O5" s="6" t="s">
        <v>74</v>
      </c>
      <c r="P5" s="6" t="s">
        <v>75</v>
      </c>
      <c r="Q5" s="6" t="s">
        <v>72</v>
      </c>
      <c r="R5" s="6" t="s">
        <v>73</v>
      </c>
      <c r="S5" s="6" t="s">
        <v>55</v>
      </c>
      <c r="T5" s="6" t="s">
        <v>74</v>
      </c>
      <c r="U5" s="6" t="s">
        <v>75</v>
      </c>
      <c r="V5" s="6" t="s">
        <v>72</v>
      </c>
      <c r="W5" s="6" t="s">
        <v>73</v>
      </c>
      <c r="X5" s="6" t="s">
        <v>55</v>
      </c>
      <c r="Y5" s="6" t="s">
        <v>74</v>
      </c>
      <c r="Z5" s="6" t="s">
        <v>75</v>
      </c>
      <c r="AA5" s="6" t="s">
        <v>72</v>
      </c>
      <c r="AB5" s="6" t="s">
        <v>73</v>
      </c>
      <c r="AC5" s="6" t="s">
        <v>55</v>
      </c>
      <c r="AD5" s="6" t="s">
        <v>74</v>
      </c>
      <c r="AE5" s="6" t="s">
        <v>75</v>
      </c>
      <c r="AF5" s="6" t="s">
        <v>72</v>
      </c>
      <c r="AG5" s="6" t="s">
        <v>73</v>
      </c>
      <c r="AH5" s="6" t="s">
        <v>55</v>
      </c>
      <c r="AI5" s="6" t="s">
        <v>74</v>
      </c>
      <c r="AJ5" s="6" t="s">
        <v>75</v>
      </c>
      <c r="AK5" s="6"/>
    </row>
    <row r="6" spans="1:39" ht="13" x14ac:dyDescent="0.25">
      <c r="A6" s="7">
        <f>IF(M1&gt;=1,1,0)</f>
        <v>1</v>
      </c>
      <c r="B6" s="77">
        <f>IFERROR(VLOOKUP(Vaktplan!$A$43,Vaktplan!$A$4:$CL$35,87-AH59,FALSE),0)</f>
        <v>0</v>
      </c>
      <c r="C6" s="77">
        <f>IFERROR(VLOOKUP(Vaktplan!$A$43,Vaktplan!$A$4:$CL$35,87-AG59,FALSE),0)</f>
        <v>0</v>
      </c>
      <c r="D6" s="9">
        <f>IFERROR(VLOOKUP(Vaktplan!$A$43,Vaktplan!$A$4:$CL$35,89-AG59,FALSE),0)</f>
        <v>0</v>
      </c>
      <c r="E6" s="9">
        <f>IF(AND(B6=0,C6=0),0,IF(B6&lt;C6,((C6-B6)*24)-D6,(((1-B6)+C6)*24)-D6))</f>
        <v>0</v>
      </c>
      <c r="F6" s="9">
        <f>IF(AND(C6=0,G6=0),24,IF(C6=0,12+(G6*24),IF(C6&lt;G6,((G6-C6)*24),IF(G6=0,(1-C6+0.5)*24,((1-C6)+G6)*24))))</f>
        <v>24</v>
      </c>
      <c r="G6" s="77">
        <f>IFERROR(VLOOKUP(Vaktplan!$A$43,Vaktplan!$B$4:$CL$35,86-AH59,FALSE),0)</f>
        <v>0</v>
      </c>
      <c r="H6" s="77">
        <f>IFERROR(VLOOKUP(Vaktplan!$A$43,Vaktplan!$B$4:$CL$35,86-AG59,FALSE),0)</f>
        <v>0</v>
      </c>
      <c r="I6" s="9">
        <f>IFERROR(VLOOKUP(Vaktplan!$A$43,Vaktplan!$B$4:$CL$35,89-$AH59,FALSE),0)</f>
        <v>0</v>
      </c>
      <c r="J6" s="9">
        <f>IF(AND(G6=0,H6=0),0,IF(G6&lt;H6,((H6-G6)*24)-I6,(((1-G6)+H6)*24)-I6))</f>
        <v>0</v>
      </c>
      <c r="K6" s="9">
        <f>IF(AND(H6=0,L6=0),24,IF(H6=0,12+(L6*24),IF(H6&lt;L6,((L6-H6)*24),IF(L6=0,(1-H6+0.5)*24,((1-H6)+L6)*24))))</f>
        <v>24</v>
      </c>
      <c r="L6" s="77">
        <f>IFERROR(VLOOKUP(Vaktplan!$A$43,Vaktplan!$C$4:$CL$35,86-AI59,FALSE),0)</f>
        <v>0</v>
      </c>
      <c r="M6" s="77">
        <f>IFERROR(VLOOKUP(Vaktplan!$A$43,Vaktplan!$C$4:$CL$35,86-AH59,FALSE),0)</f>
        <v>0</v>
      </c>
      <c r="N6" s="9">
        <f>IFERROR(VLOOKUP(Vaktplan!$A$43,Vaktplan!$C$4:$CL$35,89-$AI59,FALSE),0)</f>
        <v>0</v>
      </c>
      <c r="O6" s="9">
        <f>IF(AND(L6=0,M6=0),0,IF(L6&lt;M6,((M6-L6)*24)-N6,(((1-L6)+M6)*24)-N6))</f>
        <v>0</v>
      </c>
      <c r="P6" s="9">
        <f>IF(AND(M6=0,Q6=0),24,IF(M6=0,12+(Q6*24),IF(M6&lt;Q6,((Q6-M6)*24),IF(Q6=0,(1-M6+0.5)*24,((1-M6)+Q6)*24))))</f>
        <v>24</v>
      </c>
      <c r="Q6" s="77">
        <f>IFERROR(VLOOKUP(Vaktplan!$A$43,Vaktplan!$D$4:$CL$35,86-AJ59,FALSE),0)</f>
        <v>0</v>
      </c>
      <c r="R6" s="77">
        <f>IFERROR(VLOOKUP(Vaktplan!$A$43,Vaktplan!$D$4:$CL$35,86-AI59,FALSE),0)</f>
        <v>0</v>
      </c>
      <c r="S6" s="9">
        <f>IFERROR(VLOOKUP(Vaktplan!$A$43,Vaktplan!$D$4:$CL$35,89-$AJ59,FALSE),0)</f>
        <v>0</v>
      </c>
      <c r="T6" s="9">
        <f t="shared" ref="T6:T17" si="0">IF(AND(Q6=0,R6=0),0,IF(Q6&lt;R6,((R6-Q6)*24)-S6,(((1-Q6)+R6)*24)-S6))</f>
        <v>0</v>
      </c>
      <c r="U6" s="9">
        <f>IF(AND(R6=0,V6=0),24,IF(R6=0,12+(V6*24),IF(R6&lt;V6,((V6-R6)*24),IF(V6=0,(1-R6+0.5)*24,((1-R6)+V6)*24))))</f>
        <v>24</v>
      </c>
      <c r="V6" s="77">
        <f>IFERROR(VLOOKUP(Vaktplan!$A$43,Vaktplan!$E$4:$CL$35,86-AK59,FALSE),0)</f>
        <v>0</v>
      </c>
      <c r="W6" s="77">
        <f>IFERROR(VLOOKUP(Vaktplan!$A$43,Vaktplan!$E$4:$CL$35,86-AJ59,FALSE),0)</f>
        <v>0</v>
      </c>
      <c r="X6" s="9">
        <f>IFERROR(VLOOKUP(Vaktplan!$A$43,Vaktplan!$E$4:$CL$35,89-$AK59,FALSE),0)</f>
        <v>0</v>
      </c>
      <c r="Y6" s="9">
        <f>IF(AND(V6=0,W6=0),0,IF(V6&lt;W6,((W6-V6)*24)-X6,(((1-V6)+W6)*24)-X6))</f>
        <v>0</v>
      </c>
      <c r="Z6" s="9">
        <f>IF(AND(W6=0,AA6=0),24,IF(W6=0,12+(AA6*24),IF(W6&lt;AA6,((AA6-W6)*24),IF(AA6=0,(1-W6+0.5)*24,((1-W6)+AA6)*24))))</f>
        <v>24</v>
      </c>
      <c r="AA6" s="77">
        <f>IFERROR(VLOOKUP(Vaktplan!$A$43,Vaktplan!$F$4:$CL$35,86-AL59,FALSE),0)</f>
        <v>0</v>
      </c>
      <c r="AB6" s="77">
        <f>IFERROR(VLOOKUP(Vaktplan!$A$43,Vaktplan!$F$4:$CL$35,86-AK59,FALSE),0)</f>
        <v>0</v>
      </c>
      <c r="AC6" s="9">
        <f>IFERROR(VLOOKUP(Vaktplan!$A$43,Vaktplan!$F$4:$CL$35,89-$AL59,FALSE),0)</f>
        <v>0</v>
      </c>
      <c r="AD6" s="9">
        <f>IF(AND(AA6=0,AB6=0),0,IF(AA6&lt;AB6,((AB6-AA6)*24)-AC6,(((1-AA6)+AB6)*24)-AC6))</f>
        <v>0</v>
      </c>
      <c r="AE6" s="9">
        <f>IF(AND(AB6=0,AF6=0),24,IF(AB6=0,12+(AF6*24),IF(AB6&lt;AF6,((AF6-AB6)*24),IF(AF6=0,(1-AB6+0.5)*24,((1-AB6)+AF6)*24))))</f>
        <v>24</v>
      </c>
      <c r="AF6" s="77">
        <f>IFERROR(VLOOKUP(Vaktplan!$A$43,Vaktplan!$G$4:$CL$35,86-AM59,FALSE),0)</f>
        <v>0</v>
      </c>
      <c r="AG6" s="77">
        <f>IFERROR(VLOOKUP(Vaktplan!$A$43,Vaktplan!$G$4:$CL$35,86-AL59,FALSE),0)</f>
        <v>0</v>
      </c>
      <c r="AH6" s="9">
        <f>IFERROR(VLOOKUP(Vaktplan!$A$43,Vaktplan!$G$4:$CL$35,89-$AM59,FALSE),0)</f>
        <v>0</v>
      </c>
      <c r="AI6" s="9">
        <f>IF(AND(AF6=0,AG6=0),0,IF(AF6&lt;AG6,((AG6-AF6)*24)-AH6,(((1-AF6)+AG6)*24)-AH6))</f>
        <v>0</v>
      </c>
      <c r="AJ6" s="9">
        <f>IF($M$1=AL28,IF(AND(AG6=0,B6=0),24,IF(AG6=0,12+($B$6*24),IF(AG6&lt;$B$6,(($B$6-AG6)*24),IF($B$6=0,(1-AG6+1)*24,((1-AG6)+$B$6)*24)))),IF(AND(AG6=0,B7=0),24,IF(AG6=0,12+(B7*24),IF(AG6&lt;B7,((B7-AG6)*24),IF(B7=0,(1-AG6+1)*24,((1-AG6)+B7)*24)))))</f>
        <v>24</v>
      </c>
      <c r="AK6" s="9">
        <f t="shared" ref="AK6:AK17" si="1">E6+J6+O6+T6+Y6+AD6+AI6</f>
        <v>0</v>
      </c>
      <c r="AL6" s="10">
        <f>AJ6</f>
        <v>24</v>
      </c>
      <c r="AM6" s="10">
        <f>AK6</f>
        <v>0</v>
      </c>
    </row>
    <row r="7" spans="1:39" ht="13" x14ac:dyDescent="0.25">
      <c r="A7" s="7">
        <f>IF($M$1&gt;=2,2,0)</f>
        <v>2</v>
      </c>
      <c r="B7" s="77">
        <f>IFERROR(VLOOKUP(Vaktplan!$A$43,Vaktplan!$H$4:$CL$35,87-AH60,FALSE),0)</f>
        <v>0</v>
      </c>
      <c r="C7" s="77">
        <f>IFERROR(VLOOKUP(Vaktplan!$A$43,Vaktplan!$H$4:$CL$35,87-AG60,FALSE),0)</f>
        <v>0</v>
      </c>
      <c r="D7" s="9">
        <f>IFERROR(VLOOKUP(Vaktplan!$A$43,Vaktplan!$H$4:$CL$35,89-AG60,FALSE),0)</f>
        <v>0</v>
      </c>
      <c r="E7" s="9">
        <f>IF(AND(B7=0,C7=0),0,IF(B7&lt;C7,((C7-B7)*24)-D7,(((1-B7)+C7)*24)-D7))</f>
        <v>0</v>
      </c>
      <c r="F7" s="9">
        <f t="shared" ref="F7:F17" si="2">IF(AND(C7=0,G7=0),24,IF(C7=0,12+(G7*24),IF(C7&lt;G7,((G7-C7)*24),IF(G7=0,(1-C7+0.5)*24,((1-C7)+G7)*24))))</f>
        <v>24</v>
      </c>
      <c r="G7" s="77">
        <f>IFERROR(VLOOKUP(Vaktplan!$A$43,Vaktplan!$I$4:$CL$35,86-AH60,FALSE),0)</f>
        <v>0</v>
      </c>
      <c r="H7" s="77">
        <f>IFERROR(VLOOKUP(Vaktplan!$A$43,Vaktplan!$I$4:$CL$35,86-AG60,FALSE),0)</f>
        <v>0</v>
      </c>
      <c r="I7" s="9">
        <f>IFERROR(VLOOKUP(Vaktplan!$A$43,Vaktplan!$I$4:$CL$35,89-$AH60,FALSE),0)</f>
        <v>0</v>
      </c>
      <c r="J7" s="9">
        <f t="shared" ref="J7:J17" si="3">IF(AND(G7=0,H7=0),0,IF(G7&lt;H7,((H7-G7)*24)-I7,(((1-G7)+H7)*24)-I7))</f>
        <v>0</v>
      </c>
      <c r="K7" s="9">
        <f t="shared" ref="K7:K17" si="4">IF(AND(H7=0,L7=0),24,IF(H7=0,12+(L7*24),IF(H7&lt;L7,((L7-H7)*24),IF(L7=0,(1-H7+0.5)*24,((1-H7)+L7)*24))))</f>
        <v>24</v>
      </c>
      <c r="L7" s="77">
        <f>IFERROR(VLOOKUP(Vaktplan!$A$43,Vaktplan!$J$4:$CL$35,86-AI60,FALSE),0)</f>
        <v>0</v>
      </c>
      <c r="M7" s="77">
        <f>IFERROR(VLOOKUP(Vaktplan!$A$43,Vaktplan!$J$4:$CL$35,86-AH60,FALSE),0)</f>
        <v>0</v>
      </c>
      <c r="N7" s="9">
        <f>IFERROR(VLOOKUP(Vaktplan!$A$43,Vaktplan!$J$4:$CL$35,89-$AI60,FALSE),0)</f>
        <v>0</v>
      </c>
      <c r="O7" s="9">
        <f t="shared" ref="O7:O17" si="5">IF(AND(L7=0,M7=0),0,IF(L7&lt;M7,((M7-L7)*24)-N7,(((1-L7)+M7)*24)-N7))</f>
        <v>0</v>
      </c>
      <c r="P7" s="9">
        <f t="shared" ref="P7:P17" si="6">IF(AND(M7=0,Q7=0),24,IF(M7=0,12+(Q7*24),IF(M7&lt;Q7,((Q7-M7)*24),IF(Q7=0,(1-M7+0.5)*24,((1-M7)+Q7)*24))))</f>
        <v>24</v>
      </c>
      <c r="Q7" s="77">
        <f>IFERROR(VLOOKUP(Vaktplan!$A$43,Vaktplan!$K$4:$CL$35,86-AJ60,FALSE),0)</f>
        <v>0</v>
      </c>
      <c r="R7" s="77">
        <f>IFERROR(VLOOKUP(Vaktplan!$A$43,Vaktplan!$K$4:$CL$35,86-AI60,FALSE),0)</f>
        <v>0</v>
      </c>
      <c r="S7" s="9">
        <f>IFERROR(VLOOKUP(Vaktplan!$A$43,Vaktplan!$K$4:$CL$35,89-$AJ60,FALSE),0)</f>
        <v>0</v>
      </c>
      <c r="T7" s="9">
        <f t="shared" si="0"/>
        <v>0</v>
      </c>
      <c r="U7" s="9">
        <f t="shared" ref="U7:U17" si="7">IF(AND(R7=0,V7=0),24,IF(R7=0,12+(V7*24),IF(R7&lt;V7,((V7-R7)*24),IF(V7=0,(1-R7+0.5)*24,((1-R7)+V7)*24))))</f>
        <v>24</v>
      </c>
      <c r="V7" s="77">
        <f>IFERROR(VLOOKUP(Vaktplan!$A$43,Vaktplan!$L$4:$CL$35,86-AK60,FALSE),0)</f>
        <v>0</v>
      </c>
      <c r="W7" s="77">
        <f>IFERROR(VLOOKUP(Vaktplan!$A$43,Vaktplan!$L$4:$CL$35,86-AJ60,FALSE),0)</f>
        <v>0</v>
      </c>
      <c r="X7" s="9">
        <f>IFERROR(VLOOKUP(Vaktplan!$A$43,Vaktplan!$L$4:$CL$35,89-$AK60,FALSE),0)</f>
        <v>0</v>
      </c>
      <c r="Y7" s="9">
        <f t="shared" ref="Y7:Y13" si="8">IF(AND(V7=0,W7=0),0,IF(V7&lt;W7,((W7-V7)*24)-X7,(((1-V7)+W7)*24)-X7))</f>
        <v>0</v>
      </c>
      <c r="Z7" s="9">
        <f t="shared" ref="Z7:Z17" si="9">IF(AND(W7=0,AA7=0),24,IF(W7=0,12+(AA7*24),IF(W7&lt;AA7,((AA7-W7)*24),IF(AA7=0,(1-W7+0.5)*24,((1-W7)+AA7)*24))))</f>
        <v>24</v>
      </c>
      <c r="AA7" s="77">
        <f>IFERROR(VLOOKUP(Vaktplan!$A$43,Vaktplan!$M$4:$CL$35,86-AL60,FALSE),0)</f>
        <v>0</v>
      </c>
      <c r="AB7" s="77">
        <f>IFERROR(VLOOKUP(Vaktplan!$A$43,Vaktplan!$M$4:$CL$35,86-AK60,FALSE),0)</f>
        <v>0</v>
      </c>
      <c r="AC7" s="9">
        <f>IFERROR(VLOOKUP(Vaktplan!$A$43,Vaktplan!$M$4:$CL$35,89-$AL60,FALSE),0)</f>
        <v>0</v>
      </c>
      <c r="AD7" s="9">
        <f t="shared" ref="AD7:AD13" si="10">IF(AND(AA7=0,AB7=0),0,IF(AA7&lt;AB7,((AB7-AA7)*24)-AC7,(((1-AA7)+AB7)*24)-AC7))</f>
        <v>0</v>
      </c>
      <c r="AE7" s="9">
        <f t="shared" ref="AE7:AE17" si="11">IF(AND(AB7=0,AF7=0),24,IF(AB7=0,12+(AF7*24),IF(AB7&lt;AF7,((AF7-AB7)*24),IF(AF7=0,(1-AB7+0.5)*24,((1-AB7)+AF7)*24))))</f>
        <v>24</v>
      </c>
      <c r="AF7" s="77">
        <f>IFERROR(VLOOKUP(Vaktplan!$A$43,Vaktplan!$N$4:$CL$35,86-AM60,FALSE),0)</f>
        <v>0</v>
      </c>
      <c r="AG7" s="77">
        <f>IFERROR(VLOOKUP(Vaktplan!$A$43,Vaktplan!$N$4:$CL$35,86-AL60,FALSE),0)</f>
        <v>0</v>
      </c>
      <c r="AH7" s="9">
        <f>IFERROR(VLOOKUP(Vaktplan!$A$43,Vaktplan!$N$4:$CL$35,89-$AM60,FALSE),0)</f>
        <v>0</v>
      </c>
      <c r="AI7" s="9">
        <f t="shared" ref="AI7:AI13" si="12">IF(AND(AF7=0,AG7=0),0,IF(AF7&lt;AG7,((AG7-AF7)*24)-AH7,(((1-AF7)+AG7)*24)-AH7))</f>
        <v>0</v>
      </c>
      <c r="AJ7" s="9">
        <f t="shared" ref="AJ7:AJ17" si="13">IF($M$1=AL29,IF(AND(AG7=0,B7=0),24,IF(AG7=0,12+($B$6*24),IF(AG7&lt;$B$6,(($B$6-AG7)*24),IF($B$6=0,(1-AG7+1)*24,((1-AG7)+$B$6)*24)))),IF(AND(AG7=0,B8=0),24,IF(AG7=0,12+(B8*24),IF(AG7&lt;B8,((B8-AG7)*24),IF(B8=0,(1-AG7+1)*24,((1-AG7)+B8)*24)))))</f>
        <v>24</v>
      </c>
      <c r="AK7" s="9">
        <f t="shared" si="1"/>
        <v>0</v>
      </c>
      <c r="AL7" s="10">
        <f t="shared" ref="AL7:AL13" si="14">AJ7</f>
        <v>24</v>
      </c>
      <c r="AM7" s="10">
        <f t="shared" ref="AM7:AM13" si="15">AK7</f>
        <v>0</v>
      </c>
    </row>
    <row r="8" spans="1:39" ht="13" x14ac:dyDescent="0.25">
      <c r="A8" s="7">
        <f>IF($M$1&gt;=3,3,0)</f>
        <v>3</v>
      </c>
      <c r="B8" s="77">
        <f>IFERROR(VLOOKUP(Vaktplan!$A$43,Vaktplan!$O$4:$CL$35,87-AH61,FALSE),0)</f>
        <v>0</v>
      </c>
      <c r="C8" s="77">
        <f>IFERROR(VLOOKUP(Vaktplan!$A$43,Vaktplan!$O$4:$CL$35,87-AG61,FALSE),0)</f>
        <v>0</v>
      </c>
      <c r="D8" s="9">
        <f>IFERROR(VLOOKUP(Vaktplan!$A$43,Vaktplan!$O$4:$CL$35,89-AG61,FALSE),0)</f>
        <v>0</v>
      </c>
      <c r="E8" s="9">
        <f t="shared" ref="E8:E17" si="16">IF(AND(B8=0,C8=0),0,IF(B8&lt;C8,((C8-B8)*24)-D8,(((1-B8)+C8)*24)-D8))</f>
        <v>0</v>
      </c>
      <c r="F8" s="9">
        <f t="shared" si="2"/>
        <v>24</v>
      </c>
      <c r="G8" s="77">
        <f>IFERROR(VLOOKUP(Vaktplan!$A$43,Vaktplan!$P$4:$CL$35,86-AH61,FALSE),0)</f>
        <v>0</v>
      </c>
      <c r="H8" s="77">
        <f>IFERROR(VLOOKUP(Vaktplan!$A$43,Vaktplan!$P$4:$CL$35,86-AG61,FALSE),0)</f>
        <v>0</v>
      </c>
      <c r="I8" s="9">
        <f>IFERROR(VLOOKUP(Vaktplan!$A$43,Vaktplan!$P$4:$CL$35,89-$AH61,FALSE),0)</f>
        <v>0</v>
      </c>
      <c r="J8" s="9">
        <f>IF(AND(G8=0,H8=0),0,IF(G8&lt;H8,((H8-G8)*24)-I8,(((1-G8)+H8)*24)-I8))</f>
        <v>0</v>
      </c>
      <c r="K8" s="9">
        <f t="shared" si="4"/>
        <v>24</v>
      </c>
      <c r="L8" s="77">
        <f>IFERROR(VLOOKUP(Vaktplan!$A$43,Vaktplan!$Q$4:$CL$35,86-AI61,FALSE),0)</f>
        <v>0</v>
      </c>
      <c r="M8" s="77">
        <f>IFERROR(VLOOKUP(Vaktplan!$A$43,Vaktplan!$Q$4:$CL$35,86-AH61,FALSE),0)</f>
        <v>0</v>
      </c>
      <c r="N8" s="9">
        <f>IFERROR(VLOOKUP(Vaktplan!$A$43,Vaktplan!$Q$4:$CL$35,89-$AI61,FALSE),0)</f>
        <v>0</v>
      </c>
      <c r="O8" s="9">
        <f t="shared" si="5"/>
        <v>0</v>
      </c>
      <c r="P8" s="9">
        <f t="shared" si="6"/>
        <v>24</v>
      </c>
      <c r="Q8" s="77">
        <f>IFERROR(VLOOKUP(Vaktplan!$A$43,Vaktplan!$R$4:$CL$35,86-AJ61,FALSE),0)</f>
        <v>0</v>
      </c>
      <c r="R8" s="77">
        <f>IFERROR(VLOOKUP(Vaktplan!$A$43,Vaktplan!$R$4:$CL$35,86-AI61,FALSE),0)</f>
        <v>0</v>
      </c>
      <c r="S8" s="9">
        <f>IFERROR(VLOOKUP(Vaktplan!$A$43,Vaktplan!$R$4:$CL$35,89-$AJ61,FALSE),0)</f>
        <v>0</v>
      </c>
      <c r="T8" s="9">
        <f t="shared" si="0"/>
        <v>0</v>
      </c>
      <c r="U8" s="9">
        <f t="shared" si="7"/>
        <v>24</v>
      </c>
      <c r="V8" s="77">
        <f>IFERROR(VLOOKUP(Vaktplan!$A$43,Vaktplan!$S$4:$CL$35,86-AK61,FALSE),0)</f>
        <v>0</v>
      </c>
      <c r="W8" s="77">
        <f>IFERROR(VLOOKUP(Vaktplan!$A$43,Vaktplan!$S$4:$CL$35,86-AJ61,FALSE),0)</f>
        <v>0</v>
      </c>
      <c r="X8" s="9">
        <f>IFERROR(VLOOKUP(Vaktplan!$A$43,Vaktplan!$S$4:$CL$35,89-$AK61,FALSE),0)</f>
        <v>0</v>
      </c>
      <c r="Y8" s="9">
        <f t="shared" si="8"/>
        <v>0</v>
      </c>
      <c r="Z8" s="9">
        <f t="shared" si="9"/>
        <v>24</v>
      </c>
      <c r="AA8" s="77">
        <f>IFERROR(VLOOKUP(Vaktplan!$A$43,Vaktplan!$T$4:$CL$35,86-AL61,FALSE),0)</f>
        <v>0</v>
      </c>
      <c r="AB8" s="77">
        <f>IFERROR(VLOOKUP(Vaktplan!$A$43,Vaktplan!$T$4:$CL$35,86-AK61,FALSE),0)</f>
        <v>0</v>
      </c>
      <c r="AC8" s="9">
        <f>IFERROR(VLOOKUP(Vaktplan!$A$43,Vaktplan!$T$4:$CL$35,89-$AL61,FALSE),0)</f>
        <v>0</v>
      </c>
      <c r="AD8" s="9">
        <f t="shared" si="10"/>
        <v>0</v>
      </c>
      <c r="AE8" s="9">
        <f t="shared" si="11"/>
        <v>24</v>
      </c>
      <c r="AF8" s="77">
        <f>IFERROR(VLOOKUP(Vaktplan!$A$43,Vaktplan!$U$4:$CL$35,86-AM61,FALSE),0)</f>
        <v>0</v>
      </c>
      <c r="AG8" s="77">
        <f>IFERROR(VLOOKUP(Vaktplan!$A$43,Vaktplan!$U$4:$CL$35,86-AL61,FALSE),0)</f>
        <v>0</v>
      </c>
      <c r="AH8" s="9">
        <f>IFERROR(VLOOKUP(Vaktplan!$A$43,Vaktplan!$U$4:$CL$35,89-$AM61,FALSE),0)</f>
        <v>0</v>
      </c>
      <c r="AI8" s="9">
        <f t="shared" si="12"/>
        <v>0</v>
      </c>
      <c r="AJ8" s="9">
        <f t="shared" si="13"/>
        <v>24</v>
      </c>
      <c r="AK8" s="9">
        <f t="shared" si="1"/>
        <v>0</v>
      </c>
      <c r="AL8" s="10">
        <f t="shared" si="14"/>
        <v>24</v>
      </c>
      <c r="AM8" s="10">
        <f t="shared" si="15"/>
        <v>0</v>
      </c>
    </row>
    <row r="9" spans="1:39" ht="13" x14ac:dyDescent="0.25">
      <c r="A9" s="7">
        <f>IF($M$1&gt;=4,4,0)</f>
        <v>4</v>
      </c>
      <c r="B9" s="77">
        <f>IFERROR(VLOOKUP(Vaktplan!$A$43,Vaktplan!$V$4:$CL$35,87-AH62,FALSE),0)</f>
        <v>0</v>
      </c>
      <c r="C9" s="77">
        <f>IFERROR(VLOOKUP(Vaktplan!$A$43,Vaktplan!$V$4:$CL$35,87-AG62,FALSE),0)</f>
        <v>0</v>
      </c>
      <c r="D9" s="9">
        <f>IFERROR(VLOOKUP(Vaktplan!$A$43,Vaktplan!$V$4:$CL$35,89-AG62,FALSE),0)</f>
        <v>0</v>
      </c>
      <c r="E9" s="9">
        <f t="shared" si="16"/>
        <v>0</v>
      </c>
      <c r="F9" s="9">
        <f t="shared" si="2"/>
        <v>24</v>
      </c>
      <c r="G9" s="77">
        <f>IFERROR(VLOOKUP(Vaktplan!$A$43,Vaktplan!$W$4:$CL$35,86-AH62,FALSE),0)</f>
        <v>0</v>
      </c>
      <c r="H9" s="77">
        <f>IFERROR(VLOOKUP(Vaktplan!$A$43,Vaktplan!$W$4:$CL$35,86-AG62,FALSE),0)</f>
        <v>0</v>
      </c>
      <c r="I9" s="9">
        <f>IFERROR(VLOOKUP(Vaktplan!$A$43,Vaktplan!$W$4:$CL$35,89-$AH62,FALSE),0)</f>
        <v>0</v>
      </c>
      <c r="J9" s="9">
        <f t="shared" si="3"/>
        <v>0</v>
      </c>
      <c r="K9" s="9">
        <f t="shared" si="4"/>
        <v>24</v>
      </c>
      <c r="L9" s="77">
        <f>IFERROR(VLOOKUP(Vaktplan!$A$43,Vaktplan!$X$4:$CL$35,86-AI62,FALSE),0)</f>
        <v>0</v>
      </c>
      <c r="M9" s="77">
        <f>IFERROR(VLOOKUP(Vaktplan!$A$43,Vaktplan!$X$4:$CL$35,86-AH62,FALSE),0)</f>
        <v>0</v>
      </c>
      <c r="N9" s="9">
        <f>IFERROR(VLOOKUP(Vaktplan!$A$43,Vaktplan!$X$4:$CL$35,89-$AI62,FALSE),0)</f>
        <v>0</v>
      </c>
      <c r="O9" s="9">
        <f t="shared" si="5"/>
        <v>0</v>
      </c>
      <c r="P9" s="9">
        <f t="shared" si="6"/>
        <v>24</v>
      </c>
      <c r="Q9" s="77">
        <f>IFERROR(VLOOKUP(Vaktplan!$A$43,Vaktplan!$Y$4:$CL$35,86-AJ62,FALSE),0)</f>
        <v>0</v>
      </c>
      <c r="R9" s="77">
        <f>IFERROR(VLOOKUP(Vaktplan!$A$43,Vaktplan!$Y$4:$CL$35,86-AI62,FALSE),0)</f>
        <v>0</v>
      </c>
      <c r="S9" s="9">
        <f>IFERROR(VLOOKUP(Vaktplan!$A$43,Vaktplan!$Y$4:$CL$35,89-$AJ62,FALSE),0)</f>
        <v>0</v>
      </c>
      <c r="T9" s="9">
        <f t="shared" si="0"/>
        <v>0</v>
      </c>
      <c r="U9" s="9">
        <f t="shared" si="7"/>
        <v>24</v>
      </c>
      <c r="V9" s="77">
        <f>IFERROR(VLOOKUP(Vaktplan!$A$43,Vaktplan!$Z$4:$CL$35,86-AK62,FALSE),0)</f>
        <v>0</v>
      </c>
      <c r="W9" s="77">
        <f>IFERROR(VLOOKUP(Vaktplan!$A$43,Vaktplan!$Z$4:$CL$35,86-AJ62,FALSE),0)</f>
        <v>0</v>
      </c>
      <c r="X9" s="9">
        <f>IFERROR(VLOOKUP(Vaktplan!$A$43,Vaktplan!$Z$4:$CL$35,89-$AK62,FALSE),0)</f>
        <v>0</v>
      </c>
      <c r="Y9" s="9">
        <f t="shared" si="8"/>
        <v>0</v>
      </c>
      <c r="Z9" s="9">
        <f t="shared" si="9"/>
        <v>24</v>
      </c>
      <c r="AA9" s="77">
        <f>IFERROR(VLOOKUP(Vaktplan!$A$43,Vaktplan!$AA$4:$CL$35,86-AL62,FALSE),0)</f>
        <v>0</v>
      </c>
      <c r="AB9" s="77">
        <f>IFERROR(VLOOKUP(Vaktplan!$A$43,Vaktplan!$AA$4:$CL$35,86-AK62,FALSE),0)</f>
        <v>0</v>
      </c>
      <c r="AC9" s="9">
        <f>IFERROR(VLOOKUP(Vaktplan!$A$43,Vaktplan!$AA$4:$CL$35,89-$AL62,FALSE),0)</f>
        <v>0</v>
      </c>
      <c r="AD9" s="9">
        <f t="shared" si="10"/>
        <v>0</v>
      </c>
      <c r="AE9" s="9">
        <f t="shared" si="11"/>
        <v>24</v>
      </c>
      <c r="AF9" s="77">
        <f>IFERROR(VLOOKUP(Vaktplan!$A$43,Vaktplan!$AB$4:$CL$35,86-AM62,FALSE),0)</f>
        <v>0</v>
      </c>
      <c r="AG9" s="77">
        <f>IFERROR(VLOOKUP(Vaktplan!$A$43,Vaktplan!$AB$4:$CL$35,86-AL62,FALSE),0)</f>
        <v>0</v>
      </c>
      <c r="AH9" s="9">
        <f>IFERROR(VLOOKUP(Vaktplan!$A$43,Vaktplan!$AB$4:$CL$35,89-$AM62,FALSE),0)</f>
        <v>0</v>
      </c>
      <c r="AI9" s="9">
        <f t="shared" si="12"/>
        <v>0</v>
      </c>
      <c r="AJ9" s="9">
        <f t="shared" si="13"/>
        <v>24</v>
      </c>
      <c r="AK9" s="9">
        <f t="shared" si="1"/>
        <v>0</v>
      </c>
      <c r="AL9" s="10">
        <f t="shared" si="14"/>
        <v>24</v>
      </c>
      <c r="AM9" s="10">
        <f t="shared" si="15"/>
        <v>0</v>
      </c>
    </row>
    <row r="10" spans="1:39" ht="13" x14ac:dyDescent="0.25">
      <c r="A10" s="7">
        <f>IF($M$1&gt;=5,5,0)</f>
        <v>5</v>
      </c>
      <c r="B10" s="77">
        <f>IFERROR(VLOOKUP(Vaktplan!$A$43,Vaktplan!$AC$4:$CL$35,87-AH63,FALSE),0)</f>
        <v>0</v>
      </c>
      <c r="C10" s="77">
        <f>IFERROR(VLOOKUP(Vaktplan!$A$43,Vaktplan!$AC$4:$CL$35,87-AG63,FALSE),0)</f>
        <v>0</v>
      </c>
      <c r="D10" s="9">
        <f>IFERROR(VLOOKUP(Vaktplan!$A$43,Vaktplan!$AC$4:$CL$35,89-AG63,FALSE),0)</f>
        <v>0</v>
      </c>
      <c r="E10" s="9">
        <f t="shared" si="16"/>
        <v>0</v>
      </c>
      <c r="F10" s="9">
        <f t="shared" si="2"/>
        <v>24</v>
      </c>
      <c r="G10" s="77">
        <f>IFERROR(VLOOKUP(Vaktplan!$A$43,Vaktplan!$AD$4:$CL$35,86-AH63,FALSE),0)</f>
        <v>0</v>
      </c>
      <c r="H10" s="77">
        <f>IFERROR(VLOOKUP(Vaktplan!$A$43,Vaktplan!$AD$4:$CL$35,86-AG63,FALSE),0)</f>
        <v>0</v>
      </c>
      <c r="I10" s="9">
        <f>IFERROR(VLOOKUP(Vaktplan!$A$43,Vaktplan!$AD$4:$CL$35,89-$AH63,FALSE),0)</f>
        <v>0</v>
      </c>
      <c r="J10" s="9">
        <f t="shared" si="3"/>
        <v>0</v>
      </c>
      <c r="K10" s="9">
        <f t="shared" si="4"/>
        <v>24</v>
      </c>
      <c r="L10" s="77">
        <f>IFERROR(VLOOKUP(Vaktplan!$A$43,Vaktplan!$AE$4:$CL$35,86-AI63,FALSE),0)</f>
        <v>0</v>
      </c>
      <c r="M10" s="77">
        <f>IFERROR(VLOOKUP(Vaktplan!$A$43,Vaktplan!$AE$4:$CL$35,86-AH63,FALSE),0)</f>
        <v>0</v>
      </c>
      <c r="N10" s="9">
        <f>IFERROR(VLOOKUP(Vaktplan!$A$43,Vaktplan!$AE$4:$CL$35,89-$AI63,FALSE),0)</f>
        <v>0</v>
      </c>
      <c r="O10" s="9">
        <f t="shared" si="5"/>
        <v>0</v>
      </c>
      <c r="P10" s="9">
        <f t="shared" si="6"/>
        <v>24</v>
      </c>
      <c r="Q10" s="77">
        <f>IFERROR(VLOOKUP(Vaktplan!$A$43,Vaktplan!$AF$4:$CL$35,86-AJ63,FALSE),0)</f>
        <v>0</v>
      </c>
      <c r="R10" s="77">
        <f>IFERROR(VLOOKUP(Vaktplan!$A$43,Vaktplan!$AF$4:$CL$35,86-AI63,FALSE),0)</f>
        <v>0</v>
      </c>
      <c r="S10" s="9">
        <f>IFERROR(VLOOKUP(Vaktplan!$A$43,Vaktplan!$AF$4:$CL$35,89-$AJ63,FALSE),0)</f>
        <v>0</v>
      </c>
      <c r="T10" s="9">
        <f t="shared" si="0"/>
        <v>0</v>
      </c>
      <c r="U10" s="9">
        <f t="shared" si="7"/>
        <v>24</v>
      </c>
      <c r="V10" s="77">
        <f>IFERROR(VLOOKUP(Vaktplan!$A$43,Vaktplan!$AG$4:$CL$35,86-AK63,FALSE),0)</f>
        <v>0</v>
      </c>
      <c r="W10" s="77">
        <f>IFERROR(VLOOKUP(Vaktplan!$A$43,Vaktplan!$AG$4:$CL$35,86-AJ63,FALSE),0)</f>
        <v>0</v>
      </c>
      <c r="X10" s="9">
        <f>IFERROR(VLOOKUP(Vaktplan!$A$43,Vaktplan!$AG$4:$CL$35,89-$AK63,FALSE),0)</f>
        <v>0</v>
      </c>
      <c r="Y10" s="9">
        <f t="shared" si="8"/>
        <v>0</v>
      </c>
      <c r="Z10" s="9">
        <f t="shared" si="9"/>
        <v>24</v>
      </c>
      <c r="AA10" s="77">
        <f>IFERROR(VLOOKUP(Vaktplan!$A$43,Vaktplan!$AH$4:$CL$35,86-AL63,FALSE),0)</f>
        <v>0</v>
      </c>
      <c r="AB10" s="77">
        <f>IFERROR(VLOOKUP(Vaktplan!$A$43,Vaktplan!$AH$4:$CL$35,86-AK63,FALSE),0)</f>
        <v>0</v>
      </c>
      <c r="AC10" s="9">
        <f>IFERROR(VLOOKUP(Vaktplan!$A$43,Vaktplan!$AH$4:$CL$35,89-$AL63,FALSE),0)</f>
        <v>0</v>
      </c>
      <c r="AD10" s="9">
        <f t="shared" si="10"/>
        <v>0</v>
      </c>
      <c r="AE10" s="9">
        <f t="shared" si="11"/>
        <v>24</v>
      </c>
      <c r="AF10" s="77">
        <f>IFERROR(VLOOKUP(Vaktplan!$A$43,Vaktplan!$AI$4:$CL$35,86-AM63,FALSE),0)</f>
        <v>0</v>
      </c>
      <c r="AG10" s="77">
        <f>IFERROR(VLOOKUP(Vaktplan!$A$43,Vaktplan!$AI$4:$CL$35,86-AL63,FALSE),0)</f>
        <v>0</v>
      </c>
      <c r="AH10" s="9">
        <f>IFERROR(VLOOKUP(Vaktplan!$A$43,Vaktplan!$AI$4:$CL$35,89-$AM63,FALSE),0)</f>
        <v>0</v>
      </c>
      <c r="AI10" s="9">
        <f t="shared" si="12"/>
        <v>0</v>
      </c>
      <c r="AJ10" s="9">
        <f t="shared" si="13"/>
        <v>24</v>
      </c>
      <c r="AK10" s="9">
        <f t="shared" si="1"/>
        <v>0</v>
      </c>
      <c r="AL10" s="10">
        <f t="shared" si="14"/>
        <v>24</v>
      </c>
      <c r="AM10" s="10">
        <f t="shared" si="15"/>
        <v>0</v>
      </c>
    </row>
    <row r="11" spans="1:39" ht="13" x14ac:dyDescent="0.25">
      <c r="A11" s="7">
        <f>IF($M$1&gt;=6,6,0)</f>
        <v>6</v>
      </c>
      <c r="B11" s="77">
        <f>IFERROR(VLOOKUP(Vaktplan!$A$43,Vaktplan!$AJ$4:$CL$35,87-AH64,FALSE),0)</f>
        <v>0</v>
      </c>
      <c r="C11" s="77">
        <f>IFERROR(VLOOKUP(Vaktplan!$A$43,Vaktplan!$AJ$4:$CL$35,87-AG64,FALSE),0)</f>
        <v>0</v>
      </c>
      <c r="D11" s="9">
        <f>IFERROR(VLOOKUP(Vaktplan!$A$43,Vaktplan!$AJ$4:$CL$35,89-AG64,FALSE),0)</f>
        <v>0</v>
      </c>
      <c r="E11" s="9">
        <f t="shared" si="16"/>
        <v>0</v>
      </c>
      <c r="F11" s="9">
        <f t="shared" si="2"/>
        <v>24</v>
      </c>
      <c r="G11" s="77">
        <f>IFERROR(VLOOKUP(Vaktplan!$A$43,Vaktplan!$AK$4:$CL$35,86-AH64,FALSE),0)</f>
        <v>0</v>
      </c>
      <c r="H11" s="77">
        <f>IFERROR(VLOOKUP(Vaktplan!$A$43,Vaktplan!$AK$4:$CL$35,86-AG64,FALSE),0)</f>
        <v>0</v>
      </c>
      <c r="I11" s="9">
        <f>IFERROR(VLOOKUP(Vaktplan!$A$43,Vaktplan!$AK$4:$CL$35,89-$AH64,FALSE),0)</f>
        <v>0</v>
      </c>
      <c r="J11" s="9">
        <f t="shared" si="3"/>
        <v>0</v>
      </c>
      <c r="K11" s="9">
        <f t="shared" si="4"/>
        <v>24</v>
      </c>
      <c r="L11" s="77">
        <f>IFERROR(VLOOKUP(Vaktplan!$A$43,Vaktplan!$AL$4:$CL$35,86-AI64,FALSE),0)</f>
        <v>0</v>
      </c>
      <c r="M11" s="77">
        <f>IFERROR(VLOOKUP(Vaktplan!$A$43,Vaktplan!$AL$4:$CL$35,86-AH64,FALSE),0)</f>
        <v>0</v>
      </c>
      <c r="N11" s="9">
        <f>IFERROR(VLOOKUP(Vaktplan!$A$43,Vaktplan!$AL$4:$CL$35,89-$AI64,FALSE),0)</f>
        <v>0</v>
      </c>
      <c r="O11" s="9">
        <f t="shared" si="5"/>
        <v>0</v>
      </c>
      <c r="P11" s="9">
        <f t="shared" si="6"/>
        <v>24</v>
      </c>
      <c r="Q11" s="77">
        <f>IFERROR(VLOOKUP(Vaktplan!$A$43,Vaktplan!$AM$4:$CL$35,86-AJ64,FALSE),0)</f>
        <v>0</v>
      </c>
      <c r="R11" s="77">
        <f>IFERROR(VLOOKUP(Vaktplan!$A$43,Vaktplan!$AM$4:$CL$35,86-AI64,FALSE),0)</f>
        <v>0</v>
      </c>
      <c r="S11" s="9">
        <f>IFERROR(VLOOKUP(Vaktplan!$A$43,Vaktplan!$AM$4:$CL$35,89-$AJ64,FALSE),0)</f>
        <v>0</v>
      </c>
      <c r="T11" s="9">
        <f t="shared" si="0"/>
        <v>0</v>
      </c>
      <c r="U11" s="9">
        <f t="shared" si="7"/>
        <v>24</v>
      </c>
      <c r="V11" s="77">
        <f>IFERROR(VLOOKUP(Vaktplan!$A$43,Vaktplan!$AN$4:$CL$35,86-AK64,FALSE),0)</f>
        <v>0</v>
      </c>
      <c r="W11" s="77">
        <f>IFERROR(VLOOKUP(Vaktplan!$A$43,Vaktplan!$AN$4:$CL$35,86-AJ64,FALSE),0)</f>
        <v>0</v>
      </c>
      <c r="X11" s="9">
        <f>IFERROR(VLOOKUP(Vaktplan!$A$43,Vaktplan!$AN$4:$CL$35,89-$AK64,FALSE),0)</f>
        <v>0</v>
      </c>
      <c r="Y11" s="9">
        <f t="shared" si="8"/>
        <v>0</v>
      </c>
      <c r="Z11" s="9">
        <f t="shared" si="9"/>
        <v>24</v>
      </c>
      <c r="AA11" s="77">
        <f>IFERROR(VLOOKUP(Vaktplan!$A$43,Vaktplan!$AO$4:$CL$35,86-AL64,FALSE),0)</f>
        <v>0</v>
      </c>
      <c r="AB11" s="77">
        <f>IFERROR(VLOOKUP(Vaktplan!$A$43,Vaktplan!$AO$4:$CL$35,86-AK64,FALSE),0)</f>
        <v>0</v>
      </c>
      <c r="AC11" s="9">
        <f>IFERROR(VLOOKUP(Vaktplan!$A$43,Vaktplan!$AO$4:$CL$35,89-$AL64,FALSE),0)</f>
        <v>0</v>
      </c>
      <c r="AD11" s="9">
        <f t="shared" si="10"/>
        <v>0</v>
      </c>
      <c r="AE11" s="9">
        <f t="shared" si="11"/>
        <v>24</v>
      </c>
      <c r="AF11" s="77">
        <f>IFERROR(VLOOKUP(Vaktplan!$A$43,Vaktplan!$AP$4:$CL$35,86-AM64,FALSE),0)</f>
        <v>0</v>
      </c>
      <c r="AG11" s="77">
        <f>IFERROR(VLOOKUP(Vaktplan!$A$43,Vaktplan!$AP$4:$CL$35,86-AL64,FALSE),0)</f>
        <v>0</v>
      </c>
      <c r="AH11" s="9">
        <f>IFERROR(VLOOKUP(Vaktplan!$A$43,Vaktplan!$AP$4:$CL$35,89-$AM64,FALSE),0)</f>
        <v>0</v>
      </c>
      <c r="AI11" s="9">
        <f t="shared" si="12"/>
        <v>0</v>
      </c>
      <c r="AJ11" s="9">
        <f t="shared" si="13"/>
        <v>24</v>
      </c>
      <c r="AK11" s="9">
        <f t="shared" si="1"/>
        <v>0</v>
      </c>
      <c r="AL11" s="10">
        <f t="shared" si="14"/>
        <v>24</v>
      </c>
      <c r="AM11" s="10">
        <f t="shared" si="15"/>
        <v>0</v>
      </c>
    </row>
    <row r="12" spans="1:39" ht="13" x14ac:dyDescent="0.25">
      <c r="A12" s="7">
        <f>IF($M$1&gt;=7,7,0)</f>
        <v>7</v>
      </c>
      <c r="B12" s="77">
        <f>IFERROR(VLOOKUP(Vaktplan!$A$43,Vaktplan!$AQ$4:$CL$35,87-AH65,FALSE),0)</f>
        <v>0</v>
      </c>
      <c r="C12" s="77">
        <f>IFERROR(VLOOKUP(Vaktplan!$A$43,Vaktplan!$AQ$4:$CL$35,87-AG65,FALSE),0)</f>
        <v>0</v>
      </c>
      <c r="D12" s="9">
        <f>IFERROR(VLOOKUP(Vaktplan!$A$43,Vaktplan!$AQ$4:$CL$35,89-AG65,FALSE),0)</f>
        <v>0</v>
      </c>
      <c r="E12" s="9">
        <f t="shared" si="16"/>
        <v>0</v>
      </c>
      <c r="F12" s="9">
        <f t="shared" si="2"/>
        <v>24</v>
      </c>
      <c r="G12" s="77">
        <f>IFERROR(VLOOKUP(Vaktplan!$A$43,Vaktplan!$AR$4:$CL$35,86-AH65,FALSE),0)</f>
        <v>0</v>
      </c>
      <c r="H12" s="77">
        <f>IFERROR(VLOOKUP(Vaktplan!$A$43,Vaktplan!$AR$4:$CL$35,86-AG65,FALSE),0)</f>
        <v>0</v>
      </c>
      <c r="I12" s="9">
        <f>IFERROR(VLOOKUP(Vaktplan!$A$43,Vaktplan!$AR$4:$CL$35,89-$AH65,FALSE),0)</f>
        <v>0</v>
      </c>
      <c r="J12" s="9">
        <f t="shared" si="3"/>
        <v>0</v>
      </c>
      <c r="K12" s="9">
        <f t="shared" si="4"/>
        <v>24</v>
      </c>
      <c r="L12" s="77">
        <f>IFERROR(VLOOKUP(Vaktplan!$A$43,Vaktplan!$AS$4:$CL$35,86-AI65,FALSE),0)</f>
        <v>0</v>
      </c>
      <c r="M12" s="77">
        <f>IFERROR(VLOOKUP(Vaktplan!$A$43,Vaktplan!$AS$4:$CL$35,86-AH65,FALSE),0)</f>
        <v>0</v>
      </c>
      <c r="N12" s="9">
        <f>IFERROR(VLOOKUP(Vaktplan!$A$43,Vaktplan!$AS$4:$CL$35,89-$AI65,FALSE),0)</f>
        <v>0</v>
      </c>
      <c r="O12" s="9">
        <f t="shared" si="5"/>
        <v>0</v>
      </c>
      <c r="P12" s="9">
        <f t="shared" si="6"/>
        <v>24</v>
      </c>
      <c r="Q12" s="77">
        <f>IFERROR(VLOOKUP(Vaktplan!$A$43,Vaktplan!$AT$4:$CL$35,86-AJ65,FALSE),0)</f>
        <v>0</v>
      </c>
      <c r="R12" s="77">
        <f>IFERROR(VLOOKUP(Vaktplan!$A$43,Vaktplan!$AT$4:$CL$35,86-AI65,FALSE),0)</f>
        <v>0</v>
      </c>
      <c r="S12" s="9">
        <f>IFERROR(VLOOKUP(Vaktplan!$A$43,Vaktplan!$AT$4:$CL$35,89-$AJ65,FALSE),0)</f>
        <v>0</v>
      </c>
      <c r="T12" s="9">
        <f t="shared" si="0"/>
        <v>0</v>
      </c>
      <c r="U12" s="9">
        <f t="shared" si="7"/>
        <v>24</v>
      </c>
      <c r="V12" s="77">
        <f>IFERROR(VLOOKUP(Vaktplan!$A$43,Vaktplan!$AU$4:$CL$35,86-AK65,FALSE),0)</f>
        <v>0</v>
      </c>
      <c r="W12" s="77">
        <f>IFERROR(VLOOKUP(Vaktplan!$A$43,Vaktplan!$AU$4:$CL$35,86-AJ65,FALSE),0)</f>
        <v>0</v>
      </c>
      <c r="X12" s="9">
        <f>IFERROR(VLOOKUP(Vaktplan!$A$43,Vaktplan!$AU$4:$CL$35,89-$AK65,FALSE),0)</f>
        <v>0</v>
      </c>
      <c r="Y12" s="9">
        <f t="shared" si="8"/>
        <v>0</v>
      </c>
      <c r="Z12" s="9">
        <f t="shared" si="9"/>
        <v>24</v>
      </c>
      <c r="AA12" s="77">
        <f>IFERROR(VLOOKUP(Vaktplan!$A$43,Vaktplan!$AV$4:$CL$35,86-AL65,FALSE),0)</f>
        <v>0</v>
      </c>
      <c r="AB12" s="77">
        <f>IFERROR(VLOOKUP(Vaktplan!$A$43,Vaktplan!$AV$4:$CL$35,86-AK65,FALSE),0)</f>
        <v>0</v>
      </c>
      <c r="AC12" s="9">
        <f>IFERROR(VLOOKUP(Vaktplan!$A$43,Vaktplan!$AV$4:$CL$35,89-$AL65,FALSE),0)</f>
        <v>0</v>
      </c>
      <c r="AD12" s="9">
        <f t="shared" si="10"/>
        <v>0</v>
      </c>
      <c r="AE12" s="9">
        <f t="shared" si="11"/>
        <v>24</v>
      </c>
      <c r="AF12" s="77">
        <f>IFERROR(VLOOKUP(Vaktplan!$A$43,Vaktplan!$AW$4:$CL$35,86-AM65,FALSE),0)</f>
        <v>0</v>
      </c>
      <c r="AG12" s="77">
        <f>IFERROR(VLOOKUP(Vaktplan!$A$43,Vaktplan!$AW$4:$CL$35,86-AL65,FALSE),0)</f>
        <v>0</v>
      </c>
      <c r="AH12" s="9">
        <f>IFERROR(VLOOKUP(Vaktplan!$A$43,Vaktplan!$AW$4:$CL$35,89-$AM65,FALSE),0)</f>
        <v>0</v>
      </c>
      <c r="AI12" s="9">
        <f t="shared" si="12"/>
        <v>0</v>
      </c>
      <c r="AJ12" s="9">
        <f t="shared" si="13"/>
        <v>24</v>
      </c>
      <c r="AK12" s="9">
        <f t="shared" si="1"/>
        <v>0</v>
      </c>
      <c r="AL12" s="10">
        <f t="shared" si="14"/>
        <v>24</v>
      </c>
      <c r="AM12" s="10">
        <f t="shared" si="15"/>
        <v>0</v>
      </c>
    </row>
    <row r="13" spans="1:39" ht="13" x14ac:dyDescent="0.25">
      <c r="A13" s="7">
        <f>IF($M$1&gt;=8,8,0)</f>
        <v>8</v>
      </c>
      <c r="B13" s="77">
        <f>IFERROR(VLOOKUP(Vaktplan!$A$43,Vaktplan!$AX$4:$CL$35,87-AH66,FALSE),0)</f>
        <v>0</v>
      </c>
      <c r="C13" s="77">
        <f>IFERROR(VLOOKUP(Vaktplan!$A$43,Vaktplan!$AX$4:$CL$35,87-AG66,FALSE),0)</f>
        <v>0</v>
      </c>
      <c r="D13" s="9">
        <f>IFERROR(VLOOKUP(Vaktplan!$A$43,Vaktplan!$AX$4:$CL$35,89-AG66,FALSE),0)</f>
        <v>0</v>
      </c>
      <c r="E13" s="9">
        <f t="shared" si="16"/>
        <v>0</v>
      </c>
      <c r="F13" s="9">
        <f t="shared" si="2"/>
        <v>24</v>
      </c>
      <c r="G13" s="77">
        <f>IFERROR(VLOOKUP(Vaktplan!$A$43,Vaktplan!$AY$4:$CL$35,86-AH66,FALSE),0)</f>
        <v>0</v>
      </c>
      <c r="H13" s="77">
        <f>IFERROR(VLOOKUP(Vaktplan!$A$43,Vaktplan!$AY$4:$CL$35,86-AG66,FALSE),0)</f>
        <v>0</v>
      </c>
      <c r="I13" s="9">
        <f>IFERROR(VLOOKUP(Vaktplan!$A$43,Vaktplan!$AY$4:$CL$35,89-$AH66,FALSE),0)</f>
        <v>0</v>
      </c>
      <c r="J13" s="9">
        <f t="shared" si="3"/>
        <v>0</v>
      </c>
      <c r="K13" s="9">
        <f t="shared" si="4"/>
        <v>24</v>
      </c>
      <c r="L13" s="77">
        <f>IFERROR(VLOOKUP(Vaktplan!$A$43,Vaktplan!$AZ$4:$CL$35,86-AI66,FALSE),0)</f>
        <v>0</v>
      </c>
      <c r="M13" s="77">
        <f>IFERROR(VLOOKUP(Vaktplan!$A$43,Vaktplan!$AZ$4:$CL$35,86-AH66,FALSE),0)</f>
        <v>0</v>
      </c>
      <c r="N13" s="9">
        <f>IFERROR(VLOOKUP(Vaktplan!$A$43,Vaktplan!$AZ$4:$CL$35,89-$AI66,FALSE),0)</f>
        <v>0</v>
      </c>
      <c r="O13" s="9">
        <f t="shared" si="5"/>
        <v>0</v>
      </c>
      <c r="P13" s="9">
        <f t="shared" si="6"/>
        <v>24</v>
      </c>
      <c r="Q13" s="77">
        <f>IFERROR(VLOOKUP(Vaktplan!$A$43,Vaktplan!$BA$4:$CL$35,86-AJ66,FALSE),0)</f>
        <v>0</v>
      </c>
      <c r="R13" s="77">
        <f>IFERROR(VLOOKUP(Vaktplan!$A$43,Vaktplan!$BA$4:$CL$35,86-AI66,FALSE),0)</f>
        <v>0</v>
      </c>
      <c r="S13" s="9">
        <f>IFERROR(VLOOKUP(Vaktplan!$A$43,Vaktplan!$BA$4:$CL$35,89-$AJ66,FALSE),0)</f>
        <v>0</v>
      </c>
      <c r="T13" s="9">
        <f t="shared" si="0"/>
        <v>0</v>
      </c>
      <c r="U13" s="9">
        <f t="shared" si="7"/>
        <v>24</v>
      </c>
      <c r="V13" s="77">
        <f>IFERROR(VLOOKUP(Vaktplan!$A$43,Vaktplan!$BB$4:$CL$35,86-AK66,FALSE),0)</f>
        <v>0</v>
      </c>
      <c r="W13" s="77">
        <f>IFERROR(VLOOKUP(Vaktplan!$A$43,Vaktplan!$BB$4:$CL$35,86-AJ66,FALSE),0)</f>
        <v>0</v>
      </c>
      <c r="X13" s="9">
        <f>IFERROR(VLOOKUP(Vaktplan!$A$43,Vaktplan!$BB$4:$CL$35,89-$AK66,FALSE),0)</f>
        <v>0</v>
      </c>
      <c r="Y13" s="9">
        <f t="shared" si="8"/>
        <v>0</v>
      </c>
      <c r="Z13" s="9">
        <f t="shared" si="9"/>
        <v>24</v>
      </c>
      <c r="AA13" s="77">
        <f>IFERROR(VLOOKUP(Vaktplan!$A$43,Vaktplan!$BC$4:$CL$35,86-AL66,FALSE),0)</f>
        <v>0</v>
      </c>
      <c r="AB13" s="77">
        <f>IFERROR(VLOOKUP(Vaktplan!$A$43,Vaktplan!$BC$4:$CL$35,86-AK66,FALSE),0)</f>
        <v>0</v>
      </c>
      <c r="AC13" s="9">
        <f>IFERROR(VLOOKUP(Vaktplan!$A$43,Vaktplan!$BC$4:$CL$35,89-$AL66,FALSE),0)</f>
        <v>0</v>
      </c>
      <c r="AD13" s="9">
        <f t="shared" si="10"/>
        <v>0</v>
      </c>
      <c r="AE13" s="9">
        <f t="shared" si="11"/>
        <v>24</v>
      </c>
      <c r="AF13" s="77">
        <f>IFERROR(VLOOKUP(Vaktplan!$A$43,Vaktplan!$BD$4:$CL$35,86-AM66,FALSE),0)</f>
        <v>0</v>
      </c>
      <c r="AG13" s="77">
        <f>IFERROR(VLOOKUP(Vaktplan!$A$43,Vaktplan!$BD$4:$CL$35,86-AL66,FALSE),0)</f>
        <v>0</v>
      </c>
      <c r="AH13" s="9">
        <f>IFERROR(VLOOKUP(Vaktplan!$A$43,Vaktplan!$BD$4:$CL$35,89-$AM66,FALSE),0)</f>
        <v>0</v>
      </c>
      <c r="AI13" s="9">
        <f t="shared" si="12"/>
        <v>0</v>
      </c>
      <c r="AJ13" s="9">
        <f t="shared" si="13"/>
        <v>24</v>
      </c>
      <c r="AK13" s="9">
        <f t="shared" si="1"/>
        <v>0</v>
      </c>
      <c r="AL13" s="10">
        <f t="shared" si="14"/>
        <v>24</v>
      </c>
      <c r="AM13" s="10">
        <f t="shared" si="15"/>
        <v>0</v>
      </c>
    </row>
    <row r="14" spans="1:39" ht="13" x14ac:dyDescent="0.25">
      <c r="A14" s="7">
        <v>9</v>
      </c>
      <c r="B14" s="77">
        <f>IFERROR(VLOOKUP(Vaktplan!$A$43,Vaktplan!$BE$4:$CL$35,87-AH67,FALSE),0)</f>
        <v>0</v>
      </c>
      <c r="C14" s="77">
        <f>IFERROR(VLOOKUP(Vaktplan!$A$43,Vaktplan!$BE$4:$CL$35,87-AG67,FALSE),0)</f>
        <v>0</v>
      </c>
      <c r="D14" s="9">
        <f>IFERROR(VLOOKUP(Vaktplan!$A$43,Vaktplan!$BE$4:$CL$35,89-AG67,FALSE),0)</f>
        <v>0</v>
      </c>
      <c r="E14" s="9">
        <f t="shared" si="16"/>
        <v>0</v>
      </c>
      <c r="F14" s="9">
        <f t="shared" si="2"/>
        <v>24</v>
      </c>
      <c r="G14" s="77">
        <f>IFERROR(VLOOKUP(Vaktplan!$A$43,Vaktplan!$BF$4:$CL$35,86-AH67,FALSE),0)</f>
        <v>0</v>
      </c>
      <c r="H14" s="77">
        <f>IFERROR(VLOOKUP(Vaktplan!$A$43,Vaktplan!$BF$4:$CL$35,86-AG67,FALSE),0)</f>
        <v>0</v>
      </c>
      <c r="I14" s="9">
        <f>IFERROR(VLOOKUP(Vaktplan!$A$43,Vaktplan!$BF$4:$CL$35,89-$AH67,FALSE),0)</f>
        <v>0</v>
      </c>
      <c r="J14" s="9">
        <f t="shared" si="3"/>
        <v>0</v>
      </c>
      <c r="K14" s="9">
        <f t="shared" si="4"/>
        <v>24</v>
      </c>
      <c r="L14" s="77">
        <f>IFERROR(VLOOKUP(Vaktplan!$A$43,Vaktplan!$BG$4:$CL$35,86-AI67,FALSE),0)</f>
        <v>0</v>
      </c>
      <c r="M14" s="77">
        <f>IFERROR(VLOOKUP(Vaktplan!$A$43,Vaktplan!$BG$4:$CL$35,86-AH67,FALSE),0)</f>
        <v>0</v>
      </c>
      <c r="N14" s="9">
        <f>IFERROR(VLOOKUP(Vaktplan!$A$43,Vaktplan!$BG$4:$CL$35,89-$AI67,FALSE),0)</f>
        <v>0</v>
      </c>
      <c r="O14" s="9">
        <f t="shared" si="5"/>
        <v>0</v>
      </c>
      <c r="P14" s="9">
        <f t="shared" si="6"/>
        <v>24</v>
      </c>
      <c r="Q14" s="77">
        <f>IFERROR(VLOOKUP(Vaktplan!$A$43,Vaktplan!$BH$4:$CL$35,86-AJ67,FALSE),0)</f>
        <v>0</v>
      </c>
      <c r="R14" s="77">
        <f>IFERROR(VLOOKUP(Vaktplan!$A$43,Vaktplan!$BH$4:$CL$35,86-AI67,FALSE),0)</f>
        <v>0</v>
      </c>
      <c r="S14" s="9">
        <f>IFERROR(VLOOKUP(Vaktplan!$A$43,Vaktplan!$BH$4:$CL$35,89-$AJ67,FALSE),0)</f>
        <v>0</v>
      </c>
      <c r="T14" s="9">
        <f t="shared" si="0"/>
        <v>0</v>
      </c>
      <c r="U14" s="9">
        <f t="shared" si="7"/>
        <v>24</v>
      </c>
      <c r="V14" s="77">
        <f>IFERROR(VLOOKUP(Vaktplan!$A$43,Vaktplan!$BI$4:$CL$35,86-AK67,FALSE),0)</f>
        <v>0</v>
      </c>
      <c r="W14" s="77">
        <f>IFERROR(VLOOKUP(Vaktplan!$A$43,Vaktplan!$BI$4:$CL$35,86-AJ67,FALSE),0)</f>
        <v>0</v>
      </c>
      <c r="X14" s="9">
        <f>IFERROR(VLOOKUP(Vaktplan!$A$43,Vaktplan!$BI$4:$CL$35,89-$AK67,FALSE),0)</f>
        <v>0</v>
      </c>
      <c r="Y14" s="9">
        <f>IF(AND(V14=0,W14=0),0,IF(V14&lt;W14,((W14-V14)*24)-X14,(((1-V14)+W14)*24)-X14))</f>
        <v>0</v>
      </c>
      <c r="Z14" s="9">
        <f t="shared" si="9"/>
        <v>24</v>
      </c>
      <c r="AA14" s="77">
        <f>IFERROR(VLOOKUP(Vaktplan!$A$43,Vaktplan!$BJ$4:$CL$35,86-AL67,FALSE),0)</f>
        <v>0</v>
      </c>
      <c r="AB14" s="77">
        <f>IFERROR(VLOOKUP(Vaktplan!$A$43,Vaktplan!$BJ$4:$CL$35,86-AK67,FALSE),0)</f>
        <v>0</v>
      </c>
      <c r="AC14" s="9">
        <f>IFERROR(VLOOKUP(Vaktplan!$A$43,Vaktplan!$BJ$4:$CL$35,89-$AL67,FALSE),0)</f>
        <v>0</v>
      </c>
      <c r="AD14" s="9">
        <f>IF(AND(AA14=0,AB14=0),0,IF(AA14&lt;AB14,((AB14-AA14)*24)-AC14,(((1-AA14)+AB14)*24)-AC14))</f>
        <v>0</v>
      </c>
      <c r="AE14" s="9">
        <f t="shared" si="11"/>
        <v>24</v>
      </c>
      <c r="AF14" s="77">
        <f>IFERROR(VLOOKUP(Vaktplan!$A$43,Vaktplan!$BK$4:$CL$35,86-AM67,FALSE),0)</f>
        <v>0</v>
      </c>
      <c r="AG14" s="77">
        <f>IFERROR(VLOOKUP(Vaktplan!$A$43,Vaktplan!$BK$4:$CL$35,86-AL67,FALSE),0)</f>
        <v>0</v>
      </c>
      <c r="AH14" s="9">
        <f>IFERROR(VLOOKUP(Vaktplan!$A$43,Vaktplan!$BK$4:$CL$35,89-$AM67,FALSE),0)</f>
        <v>0</v>
      </c>
      <c r="AI14" s="9">
        <f>IF(AND(AF14=0,AG14=0),0,IF(AF14&lt;AG14,((AG14-AF14)*24)-AH14,(((1-AF14)+AG14)*24)-AH14))</f>
        <v>0</v>
      </c>
      <c r="AJ14" s="9">
        <f t="shared" si="13"/>
        <v>24</v>
      </c>
      <c r="AK14" s="9">
        <f t="shared" si="1"/>
        <v>0</v>
      </c>
      <c r="AL14" s="10"/>
      <c r="AM14" s="10"/>
    </row>
    <row r="15" spans="1:39" ht="13" x14ac:dyDescent="0.25">
      <c r="A15" s="7">
        <v>10</v>
      </c>
      <c r="B15" s="77">
        <f>IFERROR(VLOOKUP(Vaktplan!$A$43,Vaktplan!$BL$4:$CL$35,87-AH68,FALSE),0)</f>
        <v>0</v>
      </c>
      <c r="C15" s="77">
        <f>IFERROR(VLOOKUP(Vaktplan!$A$43,Vaktplan!$BL$4:$CL$35,87-AG68,FALSE),0)</f>
        <v>0</v>
      </c>
      <c r="D15" s="9">
        <f>IFERROR(VLOOKUP(Vaktplan!$A$43,Vaktplan!$BL$4:$CL$35,89-AG68,FALSE),0)</f>
        <v>0</v>
      </c>
      <c r="E15" s="9">
        <f t="shared" si="16"/>
        <v>0</v>
      </c>
      <c r="F15" s="9">
        <f t="shared" si="2"/>
        <v>24</v>
      </c>
      <c r="G15" s="77">
        <f>IFERROR(VLOOKUP(Vaktplan!$A$43,Vaktplan!$BM$4:$CL$35,86-AH68,FALSE),0)</f>
        <v>0</v>
      </c>
      <c r="H15" s="77">
        <f>IFERROR(VLOOKUP(Vaktplan!$A$43,Vaktplan!$BM$4:$CL$35,86-AG68,FALSE),0)</f>
        <v>0</v>
      </c>
      <c r="I15" s="9">
        <f>IFERROR(VLOOKUP(Vaktplan!$A$43,Vaktplan!$BM$4:$CL$35,89-$AH68,FALSE),0)</f>
        <v>0</v>
      </c>
      <c r="J15" s="9">
        <f t="shared" si="3"/>
        <v>0</v>
      </c>
      <c r="K15" s="9">
        <f t="shared" si="4"/>
        <v>24</v>
      </c>
      <c r="L15" s="77">
        <f>IFERROR(VLOOKUP(Vaktplan!$A$43,Vaktplan!$BN$4:$CL$35,86-AI68,FALSE),0)</f>
        <v>0</v>
      </c>
      <c r="M15" s="77">
        <f>IFERROR(VLOOKUP(Vaktplan!$A$43,Vaktplan!$BN$4:$CL$35,86-AH68,FALSE),0)</f>
        <v>0</v>
      </c>
      <c r="N15" s="9">
        <f>IFERROR(VLOOKUP(Vaktplan!$A$43,Vaktplan!$BN$4:$CL$35,89-$AI68,FALSE),0)</f>
        <v>0</v>
      </c>
      <c r="O15" s="9">
        <f t="shared" si="5"/>
        <v>0</v>
      </c>
      <c r="P15" s="9">
        <f t="shared" si="6"/>
        <v>24</v>
      </c>
      <c r="Q15" s="77">
        <f>IFERROR(VLOOKUP(Vaktplan!$A$43,Vaktplan!$BO$4:$CL$35,86-AJ68,FALSE),0)</f>
        <v>0</v>
      </c>
      <c r="R15" s="77">
        <f>IFERROR(VLOOKUP(Vaktplan!$A$43,Vaktplan!$BO$4:$CL$35,86-AI68,FALSE),0)</f>
        <v>0</v>
      </c>
      <c r="S15" s="9">
        <f>IFERROR(VLOOKUP(Vaktplan!$A$43,Vaktplan!$BO$4:$CL$35,89-$AJ68,FALSE),0)</f>
        <v>0</v>
      </c>
      <c r="T15" s="9">
        <f t="shared" si="0"/>
        <v>0</v>
      </c>
      <c r="U15" s="9">
        <f t="shared" si="7"/>
        <v>24</v>
      </c>
      <c r="V15" s="77">
        <f>IFERROR(VLOOKUP(Vaktplan!$A$43,Vaktplan!$BP$4:$CL$35,86-AK68,FALSE),0)</f>
        <v>0</v>
      </c>
      <c r="W15" s="77">
        <f>IFERROR(VLOOKUP(Vaktplan!$A$43,Vaktplan!$BP$4:$CL$35,86-AJ68,FALSE),0)</f>
        <v>0</v>
      </c>
      <c r="X15" s="9">
        <f>IFERROR(VLOOKUP(Vaktplan!$A$43,Vaktplan!$BP$4:$CL$35,89-$AK68,FALSE),0)</f>
        <v>0</v>
      </c>
      <c r="Y15" s="9">
        <f>IF(AND(V15=0,W15=0),0,IF(V15&lt;W15,((W15-V15)*24)-X15,(((1-V15)+W15)*24)-X15))</f>
        <v>0</v>
      </c>
      <c r="Z15" s="9">
        <f t="shared" si="9"/>
        <v>24</v>
      </c>
      <c r="AA15" s="77">
        <f>IFERROR(VLOOKUP(Vaktplan!$A$43,Vaktplan!$BQ$4:$CL$35,86-AL68,FALSE),0)</f>
        <v>0</v>
      </c>
      <c r="AB15" s="77">
        <f>IFERROR(VLOOKUP(Vaktplan!$A$43,Vaktplan!$BQ$4:$CL$35,86-AK68,FALSE),0)</f>
        <v>0</v>
      </c>
      <c r="AC15" s="9">
        <f>IFERROR(VLOOKUP(Vaktplan!$A$43,Vaktplan!$BQ$4:$CL$35,89-$AL68,FALSE),0)</f>
        <v>0</v>
      </c>
      <c r="AD15" s="9">
        <f>IF(AND(AA15=0,AB15=0),0,IF(AA15&lt;AB15,((AB15-AA15)*24)-AC15,(((1-AA15)+AB15)*24)-AC15))</f>
        <v>0</v>
      </c>
      <c r="AE15" s="9">
        <f t="shared" si="11"/>
        <v>24</v>
      </c>
      <c r="AF15" s="77">
        <f>IFERROR(VLOOKUP(Vaktplan!$A$43,Vaktplan!$BR$4:$CL$35,86-AM68,FALSE),0)</f>
        <v>0</v>
      </c>
      <c r="AG15" s="77">
        <f>IFERROR(VLOOKUP(Vaktplan!$A$43,Vaktplan!$BR$4:$CL$35,86-AL68,FALSE),0)</f>
        <v>0</v>
      </c>
      <c r="AH15" s="9">
        <f>IFERROR(VLOOKUP(Vaktplan!$A$43,Vaktplan!$BR$4:$CL$35,89-$AM68,FALSE),0)</f>
        <v>0</v>
      </c>
      <c r="AI15" s="9">
        <f>IF(AND(AF15=0,AG15=0),0,IF(AF15&lt;AG15,((AG15-AF15)*24)-AH15,(((1-AF15)+AG15)*24)-AH15))</f>
        <v>0</v>
      </c>
      <c r="AJ15" s="9">
        <f t="shared" si="13"/>
        <v>24</v>
      </c>
      <c r="AK15" s="9">
        <f t="shared" si="1"/>
        <v>0</v>
      </c>
      <c r="AL15" s="10"/>
      <c r="AM15" s="10"/>
    </row>
    <row r="16" spans="1:39" ht="13" x14ac:dyDescent="0.25">
      <c r="A16" s="7">
        <v>11</v>
      </c>
      <c r="B16" s="77">
        <f>IFERROR(VLOOKUP(Vaktplan!$A$43,Vaktplan!$BS$4:$CL$35,87-AH69,FALSE),0)</f>
        <v>0</v>
      </c>
      <c r="C16" s="77">
        <f>IFERROR(VLOOKUP(Vaktplan!$A$43,Vaktplan!$BS$4:$CL$35,87-AG69,FALSE),0)</f>
        <v>0</v>
      </c>
      <c r="D16" s="9">
        <f>IFERROR(VLOOKUP(Vaktplan!$A$43,Vaktplan!$BS$4:$CL$35,89-AG69,FALSE),0)</f>
        <v>0</v>
      </c>
      <c r="E16" s="9">
        <f t="shared" si="16"/>
        <v>0</v>
      </c>
      <c r="F16" s="9">
        <f t="shared" si="2"/>
        <v>24</v>
      </c>
      <c r="G16" s="77">
        <f>IFERROR(VLOOKUP(Vaktplan!$A$43,Vaktplan!$BT$4:$CL$35,86-AH69,FALSE),0)</f>
        <v>0</v>
      </c>
      <c r="H16" s="77">
        <f>IFERROR(VLOOKUP(Vaktplan!$A$43,Vaktplan!$BT$4:$CL$35,86-AG69,FALSE),0)</f>
        <v>0</v>
      </c>
      <c r="I16" s="9">
        <f>IFERROR(VLOOKUP(Vaktplan!$A$43,Vaktplan!$BT$4:$CL$35,89-$AH69,FALSE),0)</f>
        <v>0</v>
      </c>
      <c r="J16" s="9">
        <f t="shared" si="3"/>
        <v>0</v>
      </c>
      <c r="K16" s="9">
        <f t="shared" si="4"/>
        <v>24</v>
      </c>
      <c r="L16" s="77">
        <f>IFERROR(VLOOKUP(Vaktplan!$A$43,Vaktplan!$BU$4:$CL$35,86-AI69,FALSE),0)</f>
        <v>0</v>
      </c>
      <c r="M16" s="77">
        <f>IFERROR(VLOOKUP(Vaktplan!$A$43,Vaktplan!$BU$4:$CL$35,86-AH69,FALSE),0)</f>
        <v>0</v>
      </c>
      <c r="N16" s="9">
        <f>IFERROR(VLOOKUP(Vaktplan!$A$43,Vaktplan!$BU$4:$CL$35,89-$AI69,FALSE),0)</f>
        <v>0</v>
      </c>
      <c r="O16" s="9">
        <f t="shared" si="5"/>
        <v>0</v>
      </c>
      <c r="P16" s="9">
        <f t="shared" si="6"/>
        <v>24</v>
      </c>
      <c r="Q16" s="77">
        <f>IFERROR(VLOOKUP(Vaktplan!$A$43,Vaktplan!$BV$4:$CL$35,86-AJ69,FALSE),0)</f>
        <v>0</v>
      </c>
      <c r="R16" s="77">
        <f>IFERROR(VLOOKUP(Vaktplan!$A$43,Vaktplan!$BV$4:$CL$35,86-AI69,FALSE),0)</f>
        <v>0</v>
      </c>
      <c r="S16" s="9">
        <f>IFERROR(VLOOKUP(Vaktplan!$A$43,Vaktplan!$BV$4:$CL$35,89-$AJ69,FALSE),0)</f>
        <v>0</v>
      </c>
      <c r="T16" s="9">
        <f t="shared" si="0"/>
        <v>0</v>
      </c>
      <c r="U16" s="9">
        <f t="shared" si="7"/>
        <v>24</v>
      </c>
      <c r="V16" s="77">
        <f>IFERROR(VLOOKUP(Vaktplan!$A$43,Vaktplan!$BW$4:$CL$35,86-AK69,FALSE),0)</f>
        <v>0</v>
      </c>
      <c r="W16" s="77">
        <f>IFERROR(VLOOKUP(Vaktplan!$A$43,Vaktplan!$BW$4:$CL$35,86-AJ69,FALSE),0)</f>
        <v>0</v>
      </c>
      <c r="X16" s="9">
        <f>IFERROR(VLOOKUP(Vaktplan!$A$43,Vaktplan!$BW$4:$CL$35,89-$AK69,FALSE),0)</f>
        <v>0</v>
      </c>
      <c r="Y16" s="9">
        <f>IF(AND(V16=0,W16=0),0,IF(V16&lt;W16,((W16-V16)*24)-X16,(((1-V16)+W16)*24)-X16))</f>
        <v>0</v>
      </c>
      <c r="Z16" s="9">
        <f t="shared" si="9"/>
        <v>24</v>
      </c>
      <c r="AA16" s="77">
        <f>IFERROR(VLOOKUP(Vaktplan!$A$43,Vaktplan!$BX$4:$CL$35,86-AL69,FALSE),0)</f>
        <v>0</v>
      </c>
      <c r="AB16" s="77">
        <f>IFERROR(VLOOKUP(Vaktplan!$A$43,Vaktplan!$BX$4:$CL$35,86-AK69,FALSE),0)</f>
        <v>0</v>
      </c>
      <c r="AC16" s="9">
        <f>IFERROR(VLOOKUP(Vaktplan!$A$43,Vaktplan!$BX$4:$CL$35,89-$AL69,FALSE),0)</f>
        <v>0</v>
      </c>
      <c r="AD16" s="9">
        <f>IF(AND(AA16=0,AB16=0),0,IF(AA16&lt;AB16,((AB16-AA16)*24)-AC16,(((1-AA16)+AB16)*24)-AC16))</f>
        <v>0</v>
      </c>
      <c r="AE16" s="9">
        <f t="shared" si="11"/>
        <v>24</v>
      </c>
      <c r="AF16" s="77">
        <f>IFERROR(VLOOKUP(Vaktplan!$A$43,Vaktplan!$BY$4:$CL$35,86-AM69,FALSE),0)</f>
        <v>0</v>
      </c>
      <c r="AG16" s="77">
        <f>IFERROR(VLOOKUP(Vaktplan!$A$43,Vaktplan!$BY$4:$CL$35,86-AL69,FALSE),0)</f>
        <v>0</v>
      </c>
      <c r="AH16" s="9">
        <f>IFERROR(VLOOKUP(Vaktplan!$A$43,Vaktplan!$BY$4:$CL$35,89-$AM69,FALSE),0)</f>
        <v>0</v>
      </c>
      <c r="AI16" s="9">
        <f>IF(AND(AF16=0,AG16=0),0,IF(AF16&lt;AG16,((AG16-AF16)*24)-AH16,(((1-AF16)+AG16)*24)-AH16))</f>
        <v>0</v>
      </c>
      <c r="AJ16" s="9">
        <f t="shared" si="13"/>
        <v>24</v>
      </c>
      <c r="AK16" s="9">
        <f t="shared" si="1"/>
        <v>0</v>
      </c>
      <c r="AL16" s="10"/>
      <c r="AM16" s="10"/>
    </row>
    <row r="17" spans="1:43" ht="13" x14ac:dyDescent="0.25">
      <c r="A17" s="7">
        <v>12</v>
      </c>
      <c r="B17" s="77">
        <f>IFERROR(VLOOKUP(Vaktplan!$A$43,Vaktplan!$BZ$4:$CL$35,87-AH70,FALSE),0)</f>
        <v>0</v>
      </c>
      <c r="C17" s="77">
        <f>IFERROR(VLOOKUP(Vaktplan!$A$43,Vaktplan!$BZ$4:$CL$35,87-AG70,FALSE),0)</f>
        <v>0</v>
      </c>
      <c r="D17" s="9">
        <f>IFERROR(VLOOKUP(Vaktplan!$A$43,Vaktplan!$BZ$4:$CL$35,89-AG70,FALSE),0)</f>
        <v>0</v>
      </c>
      <c r="E17" s="9">
        <f t="shared" si="16"/>
        <v>0</v>
      </c>
      <c r="F17" s="9">
        <f t="shared" si="2"/>
        <v>24</v>
      </c>
      <c r="G17" s="77">
        <f>IFERROR(VLOOKUP(Vaktplan!$A$43,Vaktplan!$CA$4:$CL$35,86-AH70,FALSE),0)</f>
        <v>0</v>
      </c>
      <c r="H17" s="77">
        <f>IFERROR(VLOOKUP(Vaktplan!$A$43,Vaktplan!$CA$4:$CL$35,86-AG70,FALSE),0)</f>
        <v>0</v>
      </c>
      <c r="I17" s="9">
        <f>IFERROR(VLOOKUP(Vaktplan!$A$43,Vaktplan!$CA$4:$CL$35,89-$AH70,FALSE),0)</f>
        <v>0</v>
      </c>
      <c r="J17" s="9">
        <f t="shared" si="3"/>
        <v>0</v>
      </c>
      <c r="K17" s="9">
        <f t="shared" si="4"/>
        <v>24</v>
      </c>
      <c r="L17" s="77">
        <f>IFERROR(VLOOKUP(Vaktplan!$A$43,Vaktplan!$CB$4:$CL$35,86-AI70,FALSE),0)</f>
        <v>0</v>
      </c>
      <c r="M17" s="77">
        <f>IFERROR(VLOOKUP(Vaktplan!$A$43,Vaktplan!$CB$4:$CL$35,86-AH70,FALSE),0)</f>
        <v>0</v>
      </c>
      <c r="N17" s="9">
        <f>IFERROR(VLOOKUP(Vaktplan!$A$43,Vaktplan!$CB$4:$CL$35,89-$AI70,FALSE),0)</f>
        <v>0</v>
      </c>
      <c r="O17" s="9">
        <f t="shared" si="5"/>
        <v>0</v>
      </c>
      <c r="P17" s="9">
        <f t="shared" si="6"/>
        <v>24</v>
      </c>
      <c r="Q17" s="77">
        <f>IFERROR(VLOOKUP(Vaktplan!$A$43,Vaktplan!$CC$4:$CL$35,86-AJ70,FALSE),0)</f>
        <v>0</v>
      </c>
      <c r="R17" s="77">
        <f>IFERROR(VLOOKUP(Vaktplan!$A$43,Vaktplan!$CC$4:$CL$35,86-AI70,FALSE),0)</f>
        <v>0</v>
      </c>
      <c r="S17" s="9">
        <f>IFERROR(VLOOKUP(Vaktplan!$A$43,Vaktplan!$CC$4:$CL$35,89-$AJ70,FALSE),0)</f>
        <v>0</v>
      </c>
      <c r="T17" s="9">
        <f t="shared" si="0"/>
        <v>0</v>
      </c>
      <c r="U17" s="9">
        <f t="shared" si="7"/>
        <v>24</v>
      </c>
      <c r="V17" s="77">
        <f>IFERROR(VLOOKUP(Vaktplan!$A$43,Vaktplan!$CD$4:$CL$35,86-AK70,FALSE),0)</f>
        <v>0</v>
      </c>
      <c r="W17" s="77">
        <f>IFERROR(VLOOKUP(Vaktplan!$A$43,Vaktplan!$CD$4:$CL$35,86-AJ70,FALSE),0)</f>
        <v>0</v>
      </c>
      <c r="X17" s="9">
        <f>IFERROR(VLOOKUP(Vaktplan!$A$43,Vaktplan!$CD$4:$CL$35,89-$AK70,FALSE),0)</f>
        <v>0</v>
      </c>
      <c r="Y17" s="9">
        <f>IF(AND(V17=0,W17=0),0,IF(V17&lt;W17,((W17-V17)*24)-X17,(((1-V17)+W17)*24)-X17))</f>
        <v>0</v>
      </c>
      <c r="Z17" s="9">
        <f t="shared" si="9"/>
        <v>24</v>
      </c>
      <c r="AA17" s="77">
        <f>IFERROR(VLOOKUP(Vaktplan!$A$43,Vaktplan!$CE$4:$CL$35,86-AL70,FALSE),0)</f>
        <v>0</v>
      </c>
      <c r="AB17" s="77">
        <f>IFERROR(VLOOKUP(Vaktplan!$A$43,Vaktplan!$CE$4:$CL$35,86-AK70,FALSE),0)</f>
        <v>0</v>
      </c>
      <c r="AC17" s="9">
        <f>IFERROR(VLOOKUP(Vaktplan!$A$43,Vaktplan!$CE$4:$FCE$35,89-$AL70,FALSE),0)</f>
        <v>0</v>
      </c>
      <c r="AD17" s="9">
        <f>IF(AND(AA17=0,AB17=0),0,IF(AA17&lt;AB17,((AB17-AA17)*24)-AC17,(((1-AA17)+AB17)*24)-AC17))</f>
        <v>0</v>
      </c>
      <c r="AE17" s="9">
        <f t="shared" si="11"/>
        <v>24</v>
      </c>
      <c r="AF17" s="77">
        <f>IFERROR(VLOOKUP(Vaktplan!$A$43,Vaktplan!$CF$4:$CL$35,86-AM70,FALSE),0)</f>
        <v>0</v>
      </c>
      <c r="AG17" s="77">
        <f>IFERROR(VLOOKUP(Vaktplan!$A$43,Vaktplan!$CF$4:$CL$35,86-AL70,FALSE),0)</f>
        <v>0</v>
      </c>
      <c r="AH17" s="9">
        <f>IFERROR(VLOOKUP(Vaktplan!$A$43,Vaktplan!$CF$4:$CL$35,89-$AM70,FALSE),0)</f>
        <v>0</v>
      </c>
      <c r="AI17" s="9">
        <f>IF(AND(AF17=0,AG17=0),0,IF(AF17&lt;AG17,((AG17-AF17)*24)-AH17,(((1-AF17)+AG17)*24)-AH17))</f>
        <v>0</v>
      </c>
      <c r="AJ17" s="9">
        <f t="shared" si="13"/>
        <v>24</v>
      </c>
      <c r="AK17" s="9">
        <f t="shared" si="1"/>
        <v>0</v>
      </c>
      <c r="AL17" s="10"/>
      <c r="AM17" s="10"/>
    </row>
    <row r="19" spans="1:43" ht="13" x14ac:dyDescent="0.3">
      <c r="A19" s="4" t="s">
        <v>76</v>
      </c>
    </row>
    <row r="20" spans="1:43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3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3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3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3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6" spans="1:43" ht="13" x14ac:dyDescent="0.3">
      <c r="A26" s="4" t="s">
        <v>77</v>
      </c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</row>
    <row r="27" spans="1:43" ht="13" x14ac:dyDescent="0.3">
      <c r="A27" s="3" t="s">
        <v>78</v>
      </c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80" t="s">
        <v>79</v>
      </c>
      <c r="AM27" s="78"/>
      <c r="AN27" s="78"/>
      <c r="AO27" s="78"/>
    </row>
    <row r="28" spans="1:43" ht="13" x14ac:dyDescent="0.3">
      <c r="A28" s="98" t="s">
        <v>36</v>
      </c>
      <c r="B28" s="98"/>
      <c r="C28" s="98"/>
      <c r="D28" s="88"/>
      <c r="E28" s="8">
        <f>E2</f>
        <v>0</v>
      </c>
      <c r="F28" s="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>
        <v>1</v>
      </c>
      <c r="AM28" s="78"/>
      <c r="AN28" s="78"/>
      <c r="AO28" s="78"/>
    </row>
    <row r="29" spans="1:43" ht="13" x14ac:dyDescent="0.3">
      <c r="A29" s="98" t="s">
        <v>80</v>
      </c>
      <c r="B29" s="98"/>
      <c r="C29" s="98"/>
      <c r="D29" s="88"/>
      <c r="E29" s="5">
        <f>E3</f>
        <v>0</v>
      </c>
      <c r="F29" s="5"/>
      <c r="T29" s="10"/>
      <c r="U29" s="10"/>
      <c r="V29" s="10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80" t="s">
        <v>81</v>
      </c>
      <c r="AH29" s="80"/>
      <c r="AI29" s="78"/>
      <c r="AJ29" s="78"/>
      <c r="AK29" s="78"/>
      <c r="AL29" s="78">
        <v>2</v>
      </c>
      <c r="AM29" s="78"/>
      <c r="AN29" s="78"/>
      <c r="AO29" s="78"/>
      <c r="AP29" s="10"/>
      <c r="AQ29" s="10"/>
    </row>
    <row r="30" spans="1:43" ht="13" x14ac:dyDescent="0.3">
      <c r="A30" s="98" t="s">
        <v>82</v>
      </c>
      <c r="B30" s="98"/>
      <c r="C30" s="98"/>
      <c r="D30" s="88"/>
      <c r="T30" s="10"/>
      <c r="U30" s="10"/>
      <c r="V30" s="10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>
        <v>3</v>
      </c>
      <c r="AM30" s="78"/>
      <c r="AN30" s="78"/>
      <c r="AO30" s="78"/>
      <c r="AP30" s="10"/>
      <c r="AQ30" s="10"/>
    </row>
    <row r="31" spans="1:43" ht="13" x14ac:dyDescent="0.3">
      <c r="A31" s="4" t="s">
        <v>83</v>
      </c>
      <c r="B31" s="4" t="s">
        <v>84</v>
      </c>
      <c r="C31" s="4" t="s">
        <v>85</v>
      </c>
      <c r="D31" s="98" t="s">
        <v>86</v>
      </c>
      <c r="E31" s="98"/>
      <c r="F31" s="4" t="s">
        <v>87</v>
      </c>
      <c r="G31" s="4" t="s">
        <v>88</v>
      </c>
      <c r="H31" s="98" t="s">
        <v>27</v>
      </c>
      <c r="I31" s="98"/>
      <c r="J31" s="4" t="s">
        <v>28</v>
      </c>
      <c r="K31" s="4" t="s">
        <v>29</v>
      </c>
      <c r="L31" s="4" t="s">
        <v>30</v>
      </c>
      <c r="M31" s="4" t="s">
        <v>31</v>
      </c>
      <c r="N31" s="98" t="s">
        <v>32</v>
      </c>
      <c r="O31" s="98"/>
      <c r="T31" s="10"/>
      <c r="U31" s="10"/>
      <c r="V31" s="10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80" t="s">
        <v>9</v>
      </c>
      <c r="AH31" s="80"/>
      <c r="AI31" s="78"/>
      <c r="AJ31" s="78"/>
      <c r="AK31" s="78"/>
      <c r="AL31" s="78">
        <v>4</v>
      </c>
      <c r="AM31" s="78"/>
      <c r="AN31" s="78"/>
      <c r="AO31" s="78"/>
      <c r="AP31" s="10"/>
      <c r="AQ31" s="10"/>
    </row>
    <row r="32" spans="1:43" ht="13" x14ac:dyDescent="0.3">
      <c r="A32" s="3">
        <f>AK6</f>
        <v>0</v>
      </c>
      <c r="B32" s="3">
        <f>AK7</f>
        <v>0</v>
      </c>
      <c r="C32" s="3">
        <f>AK8</f>
        <v>0</v>
      </c>
      <c r="D32" s="101">
        <f>AK9</f>
        <v>0</v>
      </c>
      <c r="E32" s="101"/>
      <c r="F32" s="3">
        <f>AK10</f>
        <v>0</v>
      </c>
      <c r="G32" s="3">
        <f>AK11</f>
        <v>0</v>
      </c>
      <c r="H32" s="101">
        <f>AK12</f>
        <v>0</v>
      </c>
      <c r="I32" s="101"/>
      <c r="J32" s="3">
        <f>AK13</f>
        <v>0</v>
      </c>
      <c r="K32" s="3">
        <f>AK14</f>
        <v>0</v>
      </c>
      <c r="L32" s="3">
        <f>AK15</f>
        <v>0</v>
      </c>
      <c r="M32" s="3">
        <f>AK16</f>
        <v>0</v>
      </c>
      <c r="N32" s="101">
        <f>AK17</f>
        <v>0</v>
      </c>
      <c r="O32" s="101"/>
      <c r="T32" s="11" t="s">
        <v>70</v>
      </c>
      <c r="U32" s="10" t="s">
        <v>89</v>
      </c>
      <c r="V32" s="10" t="s">
        <v>90</v>
      </c>
      <c r="W32" s="78" t="s">
        <v>91</v>
      </c>
      <c r="X32" s="78" t="s">
        <v>92</v>
      </c>
      <c r="Y32" s="78" t="s">
        <v>93</v>
      </c>
      <c r="Z32" s="78" t="s">
        <v>94</v>
      </c>
      <c r="AA32" s="78"/>
      <c r="AB32" s="78"/>
      <c r="AC32" s="78"/>
      <c r="AD32" s="78"/>
      <c r="AE32" s="78"/>
      <c r="AF32" s="78"/>
      <c r="AG32" s="78" t="s">
        <v>10</v>
      </c>
      <c r="AH32" s="78"/>
      <c r="AI32" s="79">
        <v>42177</v>
      </c>
      <c r="AJ32" s="79"/>
      <c r="AK32" s="78"/>
      <c r="AL32" s="78">
        <v>5</v>
      </c>
      <c r="AM32" s="78"/>
      <c r="AN32" s="78"/>
      <c r="AO32" s="78"/>
      <c r="AP32" s="10"/>
      <c r="AQ32" s="10"/>
    </row>
    <row r="33" spans="1:43" ht="13" x14ac:dyDescent="0.3">
      <c r="A33" s="98" t="s">
        <v>95</v>
      </c>
      <c r="B33" s="98"/>
      <c r="C33" s="98"/>
      <c r="D33" s="88"/>
      <c r="G33" s="101"/>
      <c r="H33" s="101"/>
      <c r="I33" s="90"/>
      <c r="T33" s="10">
        <v>1</v>
      </c>
      <c r="U33" s="10">
        <f>IF(AND(B6&gt;0,G6&gt;0),0,IF(AND(G6&gt;0),0,F6+K6))</f>
        <v>48</v>
      </c>
      <c r="V33" s="10">
        <f>IF(AND(G6&gt;0,L6&gt;0),0,IF(AND(L6&gt;0),0,K6+P6))</f>
        <v>48</v>
      </c>
      <c r="W33" s="78">
        <f>IF(AND(L6&gt;0,Q6&gt;0),0,IF(AND(Q6&gt;0),0,P6+U6))</f>
        <v>48</v>
      </c>
      <c r="X33" s="78">
        <f>IF(AND(Q6&gt;0,V6&gt;0),0,IF(AND(V6&gt;0),0,U6+Z6))</f>
        <v>48</v>
      </c>
      <c r="Y33" s="78">
        <f>IF(AND(V6&gt;0,AA6&gt;0),0,IF(AND(AA6&gt;0),0,Z6+AE6))</f>
        <v>48</v>
      </c>
      <c r="Z33" s="78">
        <f>IF(AND(AA6&gt;0,AF6&gt;0),0,IF(AND(AF6&gt;0),0,AE6+AJ6))</f>
        <v>48</v>
      </c>
      <c r="AA33" s="78"/>
      <c r="AB33" s="78"/>
      <c r="AC33" s="78"/>
      <c r="AD33" s="78"/>
      <c r="AE33" s="78"/>
      <c r="AF33" s="78"/>
      <c r="AG33" s="78" t="s">
        <v>11</v>
      </c>
      <c r="AH33" s="78"/>
      <c r="AI33" s="79">
        <v>42178</v>
      </c>
      <c r="AJ33" s="79"/>
      <c r="AK33" s="78"/>
      <c r="AL33" s="78">
        <v>6</v>
      </c>
      <c r="AM33" s="78"/>
      <c r="AN33" s="78"/>
      <c r="AO33" s="78"/>
      <c r="AP33" s="10"/>
      <c r="AQ33" s="10"/>
    </row>
    <row r="34" spans="1:43" x14ac:dyDescent="0.25">
      <c r="A34" s="101" t="s">
        <v>96</v>
      </c>
      <c r="B34" s="101"/>
      <c r="C34" s="3">
        <f>(AK6+AK7+AK8+AK9+AK10+AK11+AK12+AK13+AK14+AK15+AK16+AK17)/M1</f>
        <v>0</v>
      </c>
      <c r="T34" s="10">
        <v>2</v>
      </c>
      <c r="U34" s="10">
        <f t="shared" ref="U34:U40" si="17">IF(AND(B7&gt;0,G7&gt;0),0,IF(AND(G7&gt;0),0,F7+K7))</f>
        <v>48</v>
      </c>
      <c r="V34" s="10">
        <f t="shared" ref="V34:V40" si="18">IF(AND(G7&gt;0,L7&gt;0),0,IF(AND(L7&gt;0),0,K7+P7))</f>
        <v>48</v>
      </c>
      <c r="W34" s="78">
        <f t="shared" ref="W34:W44" si="19">IF(AND(L7&gt;0,Q7&gt;0),0,IF(AND(Q7&gt;0),0,P7+U7))</f>
        <v>48</v>
      </c>
      <c r="X34" s="78">
        <f t="shared" ref="X34:X44" si="20">IF(AND(Q7&gt;0,V7&gt;0),0,IF(AND(V7&gt;0),0,U7+Z7))</f>
        <v>48</v>
      </c>
      <c r="Y34" s="78">
        <f t="shared" ref="Y34:Y44" si="21">IF(AND(V7&gt;0,AA7&gt;0),0,IF(AND(AA7&gt;0),0,Z7+AE7))</f>
        <v>48</v>
      </c>
      <c r="Z34" s="78">
        <f t="shared" ref="Z34:Z44" si="22">IF(AND(AA7&gt;0,AF7&gt;0),0,IF(AND(AF7&gt;0),0,AE7+AJ7))</f>
        <v>48</v>
      </c>
      <c r="AA34" s="78"/>
      <c r="AB34" s="78"/>
      <c r="AC34" s="78"/>
      <c r="AD34" s="78"/>
      <c r="AE34" s="78"/>
      <c r="AF34" s="78"/>
      <c r="AG34" s="78" t="s">
        <v>12</v>
      </c>
      <c r="AH34" s="78"/>
      <c r="AI34" s="79">
        <v>42179</v>
      </c>
      <c r="AJ34" s="79"/>
      <c r="AK34" s="78"/>
      <c r="AL34" s="78">
        <v>7</v>
      </c>
      <c r="AM34" s="78"/>
      <c r="AN34" s="78"/>
      <c r="AO34" s="78"/>
      <c r="AP34" s="10"/>
      <c r="AQ34" s="10"/>
    </row>
    <row r="35" spans="1:43" x14ac:dyDescent="0.25">
      <c r="T35" s="10">
        <v>3</v>
      </c>
      <c r="U35" s="10">
        <f t="shared" si="17"/>
        <v>48</v>
      </c>
      <c r="V35" s="10">
        <f t="shared" si="18"/>
        <v>48</v>
      </c>
      <c r="W35" s="78">
        <f t="shared" si="19"/>
        <v>48</v>
      </c>
      <c r="X35" s="78">
        <f t="shared" si="20"/>
        <v>48</v>
      </c>
      <c r="Y35" s="78">
        <f t="shared" si="21"/>
        <v>48</v>
      </c>
      <c r="Z35" s="78">
        <f t="shared" si="22"/>
        <v>48</v>
      </c>
      <c r="AA35" s="78"/>
      <c r="AB35" s="78"/>
      <c r="AC35" s="78"/>
      <c r="AD35" s="78"/>
      <c r="AE35" s="78"/>
      <c r="AF35" s="78"/>
      <c r="AG35" s="78" t="s">
        <v>13</v>
      </c>
      <c r="AH35" s="78"/>
      <c r="AI35" s="79">
        <v>42180</v>
      </c>
      <c r="AJ35" s="79"/>
      <c r="AK35" s="78"/>
      <c r="AL35" s="78">
        <v>8</v>
      </c>
      <c r="AM35" s="78"/>
      <c r="AN35" s="78"/>
      <c r="AO35" s="78"/>
      <c r="AP35" s="78"/>
      <c r="AQ35" s="10"/>
    </row>
    <row r="36" spans="1:43" ht="13" x14ac:dyDescent="0.3">
      <c r="A36" s="98" t="s">
        <v>97</v>
      </c>
      <c r="B36" s="98"/>
      <c r="C36" s="98"/>
      <c r="D36" s="98"/>
      <c r="E36" s="98"/>
      <c r="F36" s="88"/>
      <c r="T36" s="10">
        <v>4</v>
      </c>
      <c r="U36" s="10">
        <f t="shared" si="17"/>
        <v>48</v>
      </c>
      <c r="V36" s="10">
        <f t="shared" si="18"/>
        <v>48</v>
      </c>
      <c r="W36" s="78">
        <f t="shared" si="19"/>
        <v>48</v>
      </c>
      <c r="X36" s="78">
        <f t="shared" si="20"/>
        <v>48</v>
      </c>
      <c r="Y36" s="78">
        <f t="shared" si="21"/>
        <v>48</v>
      </c>
      <c r="Z36" s="78">
        <f t="shared" si="22"/>
        <v>48</v>
      </c>
      <c r="AA36" s="78"/>
      <c r="AB36" s="78"/>
      <c r="AC36" s="78"/>
      <c r="AD36" s="78"/>
      <c r="AE36" s="78"/>
      <c r="AF36" s="78"/>
      <c r="AG36" s="78" t="s">
        <v>14</v>
      </c>
      <c r="AH36" s="78"/>
      <c r="AI36" s="79">
        <v>42181</v>
      </c>
      <c r="AJ36" s="79"/>
      <c r="AK36" s="78"/>
      <c r="AL36" s="3">
        <v>9</v>
      </c>
      <c r="AM36" s="78"/>
      <c r="AN36" s="78"/>
      <c r="AO36" s="78"/>
      <c r="AP36" s="78"/>
      <c r="AQ36" s="10"/>
    </row>
    <row r="37" spans="1:43" x14ac:dyDescent="0.25">
      <c r="A37" s="99" t="e">
        <f>C34/E3</f>
        <v>#DIV/0!</v>
      </c>
      <c r="B37" s="99"/>
      <c r="C37" s="99"/>
      <c r="T37" s="10">
        <v>5</v>
      </c>
      <c r="U37" s="10">
        <f t="shared" si="17"/>
        <v>48</v>
      </c>
      <c r="V37" s="10">
        <f t="shared" si="18"/>
        <v>48</v>
      </c>
      <c r="W37" s="78">
        <f t="shared" si="19"/>
        <v>48</v>
      </c>
      <c r="X37" s="78">
        <f t="shared" si="20"/>
        <v>48</v>
      </c>
      <c r="Y37" s="78">
        <f t="shared" si="21"/>
        <v>48</v>
      </c>
      <c r="Z37" s="78">
        <f t="shared" si="22"/>
        <v>48</v>
      </c>
      <c r="AA37" s="78"/>
      <c r="AB37" s="78"/>
      <c r="AC37" s="78"/>
      <c r="AD37" s="78"/>
      <c r="AE37" s="78"/>
      <c r="AF37" s="78"/>
      <c r="AG37" s="78" t="s">
        <v>15</v>
      </c>
      <c r="AH37" s="78"/>
      <c r="AI37" s="79">
        <v>42182</v>
      </c>
      <c r="AJ37" s="79"/>
      <c r="AK37" s="78"/>
      <c r="AL37" s="3">
        <v>10</v>
      </c>
      <c r="AM37" s="78"/>
      <c r="AN37" s="78"/>
      <c r="AO37" s="78"/>
      <c r="AP37" s="78"/>
      <c r="AQ37" s="10"/>
    </row>
    <row r="38" spans="1:43" x14ac:dyDescent="0.25">
      <c r="T38" s="10">
        <v>6</v>
      </c>
      <c r="U38" s="10">
        <f t="shared" si="17"/>
        <v>48</v>
      </c>
      <c r="V38" s="10">
        <f t="shared" si="18"/>
        <v>48</v>
      </c>
      <c r="W38" s="78">
        <f t="shared" si="19"/>
        <v>48</v>
      </c>
      <c r="X38" s="78">
        <f t="shared" si="20"/>
        <v>48</v>
      </c>
      <c r="Y38" s="78">
        <f t="shared" si="21"/>
        <v>48</v>
      </c>
      <c r="Z38" s="78">
        <f t="shared" si="22"/>
        <v>48</v>
      </c>
      <c r="AA38" s="78"/>
      <c r="AB38" s="78"/>
      <c r="AC38" s="78"/>
      <c r="AD38" s="78"/>
      <c r="AE38" s="78"/>
      <c r="AF38" s="78"/>
      <c r="AG38" s="78" t="s">
        <v>16</v>
      </c>
      <c r="AH38" s="78"/>
      <c r="AI38" s="79">
        <v>42183</v>
      </c>
      <c r="AJ38" s="79"/>
      <c r="AK38" s="78"/>
      <c r="AL38" s="3">
        <v>11</v>
      </c>
      <c r="AM38" s="78"/>
      <c r="AN38" s="78"/>
      <c r="AO38" s="78"/>
      <c r="AP38" s="78"/>
      <c r="AQ38" s="10"/>
    </row>
    <row r="39" spans="1:43" x14ac:dyDescent="0.25">
      <c r="T39" s="10">
        <v>7</v>
      </c>
      <c r="U39" s="10">
        <f t="shared" si="17"/>
        <v>48</v>
      </c>
      <c r="V39" s="10">
        <f t="shared" si="18"/>
        <v>48</v>
      </c>
      <c r="W39" s="78">
        <f t="shared" si="19"/>
        <v>48</v>
      </c>
      <c r="X39" s="78">
        <f t="shared" si="20"/>
        <v>48</v>
      </c>
      <c r="Y39" s="78">
        <f t="shared" si="21"/>
        <v>48</v>
      </c>
      <c r="Z39" s="78">
        <f t="shared" si="22"/>
        <v>48</v>
      </c>
      <c r="AA39" s="78"/>
      <c r="AB39" s="78"/>
      <c r="AC39" s="78"/>
      <c r="AD39" s="78"/>
      <c r="AE39" s="78"/>
      <c r="AF39" s="78"/>
      <c r="AG39" s="100">
        <f>IF(E1=AG32,AI32,IF(E1=AG33,AI33,IF(E1=AG34,AI34,IF(E1=AG35,AI35,IF(E1=AG36,AI36,IF(E1=AG37,AI37,IF(E1=AG38,AI38,AI32)))))))</f>
        <v>42177</v>
      </c>
      <c r="AH39" s="100"/>
      <c r="AI39" s="100"/>
      <c r="AJ39" s="100"/>
      <c r="AK39" s="100"/>
      <c r="AL39" s="3">
        <v>12</v>
      </c>
      <c r="AM39" s="78"/>
      <c r="AN39" s="78"/>
      <c r="AO39" s="78"/>
      <c r="AP39" s="78"/>
      <c r="AQ39" s="10"/>
    </row>
    <row r="40" spans="1:43" ht="13" x14ac:dyDescent="0.3">
      <c r="A40" s="4" t="s">
        <v>98</v>
      </c>
      <c r="T40" s="10">
        <v>8</v>
      </c>
      <c r="U40" s="10">
        <f t="shared" si="17"/>
        <v>48</v>
      </c>
      <c r="V40" s="10">
        <f t="shared" si="18"/>
        <v>48</v>
      </c>
      <c r="W40" s="78">
        <f t="shared" si="19"/>
        <v>48</v>
      </c>
      <c r="X40" s="78">
        <f t="shared" si="20"/>
        <v>48</v>
      </c>
      <c r="Y40" s="78">
        <f t="shared" si="21"/>
        <v>48</v>
      </c>
      <c r="Z40" s="78">
        <f t="shared" si="22"/>
        <v>48</v>
      </c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10"/>
    </row>
    <row r="41" spans="1:43" x14ac:dyDescent="0.25">
      <c r="A41" s="3" t="s">
        <v>99</v>
      </c>
      <c r="T41" s="10"/>
      <c r="U41" s="10"/>
      <c r="V41" s="10"/>
      <c r="W41" s="78">
        <f t="shared" si="19"/>
        <v>48</v>
      </c>
      <c r="X41" s="78">
        <f t="shared" si="20"/>
        <v>48</v>
      </c>
      <c r="Y41" s="78">
        <f t="shared" si="21"/>
        <v>48</v>
      </c>
      <c r="Z41" s="78">
        <f t="shared" si="22"/>
        <v>48</v>
      </c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10"/>
    </row>
    <row r="42" spans="1:43" ht="13" x14ac:dyDescent="0.3">
      <c r="A42" s="3" t="s">
        <v>100</v>
      </c>
      <c r="O42" s="81">
        <v>0.29166666666666669</v>
      </c>
      <c r="P42" s="81">
        <v>0.33333333333333331</v>
      </c>
      <c r="Q42" s="3">
        <f>(P42-O42)*24</f>
        <v>0.99999999999999911</v>
      </c>
      <c r="T42" s="10"/>
      <c r="U42" s="10"/>
      <c r="V42" s="10"/>
      <c r="W42" s="78">
        <f t="shared" si="19"/>
        <v>48</v>
      </c>
      <c r="X42" s="78">
        <f t="shared" si="20"/>
        <v>48</v>
      </c>
      <c r="Y42" s="78">
        <f t="shared" si="21"/>
        <v>48</v>
      </c>
      <c r="Z42" s="78">
        <f t="shared" si="22"/>
        <v>48</v>
      </c>
      <c r="AA42" s="78"/>
      <c r="AB42" s="78"/>
      <c r="AC42" s="78"/>
      <c r="AD42" s="78"/>
      <c r="AE42" s="78"/>
      <c r="AF42" s="78"/>
      <c r="AG42" s="80" t="s">
        <v>101</v>
      </c>
      <c r="AH42" s="80"/>
      <c r="AI42" s="78"/>
      <c r="AJ42" s="78"/>
      <c r="AK42" s="78"/>
      <c r="AL42" s="80" t="s">
        <v>102</v>
      </c>
      <c r="AM42" s="78"/>
      <c r="AN42" s="78"/>
      <c r="AO42" s="78"/>
      <c r="AP42" s="78"/>
      <c r="AQ42" s="10"/>
    </row>
    <row r="43" spans="1:43" x14ac:dyDescent="0.25">
      <c r="T43" s="10"/>
      <c r="U43" s="10"/>
      <c r="V43" s="10"/>
      <c r="W43" s="78">
        <f t="shared" si="19"/>
        <v>48</v>
      </c>
      <c r="X43" s="78">
        <f t="shared" si="20"/>
        <v>48</v>
      </c>
      <c r="Y43" s="78">
        <f t="shared" si="21"/>
        <v>48</v>
      </c>
      <c r="Z43" s="78">
        <f t="shared" si="22"/>
        <v>48</v>
      </c>
      <c r="AA43" s="78"/>
      <c r="AB43" s="78"/>
      <c r="AC43" s="78"/>
      <c r="AD43" s="78"/>
      <c r="AE43" s="78"/>
      <c r="AF43" s="78"/>
      <c r="AG43" s="78">
        <v>33.6</v>
      </c>
      <c r="AH43" s="78"/>
      <c r="AI43" s="78"/>
      <c r="AJ43" s="78"/>
      <c r="AK43" s="78"/>
      <c r="AL43" s="78" t="s">
        <v>103</v>
      </c>
      <c r="AM43" s="78"/>
      <c r="AN43" s="78"/>
      <c r="AO43" s="78"/>
      <c r="AP43" s="78"/>
      <c r="AQ43" s="10"/>
    </row>
    <row r="44" spans="1:43" x14ac:dyDescent="0.25">
      <c r="A44" s="3" t="s">
        <v>104</v>
      </c>
      <c r="T44" s="10"/>
      <c r="U44" s="10"/>
      <c r="V44" s="10"/>
      <c r="W44" s="78">
        <f t="shared" si="19"/>
        <v>48</v>
      </c>
      <c r="X44" s="78">
        <f t="shared" si="20"/>
        <v>48</v>
      </c>
      <c r="Y44" s="78">
        <f t="shared" si="21"/>
        <v>48</v>
      </c>
      <c r="Z44" s="78">
        <f t="shared" si="22"/>
        <v>48</v>
      </c>
      <c r="AA44" s="78"/>
      <c r="AB44" s="78"/>
      <c r="AC44" s="78"/>
      <c r="AD44" s="78"/>
      <c r="AE44" s="78"/>
      <c r="AF44" s="78"/>
      <c r="AG44" s="78">
        <v>35.5</v>
      </c>
      <c r="AH44" s="78"/>
      <c r="AI44" s="78"/>
      <c r="AJ44" s="78"/>
      <c r="AK44" s="78"/>
      <c r="AL44" s="78" t="s">
        <v>105</v>
      </c>
      <c r="AM44" s="78"/>
      <c r="AN44" s="78"/>
      <c r="AO44" s="78"/>
      <c r="AP44" s="78"/>
      <c r="AQ44" s="10"/>
    </row>
    <row r="45" spans="1:43" x14ac:dyDescent="0.25">
      <c r="A45" s="1">
        <v>11</v>
      </c>
      <c r="B45" s="5">
        <f>COUNTIF($F$6:$F$13,"&lt;" &amp; A45)+COUNTIF($K$6:$K$13,"&lt;" &amp; A45)+COUNTIF($P$6:$P$13,"&lt;" &amp; A45)+COUNTIF($U$6:$U$13,"&lt;" &amp; A45)+COUNTIF($Z$6:$Z$13,"&lt;" &amp; A45)+COUNTIF($AE$6:$AE$13,"&lt;" &amp; A45)+COUNTIF($AJ$6:$AJ$13,"&lt;" &amp; A45)</f>
        <v>0</v>
      </c>
      <c r="T45" s="10"/>
      <c r="U45" s="10"/>
      <c r="V45" s="10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>
        <v>37.5</v>
      </c>
      <c r="AH45" s="78"/>
      <c r="AI45" s="78"/>
      <c r="AJ45" s="78"/>
      <c r="AK45" s="78"/>
      <c r="AL45" s="78"/>
      <c r="AM45" s="78"/>
      <c r="AN45" s="78"/>
      <c r="AO45" s="78"/>
      <c r="AP45" s="78"/>
      <c r="AQ45" s="10"/>
    </row>
    <row r="46" spans="1:43" x14ac:dyDescent="0.25">
      <c r="T46" s="10"/>
      <c r="U46" s="10"/>
      <c r="V46" s="10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78"/>
      <c r="AQ46" s="10"/>
    </row>
    <row r="47" spans="1:43" x14ac:dyDescent="0.25">
      <c r="T47" s="10"/>
      <c r="U47" s="10"/>
      <c r="V47" s="10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10"/>
    </row>
    <row r="48" spans="1:43" x14ac:dyDescent="0.25">
      <c r="T48" s="10"/>
      <c r="U48" s="10"/>
      <c r="V48" s="10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78"/>
      <c r="AO48" s="78"/>
      <c r="AP48" s="78"/>
      <c r="AQ48" s="10"/>
    </row>
    <row r="49" spans="1:43" ht="13" x14ac:dyDescent="0.3">
      <c r="A49" s="4" t="s">
        <v>106</v>
      </c>
      <c r="T49" s="10"/>
      <c r="U49" s="10"/>
      <c r="V49" s="10"/>
      <c r="W49" s="78"/>
      <c r="X49" s="78"/>
      <c r="Y49" s="78"/>
      <c r="Z49" s="78"/>
      <c r="AA49" s="78"/>
      <c r="AB49" s="80" t="s">
        <v>107</v>
      </c>
      <c r="AC49" s="80"/>
      <c r="AD49" s="78"/>
      <c r="AE49" s="78"/>
      <c r="AF49" s="78"/>
      <c r="AG49" s="78"/>
      <c r="AH49" s="78"/>
      <c r="AI49" s="78"/>
      <c r="AJ49" s="78"/>
      <c r="AK49" s="78"/>
      <c r="AL49" s="78"/>
      <c r="AM49" s="78"/>
      <c r="AN49" s="78"/>
      <c r="AO49" s="78"/>
      <c r="AP49" s="78"/>
      <c r="AQ49" s="10"/>
    </row>
    <row r="50" spans="1:43" x14ac:dyDescent="0.25">
      <c r="A50" s="3" t="s">
        <v>108</v>
      </c>
      <c r="T50" s="10"/>
      <c r="U50" s="10"/>
      <c r="V50" s="10"/>
      <c r="W50" s="78"/>
      <c r="X50" s="78"/>
      <c r="Y50" s="78"/>
      <c r="Z50" s="78"/>
      <c r="AA50" s="78"/>
      <c r="AB50" s="78" t="s">
        <v>109</v>
      </c>
      <c r="AC50" s="78"/>
      <c r="AD50" s="78"/>
      <c r="AE50" s="78"/>
      <c r="AF50" s="78"/>
      <c r="AG50" s="78"/>
      <c r="AH50" s="78"/>
      <c r="AI50" s="78"/>
      <c r="AJ50" s="78"/>
      <c r="AK50" s="78"/>
      <c r="AL50" s="78"/>
      <c r="AM50" s="78"/>
      <c r="AN50" s="78"/>
      <c r="AO50" s="78"/>
      <c r="AP50" s="78"/>
      <c r="AQ50" s="10"/>
    </row>
    <row r="51" spans="1:43" ht="13" x14ac:dyDescent="0.3">
      <c r="A51" s="4" t="s">
        <v>110</v>
      </c>
      <c r="T51" s="10"/>
      <c r="U51" s="10"/>
      <c r="V51" s="10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  <c r="AN51" s="78"/>
      <c r="AO51" s="78"/>
      <c r="AP51" s="78"/>
      <c r="AQ51" s="10"/>
    </row>
    <row r="52" spans="1:43" x14ac:dyDescent="0.25">
      <c r="A52" s="3" t="s">
        <v>111</v>
      </c>
      <c r="T52" s="10"/>
      <c r="U52" s="10"/>
      <c r="V52" s="10"/>
      <c r="W52" s="78"/>
      <c r="X52" s="78"/>
      <c r="Y52" s="78"/>
      <c r="Z52" s="78"/>
      <c r="AA52" s="78"/>
      <c r="AB52" s="78" t="s">
        <v>112</v>
      </c>
      <c r="AC52" s="78"/>
      <c r="AD52" s="78"/>
      <c r="AE52" s="78"/>
      <c r="AF52" s="78"/>
      <c r="AG52" s="78"/>
      <c r="AH52" s="78"/>
      <c r="AI52" s="78"/>
      <c r="AJ52" s="78"/>
      <c r="AK52" s="78"/>
      <c r="AL52" s="78"/>
      <c r="AM52" s="78"/>
      <c r="AN52" s="78"/>
      <c r="AO52" s="78"/>
      <c r="AP52" s="78"/>
      <c r="AQ52" s="10"/>
    </row>
    <row r="53" spans="1:43" x14ac:dyDescent="0.25">
      <c r="A53" s="3" t="s">
        <v>113</v>
      </c>
      <c r="T53" s="10"/>
      <c r="U53" s="10"/>
      <c r="V53" s="10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78"/>
      <c r="AO53" s="78"/>
      <c r="AP53" s="78"/>
      <c r="AQ53" s="10"/>
    </row>
    <row r="54" spans="1:43" x14ac:dyDescent="0.25">
      <c r="A54" s="3" t="s">
        <v>114</v>
      </c>
      <c r="T54" s="10"/>
      <c r="U54" s="10"/>
      <c r="V54" s="10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78"/>
      <c r="AL54" s="78"/>
      <c r="AM54" s="78"/>
      <c r="AN54" s="78"/>
      <c r="AO54" s="78"/>
      <c r="AP54" s="78"/>
      <c r="AQ54" s="10"/>
    </row>
    <row r="55" spans="1:43" x14ac:dyDescent="0.25">
      <c r="T55" s="10"/>
      <c r="U55" s="10"/>
      <c r="V55" s="10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10"/>
    </row>
    <row r="56" spans="1:43" ht="13" x14ac:dyDescent="0.3">
      <c r="A56" s="4" t="s">
        <v>115</v>
      </c>
      <c r="T56" s="10"/>
      <c r="U56" s="10"/>
      <c r="V56" s="10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78"/>
      <c r="AO56" s="78"/>
      <c r="AP56" s="78"/>
      <c r="AQ56" s="10"/>
    </row>
    <row r="57" spans="1:43" x14ac:dyDescent="0.25">
      <c r="A57" s="3" t="s">
        <v>116</v>
      </c>
      <c r="T57" s="10"/>
      <c r="U57" s="10"/>
      <c r="V57" s="10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/>
      <c r="AO57" s="78"/>
      <c r="AP57" s="78"/>
      <c r="AQ57" s="10"/>
    </row>
    <row r="58" spans="1:43" ht="13" x14ac:dyDescent="0.3">
      <c r="A58" s="4" t="s">
        <v>110</v>
      </c>
      <c r="T58" s="10"/>
      <c r="U58" s="10"/>
      <c r="V58" s="10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 t="s">
        <v>117</v>
      </c>
      <c r="AH58" s="78"/>
      <c r="AI58" s="78"/>
      <c r="AJ58" s="78"/>
      <c r="AK58" s="78"/>
      <c r="AL58" s="78"/>
      <c r="AM58" s="78"/>
      <c r="AN58" s="78"/>
      <c r="AO58" s="78"/>
      <c r="AP58" s="78"/>
      <c r="AQ58" s="10"/>
    </row>
    <row r="59" spans="1:43" x14ac:dyDescent="0.25">
      <c r="A59" s="3" t="s">
        <v>111</v>
      </c>
      <c r="T59" s="10"/>
      <c r="U59" s="10"/>
      <c r="V59" s="10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>
        <v>0</v>
      </c>
      <c r="AH59" s="78">
        <v>1</v>
      </c>
      <c r="AI59" s="78">
        <v>2</v>
      </c>
      <c r="AJ59" s="78">
        <v>3</v>
      </c>
      <c r="AK59" s="78">
        <v>4</v>
      </c>
      <c r="AL59" s="78">
        <v>5</v>
      </c>
      <c r="AM59" s="78">
        <v>6</v>
      </c>
      <c r="AN59" s="78"/>
      <c r="AO59" s="78"/>
      <c r="AP59" s="78"/>
      <c r="AQ59" s="10"/>
    </row>
    <row r="60" spans="1:43" x14ac:dyDescent="0.25">
      <c r="A60" s="3" t="s">
        <v>113</v>
      </c>
      <c r="T60" s="10"/>
      <c r="U60" s="10"/>
      <c r="V60" s="10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>
        <v>7</v>
      </c>
      <c r="AH60" s="78">
        <v>8</v>
      </c>
      <c r="AI60" s="78">
        <v>9</v>
      </c>
      <c r="AJ60" s="78">
        <v>10</v>
      </c>
      <c r="AK60" s="78">
        <v>11</v>
      </c>
      <c r="AL60" s="78">
        <v>12</v>
      </c>
      <c r="AM60" s="78">
        <v>13</v>
      </c>
      <c r="AN60" s="78"/>
      <c r="AO60" s="78"/>
      <c r="AP60" s="78"/>
      <c r="AQ60" s="10"/>
    </row>
    <row r="61" spans="1:43" x14ac:dyDescent="0.25">
      <c r="T61" s="10"/>
      <c r="U61" s="10"/>
      <c r="V61" s="10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>
        <v>14</v>
      </c>
      <c r="AH61" s="78">
        <v>15</v>
      </c>
      <c r="AI61" s="78">
        <v>16</v>
      </c>
      <c r="AJ61" s="78">
        <v>17</v>
      </c>
      <c r="AK61" s="78">
        <v>18</v>
      </c>
      <c r="AL61" s="78">
        <v>19</v>
      </c>
      <c r="AM61" s="78">
        <v>20</v>
      </c>
      <c r="AN61" s="78"/>
      <c r="AO61" s="78"/>
      <c r="AP61" s="78"/>
      <c r="AQ61" s="10"/>
    </row>
    <row r="62" spans="1:43" ht="13" x14ac:dyDescent="0.3">
      <c r="A62" s="4" t="s">
        <v>118</v>
      </c>
      <c r="T62" s="10"/>
      <c r="U62" s="10"/>
      <c r="V62" s="10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>
        <v>21</v>
      </c>
      <c r="AH62" s="78">
        <v>22</v>
      </c>
      <c r="AI62" s="78">
        <v>23</v>
      </c>
      <c r="AJ62" s="78">
        <v>24</v>
      </c>
      <c r="AK62" s="78">
        <v>25</v>
      </c>
      <c r="AL62" s="78">
        <v>26</v>
      </c>
      <c r="AM62" s="78">
        <v>27</v>
      </c>
      <c r="AN62" s="78"/>
      <c r="AO62" s="78"/>
      <c r="AP62" s="78"/>
      <c r="AQ62" s="10"/>
    </row>
    <row r="63" spans="1:43" x14ac:dyDescent="0.25">
      <c r="A63" s="3" t="s">
        <v>119</v>
      </c>
      <c r="T63" s="10"/>
      <c r="U63" s="10"/>
      <c r="V63" s="10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>
        <v>28</v>
      </c>
      <c r="AH63" s="78">
        <v>29</v>
      </c>
      <c r="AI63" s="78">
        <v>30</v>
      </c>
      <c r="AJ63" s="78">
        <v>31</v>
      </c>
      <c r="AK63" s="78">
        <v>32</v>
      </c>
      <c r="AL63" s="78">
        <v>33</v>
      </c>
      <c r="AM63" s="78">
        <v>34</v>
      </c>
      <c r="AN63" s="78"/>
      <c r="AO63" s="78"/>
      <c r="AP63" s="78"/>
      <c r="AQ63" s="10"/>
    </row>
    <row r="64" spans="1:43" x14ac:dyDescent="0.25">
      <c r="A64" s="3" t="s">
        <v>120</v>
      </c>
      <c r="T64" s="10"/>
      <c r="U64" s="10"/>
      <c r="V64" s="10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>
        <v>35</v>
      </c>
      <c r="AH64" s="78">
        <v>36</v>
      </c>
      <c r="AI64" s="78">
        <v>37</v>
      </c>
      <c r="AJ64" s="78">
        <v>38</v>
      </c>
      <c r="AK64" s="78">
        <v>39</v>
      </c>
      <c r="AL64" s="78">
        <v>40</v>
      </c>
      <c r="AM64" s="78">
        <v>41</v>
      </c>
      <c r="AN64" s="78"/>
      <c r="AO64" s="78"/>
      <c r="AP64" s="78"/>
      <c r="AQ64" s="10"/>
    </row>
    <row r="65" spans="1:43" x14ac:dyDescent="0.25">
      <c r="T65" s="10"/>
      <c r="U65" s="10"/>
      <c r="V65" s="10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>
        <v>42</v>
      </c>
      <c r="AH65" s="78">
        <v>43</v>
      </c>
      <c r="AI65" s="78">
        <v>44</v>
      </c>
      <c r="AJ65" s="78">
        <v>45</v>
      </c>
      <c r="AK65" s="78">
        <v>46</v>
      </c>
      <c r="AL65" s="78">
        <v>47</v>
      </c>
      <c r="AM65" s="78">
        <v>48</v>
      </c>
      <c r="AN65" s="78"/>
      <c r="AO65" s="78"/>
      <c r="AP65" s="78"/>
      <c r="AQ65" s="10"/>
    </row>
    <row r="66" spans="1:43" ht="13" x14ac:dyDescent="0.3">
      <c r="A66" s="3" t="s">
        <v>121</v>
      </c>
      <c r="B66" s="4"/>
      <c r="T66" s="10"/>
      <c r="U66" s="10"/>
      <c r="V66" s="10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>
        <v>49</v>
      </c>
      <c r="AH66" s="78">
        <v>50</v>
      </c>
      <c r="AI66" s="78">
        <v>51</v>
      </c>
      <c r="AJ66" s="78">
        <v>52</v>
      </c>
      <c r="AK66" s="78">
        <v>53</v>
      </c>
      <c r="AL66" s="78">
        <v>54</v>
      </c>
      <c r="AM66" s="78">
        <v>55</v>
      </c>
      <c r="AN66" s="78"/>
      <c r="AO66" s="78"/>
      <c r="AP66" s="78"/>
      <c r="AQ66" s="10"/>
    </row>
    <row r="67" spans="1:43" ht="13" x14ac:dyDescent="0.3">
      <c r="A67" s="1">
        <v>9</v>
      </c>
      <c r="B67" s="5">
        <f>COUNTIF($E$6:$E$13,"&gt;" &amp; A67)+COUNTIF($J$6:$J$13,"&gt;" &amp; A67)+COUNTIF($O$6:$O$13,"&gt;" &amp; A67)+COUNTIF($T$6:$T$13,"&gt;" &amp; A67)+COUNTIF($Y$6:$Y$13,"&gt;" &amp; A67)+COUNTIF($AD$6:$AD$13,"&gt;" &amp; A67)+COUNTIF($AI$6:$AI$13,"&gt;" &amp; A67)</f>
        <v>0</v>
      </c>
      <c r="C67" s="3" t="s">
        <v>122</v>
      </c>
      <c r="E67" s="3" t="s">
        <v>123</v>
      </c>
      <c r="H67" s="1" t="s">
        <v>124</v>
      </c>
      <c r="L67" s="3" t="s">
        <v>125</v>
      </c>
      <c r="T67" s="10"/>
      <c r="U67" s="10"/>
      <c r="V67" s="10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>
        <v>56</v>
      </c>
      <c r="AH67" s="78">
        <v>57</v>
      </c>
      <c r="AI67" s="78">
        <v>58</v>
      </c>
      <c r="AJ67" s="78">
        <v>59</v>
      </c>
      <c r="AK67" s="78">
        <v>60</v>
      </c>
      <c r="AL67" s="78">
        <v>61</v>
      </c>
      <c r="AM67" s="78">
        <v>62</v>
      </c>
      <c r="AN67" s="78"/>
      <c r="AO67" s="78"/>
      <c r="AP67" s="78"/>
      <c r="AQ67" s="10"/>
    </row>
    <row r="68" spans="1:43" x14ac:dyDescent="0.25">
      <c r="T68" s="10"/>
      <c r="U68" s="10"/>
      <c r="V68" s="10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>
        <v>63</v>
      </c>
      <c r="AH68" s="78">
        <v>64</v>
      </c>
      <c r="AI68" s="78">
        <v>65</v>
      </c>
      <c r="AJ68" s="78">
        <v>66</v>
      </c>
      <c r="AK68" s="78">
        <v>67</v>
      </c>
      <c r="AL68" s="78">
        <v>68</v>
      </c>
      <c r="AM68" s="78">
        <v>69</v>
      </c>
      <c r="AN68" s="78"/>
      <c r="AO68" s="78"/>
      <c r="AP68" s="78"/>
      <c r="AQ68" s="10"/>
    </row>
    <row r="69" spans="1:43" x14ac:dyDescent="0.25">
      <c r="A69" s="3" t="s">
        <v>126</v>
      </c>
      <c r="T69" s="10"/>
      <c r="U69" s="10"/>
      <c r="V69" s="10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>
        <v>70</v>
      </c>
      <c r="AH69" s="78">
        <v>71</v>
      </c>
      <c r="AI69" s="78">
        <v>72</v>
      </c>
      <c r="AJ69" s="78">
        <v>73</v>
      </c>
      <c r="AK69" s="78">
        <v>74</v>
      </c>
      <c r="AL69" s="78">
        <v>75</v>
      </c>
      <c r="AM69" s="78">
        <v>76</v>
      </c>
      <c r="AN69" s="78"/>
      <c r="AO69" s="78"/>
      <c r="AP69" s="78"/>
      <c r="AQ69" s="10"/>
    </row>
    <row r="70" spans="1:43" x14ac:dyDescent="0.25">
      <c r="A70" s="1">
        <v>20</v>
      </c>
      <c r="B70" s="5">
        <f>COUNTIF($AK$6:$AK$13,"&gt;" &amp; A70)</f>
        <v>0</v>
      </c>
      <c r="C70" s="3" t="s">
        <v>127</v>
      </c>
      <c r="E70" s="3" t="s">
        <v>128</v>
      </c>
      <c r="H70" s="1" t="s">
        <v>124</v>
      </c>
      <c r="T70" s="10"/>
      <c r="U70" s="10"/>
      <c r="V70" s="10"/>
      <c r="W70" s="78"/>
      <c r="X70" s="78"/>
      <c r="Y70" s="78"/>
      <c r="Z70" s="78"/>
      <c r="AA70" s="78"/>
      <c r="AB70" s="78"/>
      <c r="AC70" s="78"/>
      <c r="AD70" s="78"/>
      <c r="AE70" s="78"/>
      <c r="AF70" s="78"/>
      <c r="AG70" s="78">
        <v>77</v>
      </c>
      <c r="AH70" s="78">
        <v>78</v>
      </c>
      <c r="AI70" s="78">
        <v>79</v>
      </c>
      <c r="AJ70" s="78">
        <v>80</v>
      </c>
      <c r="AK70" s="78">
        <v>81</v>
      </c>
      <c r="AL70" s="78">
        <v>82</v>
      </c>
      <c r="AM70" s="78">
        <v>83</v>
      </c>
      <c r="AN70" s="78"/>
      <c r="AO70" s="78"/>
      <c r="AP70" s="78"/>
      <c r="AQ70" s="10"/>
    </row>
    <row r="71" spans="1:43" x14ac:dyDescent="0.25">
      <c r="W71" s="78"/>
      <c r="X71" s="78"/>
      <c r="Y71" s="78"/>
      <c r="Z71" s="78"/>
      <c r="AA71" s="78"/>
      <c r="AB71" s="78"/>
      <c r="AC71" s="78"/>
      <c r="AD71" s="78"/>
      <c r="AE71" s="78"/>
      <c r="AF71" s="78"/>
      <c r="AG71" s="78">
        <v>84</v>
      </c>
      <c r="AH71" s="78">
        <v>85</v>
      </c>
      <c r="AI71" s="78">
        <v>86</v>
      </c>
      <c r="AJ71" s="78">
        <v>87</v>
      </c>
      <c r="AK71" s="78">
        <v>88</v>
      </c>
      <c r="AL71" s="78">
        <v>89</v>
      </c>
      <c r="AM71" s="78">
        <v>90</v>
      </c>
      <c r="AN71" s="78"/>
      <c r="AO71" s="78"/>
      <c r="AP71" s="78"/>
    </row>
    <row r="72" spans="1:43" x14ac:dyDescent="0.25"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  <c r="AL72" s="78"/>
      <c r="AM72" s="78"/>
      <c r="AN72" s="78"/>
      <c r="AO72" s="78"/>
      <c r="AP72" s="78"/>
    </row>
    <row r="73" spans="1:43" x14ac:dyDescent="0.25">
      <c r="W73" s="78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8"/>
      <c r="AK73" s="78"/>
      <c r="AL73" s="78"/>
      <c r="AM73" s="78"/>
      <c r="AN73" s="78"/>
      <c r="AO73" s="78"/>
      <c r="AP73" s="78"/>
    </row>
    <row r="74" spans="1:43" x14ac:dyDescent="0.25"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78"/>
      <c r="AO74" s="78"/>
      <c r="AP74" s="78"/>
    </row>
    <row r="75" spans="1:43" x14ac:dyDescent="0.25"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  <c r="AK75" s="78"/>
      <c r="AL75" s="78"/>
      <c r="AM75" s="78"/>
      <c r="AN75" s="78"/>
      <c r="AO75" s="78"/>
      <c r="AP75" s="78"/>
    </row>
    <row r="76" spans="1:43" x14ac:dyDescent="0.25">
      <c r="W76" s="78"/>
      <c r="X76" s="78"/>
      <c r="Y76" s="78"/>
      <c r="Z76" s="78"/>
      <c r="AA76" s="78"/>
      <c r="AB76" s="78"/>
      <c r="AC76" s="78"/>
      <c r="AD76" s="78"/>
      <c r="AE76" s="78"/>
      <c r="AF76" s="78"/>
      <c r="AG76" s="78"/>
      <c r="AH76" s="78"/>
      <c r="AI76" s="78"/>
      <c r="AJ76" s="78"/>
      <c r="AK76" s="78"/>
      <c r="AL76" s="78"/>
      <c r="AM76" s="78"/>
      <c r="AN76" s="78"/>
      <c r="AO76" s="78"/>
      <c r="AP76" s="78"/>
    </row>
    <row r="77" spans="1:43" x14ac:dyDescent="0.25"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78"/>
      <c r="AK77" s="78"/>
      <c r="AL77" s="78"/>
      <c r="AM77" s="78"/>
      <c r="AN77" s="78"/>
      <c r="AO77" s="78"/>
      <c r="AP77" s="78"/>
    </row>
    <row r="78" spans="1:43" x14ac:dyDescent="0.25">
      <c r="W78" s="78"/>
      <c r="X78" s="78"/>
      <c r="Y78" s="78"/>
      <c r="Z78" s="78"/>
      <c r="AA78" s="78"/>
      <c r="AB78" s="78"/>
      <c r="AC78" s="78"/>
      <c r="AD78" s="78"/>
      <c r="AE78" s="78"/>
      <c r="AF78" s="78"/>
      <c r="AG78" s="78"/>
      <c r="AH78" s="78"/>
      <c r="AI78" s="78"/>
      <c r="AJ78" s="78"/>
      <c r="AK78" s="78"/>
      <c r="AL78" s="78"/>
      <c r="AM78" s="78"/>
      <c r="AN78" s="78"/>
      <c r="AO78" s="78"/>
      <c r="AP78" s="78"/>
    </row>
    <row r="79" spans="1:43" x14ac:dyDescent="0.25">
      <c r="W79" s="78"/>
      <c r="X79" s="78"/>
      <c r="Y79" s="78"/>
      <c r="Z79" s="78"/>
      <c r="AA79" s="78"/>
      <c r="AB79" s="78"/>
      <c r="AC79" s="78"/>
      <c r="AD79" s="78"/>
      <c r="AE79" s="78"/>
      <c r="AF79" s="78"/>
      <c r="AG79" s="78"/>
      <c r="AH79" s="78"/>
      <c r="AI79" s="78"/>
      <c r="AJ79" s="78"/>
      <c r="AK79" s="78"/>
      <c r="AL79" s="78"/>
      <c r="AM79" s="78"/>
      <c r="AN79" s="78"/>
      <c r="AO79" s="78"/>
      <c r="AP79" s="78"/>
    </row>
    <row r="80" spans="1:43" x14ac:dyDescent="0.25">
      <c r="W80" s="78"/>
      <c r="X80" s="78"/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  <c r="AJ80" s="78"/>
      <c r="AK80" s="78"/>
      <c r="AL80" s="78"/>
      <c r="AM80" s="78"/>
      <c r="AN80" s="78"/>
      <c r="AO80" s="78"/>
      <c r="AP80" s="78"/>
    </row>
    <row r="81" spans="1:42" x14ac:dyDescent="0.25"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  <c r="AJ81" s="78"/>
      <c r="AK81" s="78"/>
      <c r="AL81" s="78"/>
      <c r="AM81" s="78"/>
      <c r="AN81" s="78"/>
      <c r="AO81" s="78"/>
      <c r="AP81" s="78"/>
    </row>
    <row r="82" spans="1:42" x14ac:dyDescent="0.25"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8"/>
      <c r="AH82" s="78"/>
      <c r="AI82" s="78"/>
      <c r="AJ82" s="78"/>
      <c r="AK82" s="78"/>
      <c r="AL82" s="78"/>
      <c r="AM82" s="78"/>
      <c r="AN82" s="78"/>
      <c r="AO82" s="78"/>
      <c r="AP82" s="78"/>
    </row>
    <row r="83" spans="1:42" x14ac:dyDescent="0.25"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</row>
    <row r="84" spans="1:42" x14ac:dyDescent="0.25"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</row>
    <row r="85" spans="1:42" x14ac:dyDescent="0.25"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</row>
    <row r="86" spans="1:42" x14ac:dyDescent="0.25"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8"/>
      <c r="AO86" s="78"/>
      <c r="AP86" s="78"/>
    </row>
    <row r="87" spans="1:42" x14ac:dyDescent="0.25"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  <c r="AN87" s="78"/>
      <c r="AO87" s="78"/>
      <c r="AP87" s="78"/>
    </row>
    <row r="95" spans="1:42" ht="13" x14ac:dyDescent="0.3">
      <c r="A95" s="4"/>
    </row>
  </sheetData>
  <sheetProtection algorithmName="SHA-512" hashValue="qPnC1CSEZHpYmXnk+/0aLSeijHwRxZZ7k6BZKgquS5zJEOT6ia02hVsDgNkGywGs8JdFV3KY2WSdSoA1cIe2rg==" saltValue="bIct0unxcIV5CuJtcclMaQ==" spinCount="100000" sheet="1" objects="1" scenarios="1"/>
  <mergeCells count="27">
    <mergeCell ref="A1:C1"/>
    <mergeCell ref="H1:L1"/>
    <mergeCell ref="A2:C2"/>
    <mergeCell ref="A3:C3"/>
    <mergeCell ref="B4:F4"/>
    <mergeCell ref="G4:J4"/>
    <mergeCell ref="L4:O4"/>
    <mergeCell ref="I2:J2"/>
    <mergeCell ref="Q4:T4"/>
    <mergeCell ref="V4:Y4"/>
    <mergeCell ref="AA4:AD4"/>
    <mergeCell ref="AF4:AI4"/>
    <mergeCell ref="AG39:AK39"/>
    <mergeCell ref="A28:C28"/>
    <mergeCell ref="A29:C29"/>
    <mergeCell ref="A30:C30"/>
    <mergeCell ref="D32:E32"/>
    <mergeCell ref="H32:I32"/>
    <mergeCell ref="A37:C37"/>
    <mergeCell ref="D31:E31"/>
    <mergeCell ref="H31:I31"/>
    <mergeCell ref="A36:E36"/>
    <mergeCell ref="N32:O32"/>
    <mergeCell ref="A33:C33"/>
    <mergeCell ref="G33:H33"/>
    <mergeCell ref="A34:B34"/>
    <mergeCell ref="N31:O31"/>
  </mergeCells>
  <conditionalFormatting sqref="A6:A17">
    <cfRule type="cellIs" dxfId="1080" priority="373" operator="equal">
      <formula>0</formula>
    </cfRule>
  </conditionalFormatting>
  <conditionalFormatting sqref="A37">
    <cfRule type="cellIs" dxfId="1079" priority="253" operator="notEqual">
      <formula>$E$2</formula>
    </cfRule>
    <cfRule type="cellIs" dxfId="1078" priority="254" operator="equal">
      <formula>$E$2</formula>
    </cfRule>
  </conditionalFormatting>
  <conditionalFormatting sqref="A32:D32 F32:H32 C34">
    <cfRule type="cellIs" dxfId="1077" priority="251" operator="notEqual">
      <formula>$E$3</formula>
    </cfRule>
    <cfRule type="cellIs" dxfId="1076" priority="252" operator="equal">
      <formula>$E$3</formula>
    </cfRule>
  </conditionalFormatting>
  <conditionalFormatting sqref="B6:D17">
    <cfRule type="expression" dxfId="1075" priority="112">
      <formula>$A6=0</formula>
    </cfRule>
  </conditionalFormatting>
  <conditionalFormatting sqref="E6:E17">
    <cfRule type="expression" dxfId="1074" priority="116">
      <formula>AND($H$67="ja",E6&gt;$A$67)</formula>
    </cfRule>
    <cfRule type="cellIs" dxfId="1073" priority="117" operator="greaterThanOrEqual">
      <formula>0</formula>
    </cfRule>
  </conditionalFormatting>
  <conditionalFormatting sqref="F6:F17">
    <cfRule type="cellIs" dxfId="1072" priority="31" operator="lessThan">
      <formula>$A$45</formula>
    </cfRule>
    <cfRule type="cellIs" dxfId="1071" priority="32" operator="equal">
      <formula>0</formula>
    </cfRule>
    <cfRule type="cellIs" dxfId="1070" priority="33" operator="notEqual">
      <formula>0</formula>
    </cfRule>
  </conditionalFormatting>
  <conditionalFormatting sqref="G6:I17">
    <cfRule type="expression" dxfId="1069" priority="52">
      <formula>$A6=0</formula>
    </cfRule>
  </conditionalFormatting>
  <conditionalFormatting sqref="J6:J17">
    <cfRule type="expression" dxfId="1068" priority="104">
      <formula>AND($H$67="ja",J6&gt;$A$67)</formula>
    </cfRule>
    <cfRule type="cellIs" dxfId="1067" priority="105" operator="greaterThanOrEqual">
      <formula>0</formula>
    </cfRule>
  </conditionalFormatting>
  <conditionalFormatting sqref="J32:N32">
    <cfRule type="cellIs" dxfId="1066" priority="249" operator="notEqual">
      <formula>$E$3</formula>
    </cfRule>
    <cfRule type="cellIs" dxfId="1065" priority="250" operator="equal">
      <formula>$E$3</formula>
    </cfRule>
  </conditionalFormatting>
  <conditionalFormatting sqref="K6:K17">
    <cfRule type="cellIs" dxfId="1064" priority="28" operator="lessThan">
      <formula>$A$45</formula>
    </cfRule>
    <cfRule type="cellIs" dxfId="1063" priority="29" operator="equal">
      <formula>0</formula>
    </cfRule>
    <cfRule type="cellIs" dxfId="1062" priority="30" operator="notEqual">
      <formula>0</formula>
    </cfRule>
  </conditionalFormatting>
  <conditionalFormatting sqref="L6:N17">
    <cfRule type="expression" dxfId="1061" priority="48">
      <formula>$A6=0</formula>
    </cfRule>
  </conditionalFormatting>
  <conditionalFormatting sqref="O6:O17">
    <cfRule type="cellIs" dxfId="1060" priority="97" operator="greaterThanOrEqual">
      <formula>0</formula>
    </cfRule>
    <cfRule type="expression" dxfId="1059" priority="96">
      <formula>AND($H$67="ja",O6&gt;$A$67)</formula>
    </cfRule>
  </conditionalFormatting>
  <conditionalFormatting sqref="P6:P17">
    <cfRule type="cellIs" dxfId="1058" priority="22" operator="lessThan">
      <formula>$A$45</formula>
    </cfRule>
    <cfRule type="cellIs" dxfId="1057" priority="23" operator="equal">
      <formula>0</formula>
    </cfRule>
    <cfRule type="cellIs" dxfId="1056" priority="24" operator="notEqual">
      <formula>0</formula>
    </cfRule>
  </conditionalFormatting>
  <conditionalFormatting sqref="Q6:S17">
    <cfRule type="expression" dxfId="1055" priority="47">
      <formula>$A6=0</formula>
    </cfRule>
  </conditionalFormatting>
  <conditionalFormatting sqref="T6:T17">
    <cfRule type="cellIs" dxfId="1054" priority="89" operator="greaterThanOrEqual">
      <formula>0</formula>
    </cfRule>
    <cfRule type="expression" dxfId="1053" priority="88">
      <formula>AND($H$67="ja",T6&gt;$A$67)</formula>
    </cfRule>
  </conditionalFormatting>
  <conditionalFormatting sqref="U6:U17">
    <cfRule type="cellIs" dxfId="1052" priority="17" operator="equal">
      <formula>0</formula>
    </cfRule>
    <cfRule type="cellIs" dxfId="1051" priority="16" operator="lessThan">
      <formula>$A$45</formula>
    </cfRule>
    <cfRule type="cellIs" dxfId="1050" priority="18" operator="notEqual">
      <formula>0</formula>
    </cfRule>
  </conditionalFormatting>
  <conditionalFormatting sqref="V6:X17">
    <cfRule type="expression" dxfId="1049" priority="46">
      <formula>$A6=0</formula>
    </cfRule>
  </conditionalFormatting>
  <conditionalFormatting sqref="Y6:Y17 AD6:AD17 AI6:AI17">
    <cfRule type="expression" dxfId="1048" priority="59">
      <formula>AND($H$67="ja",Y6&gt;$A$67)</formula>
    </cfRule>
    <cfRule type="cellIs" dxfId="1047" priority="60" operator="greaterThanOrEqual">
      <formula>0</formula>
    </cfRule>
  </conditionalFormatting>
  <conditionalFormatting sqref="Z6:Z17">
    <cfRule type="cellIs" dxfId="1046" priority="11" operator="equal">
      <formula>0</formula>
    </cfRule>
    <cfRule type="cellIs" dxfId="1045" priority="10" operator="lessThan">
      <formula>$A$45</formula>
    </cfRule>
    <cfRule type="cellIs" dxfId="1044" priority="12" operator="notEqual">
      <formula>0</formula>
    </cfRule>
  </conditionalFormatting>
  <conditionalFormatting sqref="AA6:AC17">
    <cfRule type="expression" dxfId="1043" priority="43">
      <formula>$A6=0</formula>
    </cfRule>
  </conditionalFormatting>
  <conditionalFormatting sqref="AE6:AE17">
    <cfRule type="cellIs" dxfId="1042" priority="5" operator="equal">
      <formula>0</formula>
    </cfRule>
    <cfRule type="cellIs" dxfId="1041" priority="4" operator="lessThan">
      <formula>$A$45</formula>
    </cfRule>
    <cfRule type="cellIs" dxfId="1040" priority="6" operator="notEqual">
      <formula>0</formula>
    </cfRule>
  </conditionalFormatting>
  <conditionalFormatting sqref="AF6:AH17">
    <cfRule type="expression" dxfId="1039" priority="34">
      <formula>$A6=0</formula>
    </cfRule>
  </conditionalFormatting>
  <conditionalFormatting sqref="AJ6:AJ17">
    <cfRule type="cellIs" dxfId="1038" priority="3" operator="notEqual">
      <formula>0</formula>
    </cfRule>
    <cfRule type="cellIs" dxfId="1037" priority="2" operator="equal">
      <formula>0</formula>
    </cfRule>
    <cfRule type="cellIs" dxfId="1036" priority="1" operator="lessThan">
      <formula>$A$45</formula>
    </cfRule>
  </conditionalFormatting>
  <conditionalFormatting sqref="AK6:AK17">
    <cfRule type="expression" dxfId="1035" priority="58">
      <formula>AND($H$70="ja",AK6&gt;$A$70)</formula>
    </cfRule>
    <cfRule type="cellIs" dxfId="1034" priority="61" operator="greaterThanOrEqual">
      <formula>0</formula>
    </cfRule>
  </conditionalFormatting>
  <dataValidations count="1">
    <dataValidation type="list" allowBlank="1" showInputMessage="1" showErrorMessage="1" sqref="H67 H70" xr:uid="{00000000-0002-0000-0400-000000000000}">
      <formula1>Ja_og_nei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/>
  <dimension ref="A1:AQ95"/>
  <sheetViews>
    <sheetView zoomScale="85" zoomScaleNormal="85" workbookViewId="0">
      <pane ySplit="24" topLeftCell="A25" activePane="bottomLeft" state="frozen"/>
      <selection pane="bottomLeft" activeCell="B12" sqref="B12"/>
    </sheetView>
  </sheetViews>
  <sheetFormatPr defaultColWidth="9.08984375" defaultRowHeight="12.5" x14ac:dyDescent="0.25"/>
  <cols>
    <col min="1" max="1" width="10.7265625" style="3" customWidth="1"/>
    <col min="2" max="2" width="7.6328125" style="3" customWidth="1"/>
    <col min="3" max="3" width="7.81640625" style="3" customWidth="1"/>
    <col min="4" max="4" width="4.36328125" style="3" bestFit="1" customWidth="1"/>
    <col min="5" max="6" width="10" style="3" customWidth="1"/>
    <col min="7" max="7" width="7" style="3" customWidth="1"/>
    <col min="8" max="8" width="7.6328125" style="3" customWidth="1"/>
    <col min="9" max="9" width="4.36328125" style="3" bestFit="1" customWidth="1"/>
    <col min="10" max="11" width="10" style="3" customWidth="1"/>
    <col min="12" max="12" width="7.26953125" style="3" customWidth="1"/>
    <col min="13" max="13" width="7.7265625" style="3" customWidth="1"/>
    <col min="14" max="14" width="4.36328125" style="3" bestFit="1" customWidth="1"/>
    <col min="15" max="15" width="10.08984375" style="3" bestFit="1" customWidth="1"/>
    <col min="16" max="16" width="10.08984375" style="3" customWidth="1"/>
    <col min="17" max="17" width="7.6328125" style="3" customWidth="1"/>
    <col min="18" max="18" width="7.7265625" style="3" customWidth="1"/>
    <col min="19" max="19" width="4.36328125" style="3" bestFit="1" customWidth="1"/>
    <col min="20" max="20" width="10.08984375" style="3" bestFit="1" customWidth="1"/>
    <col min="21" max="21" width="10.08984375" style="3" customWidth="1"/>
    <col min="22" max="22" width="8.36328125" style="3" customWidth="1"/>
    <col min="23" max="23" width="8.81640625" style="3" customWidth="1"/>
    <col min="24" max="24" width="4.36328125" style="3" bestFit="1" customWidth="1"/>
    <col min="25" max="26" width="10" style="3" customWidth="1"/>
    <col min="27" max="28" width="7.81640625" style="3" customWidth="1"/>
    <col min="29" max="29" width="4.36328125" style="3" bestFit="1" customWidth="1"/>
    <col min="30" max="31" width="9.7265625" style="3" customWidth="1"/>
    <col min="32" max="32" width="6.81640625" style="3" customWidth="1"/>
    <col min="33" max="33" width="7.6328125" style="3" customWidth="1"/>
    <col min="34" max="34" width="4.36328125" style="3" bestFit="1" customWidth="1"/>
    <col min="35" max="36" width="9.6328125" style="3" customWidth="1"/>
    <col min="37" max="37" width="15.6328125" style="3" bestFit="1" customWidth="1"/>
    <col min="38" max="16384" width="9.08984375" style="3"/>
  </cols>
  <sheetData>
    <row r="1" spans="1:39" ht="13" x14ac:dyDescent="0.3">
      <c r="A1" s="98" t="s">
        <v>66</v>
      </c>
      <c r="B1" s="98"/>
      <c r="C1" s="98"/>
      <c r="D1" s="88"/>
      <c r="E1" s="5" t="str">
        <f>Vaktplan!G38</f>
        <v>mandag</v>
      </c>
      <c r="H1" s="98" t="s">
        <v>67</v>
      </c>
      <c r="I1" s="98"/>
      <c r="J1" s="98"/>
      <c r="K1" s="98"/>
      <c r="L1" s="98"/>
      <c r="M1" s="5">
        <f>Vaktplan!AJ44</f>
        <v>12</v>
      </c>
    </row>
    <row r="2" spans="1:39" ht="13" x14ac:dyDescent="0.3">
      <c r="A2" s="98" t="s">
        <v>36</v>
      </c>
      <c r="B2" s="98"/>
      <c r="C2" s="98"/>
      <c r="D2" s="88"/>
      <c r="E2" s="8">
        <f>Vaktplan!AM44</f>
        <v>0</v>
      </c>
      <c r="I2" s="106"/>
      <c r="J2" s="106"/>
    </row>
    <row r="3" spans="1:39" ht="13" x14ac:dyDescent="0.3">
      <c r="A3" s="98" t="s">
        <v>68</v>
      </c>
      <c r="B3" s="98"/>
      <c r="C3" s="98"/>
      <c r="D3" s="88"/>
      <c r="E3" s="5">
        <f>Vaktplan!AQ44</f>
        <v>0</v>
      </c>
      <c r="F3" s="4" t="s">
        <v>69</v>
      </c>
    </row>
    <row r="4" spans="1:39" ht="13" x14ac:dyDescent="0.3">
      <c r="A4" s="89" t="s">
        <v>70</v>
      </c>
      <c r="B4" s="103" t="str">
        <f>TEXT(AG39,"DDDD")</f>
        <v>Monday</v>
      </c>
      <c r="C4" s="104"/>
      <c r="D4" s="104"/>
      <c r="E4" s="104"/>
      <c r="F4" s="105"/>
      <c r="G4" s="102" t="str">
        <f>TEXT($AG$39+1,"DDDD")</f>
        <v>Tuesday</v>
      </c>
      <c r="H4" s="102"/>
      <c r="I4" s="102"/>
      <c r="J4" s="102"/>
      <c r="K4" s="89"/>
      <c r="L4" s="102" t="str">
        <f>TEXT($AG$39+2,"DDDD")</f>
        <v>Wednesday</v>
      </c>
      <c r="M4" s="102"/>
      <c r="N4" s="102"/>
      <c r="O4" s="102"/>
      <c r="P4" s="89"/>
      <c r="Q4" s="102" t="str">
        <f>TEXT($AG$39+3,"DDDD")</f>
        <v>Thursday</v>
      </c>
      <c r="R4" s="102"/>
      <c r="S4" s="102"/>
      <c r="T4" s="102"/>
      <c r="U4" s="89"/>
      <c r="V4" s="102" t="str">
        <f>TEXT($AG$39+4,"DDDD")</f>
        <v>Friday</v>
      </c>
      <c r="W4" s="102"/>
      <c r="X4" s="102"/>
      <c r="Y4" s="102"/>
      <c r="Z4" s="89"/>
      <c r="AA4" s="102" t="str">
        <f>TEXT($AG$39+5,"DDDD")</f>
        <v>Saturday</v>
      </c>
      <c r="AB4" s="102"/>
      <c r="AC4" s="102"/>
      <c r="AD4" s="102"/>
      <c r="AE4" s="89"/>
      <c r="AF4" s="102" t="str">
        <f>TEXT($AG$39+6,"DDDD")</f>
        <v>Sunday</v>
      </c>
      <c r="AG4" s="102"/>
      <c r="AH4" s="102"/>
      <c r="AI4" s="102"/>
      <c r="AJ4" s="89"/>
      <c r="AK4" s="7" t="s">
        <v>71</v>
      </c>
    </row>
    <row r="5" spans="1:39" x14ac:dyDescent="0.25">
      <c r="A5" s="6"/>
      <c r="B5" s="6" t="s">
        <v>72</v>
      </c>
      <c r="C5" s="6" t="s">
        <v>73</v>
      </c>
      <c r="D5" s="6" t="s">
        <v>55</v>
      </c>
      <c r="E5" s="6" t="s">
        <v>74</v>
      </c>
      <c r="F5" s="6" t="s">
        <v>75</v>
      </c>
      <c r="G5" s="6" t="s">
        <v>72</v>
      </c>
      <c r="H5" s="6" t="s">
        <v>73</v>
      </c>
      <c r="I5" s="6" t="s">
        <v>55</v>
      </c>
      <c r="J5" s="6" t="s">
        <v>74</v>
      </c>
      <c r="K5" s="6" t="s">
        <v>75</v>
      </c>
      <c r="L5" s="6" t="s">
        <v>72</v>
      </c>
      <c r="M5" s="6" t="s">
        <v>73</v>
      </c>
      <c r="N5" s="6" t="s">
        <v>55</v>
      </c>
      <c r="O5" s="6" t="s">
        <v>74</v>
      </c>
      <c r="P5" s="6" t="s">
        <v>75</v>
      </c>
      <c r="Q5" s="6" t="s">
        <v>72</v>
      </c>
      <c r="R5" s="6" t="s">
        <v>73</v>
      </c>
      <c r="S5" s="6" t="s">
        <v>55</v>
      </c>
      <c r="T5" s="6" t="s">
        <v>74</v>
      </c>
      <c r="U5" s="6" t="s">
        <v>75</v>
      </c>
      <c r="V5" s="6" t="s">
        <v>72</v>
      </c>
      <c r="W5" s="6" t="s">
        <v>73</v>
      </c>
      <c r="X5" s="6" t="s">
        <v>55</v>
      </c>
      <c r="Y5" s="6" t="s">
        <v>74</v>
      </c>
      <c r="Z5" s="6" t="s">
        <v>75</v>
      </c>
      <c r="AA5" s="6" t="s">
        <v>72</v>
      </c>
      <c r="AB5" s="6" t="s">
        <v>73</v>
      </c>
      <c r="AC5" s="6" t="s">
        <v>55</v>
      </c>
      <c r="AD5" s="6" t="s">
        <v>74</v>
      </c>
      <c r="AE5" s="6" t="s">
        <v>75</v>
      </c>
      <c r="AF5" s="6" t="s">
        <v>72</v>
      </c>
      <c r="AG5" s="6" t="s">
        <v>73</v>
      </c>
      <c r="AH5" s="6" t="s">
        <v>55</v>
      </c>
      <c r="AI5" s="6" t="s">
        <v>74</v>
      </c>
      <c r="AJ5" s="6" t="s">
        <v>75</v>
      </c>
      <c r="AK5" s="6"/>
    </row>
    <row r="6" spans="1:39" ht="13" x14ac:dyDescent="0.25">
      <c r="A6" s="7">
        <f>IF(M1&gt;=1,1,0)</f>
        <v>1</v>
      </c>
      <c r="B6" s="77">
        <f>IFERROR(VLOOKUP(Vaktplan!$A$44,Vaktplan!$A$35:$CL$44,87-AH59,FALSE),0)</f>
        <v>0</v>
      </c>
      <c r="C6" s="77">
        <f>IFERROR(VLOOKUP(Vaktplan!$A$44,Vaktplan!$A$35:$CL$44,87-AG59,FALSE),0)</f>
        <v>0</v>
      </c>
      <c r="D6" s="9">
        <f>IFERROR(VLOOKUP(Vaktplan!$A$44,Vaktplan!$A$35:$CL$44,89-AG59,FALSE),0)</f>
        <v>0</v>
      </c>
      <c r="E6" s="9">
        <f>IF(AND(B6=0,C6=0),0,IF(B6&lt;C6,((C6-B6)*24)-D6,(((1-B6)+C6)*24)-D6))</f>
        <v>0</v>
      </c>
      <c r="F6" s="9">
        <f>IF(AND(C6=0,G6=0),24,IF(C6=0,12+(G6*24),IF(C6&lt;G6,((G6-C6)*24),IF(G6=0,(1-C6+0.5)*24,((1-C6)+G6)*24))))</f>
        <v>24</v>
      </c>
      <c r="G6" s="77">
        <f>IFERROR(VLOOKUP(Vaktplan!$A$44,Vaktplan!$B$4:$CL$35,86-AH59,FALSE),0)</f>
        <v>0</v>
      </c>
      <c r="H6" s="77">
        <f>IFERROR(VLOOKUP(Vaktplan!$A$44,Vaktplan!$B$4:$CL$35,86-AG59,FALSE),0)</f>
        <v>0</v>
      </c>
      <c r="I6" s="9">
        <f>IFERROR(VLOOKUP(Vaktplan!$A$44,Vaktplan!$B$4:$CL$35,89-$AH59,FALSE),0)</f>
        <v>0</v>
      </c>
      <c r="J6" s="9">
        <f>IF(AND(G6=0,H6=0),0,IF(G6&lt;H6,((H6-G6)*24)-I6,(((1-G6)+H6)*24)-I6))</f>
        <v>0</v>
      </c>
      <c r="K6" s="9">
        <f>IF(AND(H6=0,L6=0),24,IF(H6=0,12+(L6*24),IF(H6&lt;L6,((L6-H6)*24),IF(L6=0,(1-H6+0.5)*24,((1-H6)+L6)*24))))</f>
        <v>24</v>
      </c>
      <c r="L6" s="77">
        <f>IFERROR(VLOOKUP(Vaktplan!$A$44,Vaktplan!$C$4:$CL$35,86-AI59,FALSE),0)</f>
        <v>0</v>
      </c>
      <c r="M6" s="77">
        <f>IFERROR(VLOOKUP(Vaktplan!$A$44,Vaktplan!$C$4:$CL$35,86-AH59,FALSE),0)</f>
        <v>0</v>
      </c>
      <c r="N6" s="9">
        <f>IFERROR(VLOOKUP(Vaktplan!$A$44,Vaktplan!$C$4:$CL$35,89-$AI59,FALSE),0)</f>
        <v>0</v>
      </c>
      <c r="O6" s="9">
        <f>IF(AND(L6=0,M6=0),0,IF(L6&lt;M6,((M6-L6)*24)-N6,(((1-L6)+M6)*24)-N6))</f>
        <v>0</v>
      </c>
      <c r="P6" s="9">
        <f>IF(AND(M6=0,Q6=0),24,IF(M6=0,12+(Q6*24),IF(M6&lt;Q6,((Q6-M6)*24),IF(Q6=0,(1-M6+0.5)*24,((1-M6)+Q6)*24))))</f>
        <v>24</v>
      </c>
      <c r="Q6" s="77">
        <f>IFERROR(VLOOKUP(Vaktplan!$A$44,Vaktplan!$D$4:$CL$35,86-AJ59,FALSE),0)</f>
        <v>0</v>
      </c>
      <c r="R6" s="77">
        <f>IFERROR(VLOOKUP(Vaktplan!$A$44,Vaktplan!$D$4:$CL$35,86-AI59,FALSE),0)</f>
        <v>0</v>
      </c>
      <c r="S6" s="9">
        <f>IFERROR(VLOOKUP(Vaktplan!$A$44,Vaktplan!$D$4:$CL$35,89-$AJ59,FALSE),0)</f>
        <v>0</v>
      </c>
      <c r="T6" s="9">
        <f t="shared" ref="T6:T17" si="0">IF(AND(Q6=0,R6=0),0,IF(Q6&lt;R6,((R6-Q6)*24)-S6,(((1-Q6)+R6)*24)-S6))</f>
        <v>0</v>
      </c>
      <c r="U6" s="9">
        <f>IF(AND(R6=0,V6=0),24,IF(R6=0,12+(V6*24),IF(R6&lt;V6,((V6-R6)*24),IF(V6=0,(1-R6+0.5)*24,((1-R6)+V6)*24))))</f>
        <v>24</v>
      </c>
      <c r="V6" s="77">
        <f>IFERROR(VLOOKUP(Vaktplan!$A$44,Vaktplan!$E$4:$CL$35,86-AK59,FALSE),0)</f>
        <v>0</v>
      </c>
      <c r="W6" s="77">
        <f>IFERROR(VLOOKUP(Vaktplan!$A$44,Vaktplan!$E$4:$CL$35,86-AJ59,FALSE),0)</f>
        <v>0</v>
      </c>
      <c r="X6" s="9">
        <f>IFERROR(VLOOKUP(Vaktplan!$A$44,Vaktplan!$E$4:$CL$35,89-$AK59,FALSE),0)</f>
        <v>0</v>
      </c>
      <c r="Y6" s="9">
        <f>IF(AND(V6=0,W6=0),0,IF(V6&lt;W6,((W6-V6)*24)-X6,(((1-V6)+W6)*24)-X6))</f>
        <v>0</v>
      </c>
      <c r="Z6" s="9">
        <f>IF(AND(W6=0,AA6=0),24,IF(W6=0,12+(AA6*24),IF(W6&lt;AA6,((AA6-W6)*24),IF(AA6=0,(1-W6+0.5)*24,((1-W6)+AA6)*24))))</f>
        <v>24</v>
      </c>
      <c r="AA6" s="77">
        <f>IFERROR(VLOOKUP(Vaktplan!$A$44,Vaktplan!$F$4:$CL$35,86-AL59,FALSE),0)</f>
        <v>0</v>
      </c>
      <c r="AB6" s="77">
        <f>IFERROR(VLOOKUP(Vaktplan!$A$44,Vaktplan!$F$4:$CL$35,86-AK59,FALSE),0)</f>
        <v>0</v>
      </c>
      <c r="AC6" s="9">
        <f>IFERROR(VLOOKUP(Vaktplan!$A$44,Vaktplan!$F$4:$CL$35,89-$AL59,FALSE),0)</f>
        <v>0</v>
      </c>
      <c r="AD6" s="9">
        <f>IF(AND(AA6=0,AB6=0),0,IF(AA6&lt;AB6,((AB6-AA6)*24)-AC6,(((1-AA6)+AB6)*24)-AC6))</f>
        <v>0</v>
      </c>
      <c r="AE6" s="9">
        <f>IF(AND(AB6=0,AF6=0),24,IF(AB6=0,12+(AF6*24),IF(AB6&lt;AF6,((AF6-AB6)*24),IF(AF6=0,(1-AB6+0.5)*24,((1-AB6)+AF6)*24))))</f>
        <v>24</v>
      </c>
      <c r="AF6" s="77">
        <f>IFERROR(VLOOKUP(Vaktplan!$A$44,Vaktplan!$G$4:$CL$35,86-AM59,FALSE),0)</f>
        <v>0</v>
      </c>
      <c r="AG6" s="77">
        <f>IFERROR(VLOOKUP(Vaktplan!$A$44,Vaktplan!$G$4:$CL$35,86-AL59,FALSE),0)</f>
        <v>0</v>
      </c>
      <c r="AH6" s="9">
        <f>IFERROR(VLOOKUP(Vaktplan!$A$44,Vaktplan!$G$4:$CL$35,89-$AM59,FALSE),0)</f>
        <v>0</v>
      </c>
      <c r="AI6" s="9">
        <f>IF(AND(AF6=0,AG6=0),0,IF(AF6&lt;AG6,((AG6-AF6)*24)-AH6,(((1-AF6)+AG6)*24)-AH6))</f>
        <v>0</v>
      </c>
      <c r="AJ6" s="9">
        <f>IF($M$1=AL28,IF(AND(AG6=0,B6=0),24,IF(AG6=0,12+($B$6*24),IF(AG6&lt;$B$6,(($B$6-AG6)*24),IF($B$6=0,(1-AG6+1)*24,((1-AG6)+$B$6)*24)))),IF(AND(AG6=0,B7=0),24,IF(AG6=0,12+(B7*24),IF(AG6&lt;B7,((B7-AG6)*24),IF(B7=0,(1-AG6+1)*24,((1-AG6)+B7)*24)))))</f>
        <v>24</v>
      </c>
      <c r="AK6" s="9">
        <f t="shared" ref="AK6:AK17" si="1">E6+J6+O6+T6+Y6+AD6+AI6</f>
        <v>0</v>
      </c>
      <c r="AL6" s="10">
        <f>AJ6</f>
        <v>24</v>
      </c>
      <c r="AM6" s="10">
        <f>AK6</f>
        <v>0</v>
      </c>
    </row>
    <row r="7" spans="1:39" ht="13" x14ac:dyDescent="0.25">
      <c r="A7" s="7">
        <f>IF($M$1&gt;=2,2,0)</f>
        <v>2</v>
      </c>
      <c r="B7" s="77">
        <f>IFERROR(VLOOKUP(Vaktplan!$A$44,Vaktplan!$H$4:$CL$35,87-AH60,FALSE),0)</f>
        <v>0</v>
      </c>
      <c r="C7" s="77">
        <f>IFERROR(VLOOKUP(Vaktplan!$A$44,Vaktplan!$H$4:$CL$35,87-AG60,FALSE),0)</f>
        <v>0</v>
      </c>
      <c r="D7" s="9">
        <f>IFERROR(VLOOKUP(Vaktplan!$A$44,Vaktplan!$H$4:$CL$35,89-AG60,FALSE),0)</f>
        <v>0</v>
      </c>
      <c r="E7" s="9">
        <f>IF(AND(B7=0,C7=0),0,IF(B7&lt;C7,((C7-B7)*24)-D7,(((1-B7)+C7)*24)-D7))</f>
        <v>0</v>
      </c>
      <c r="F7" s="9">
        <f t="shared" ref="F7:F17" si="2">IF(AND(C7=0,G7=0),24,IF(C7=0,12+(G7*24),IF(C7&lt;G7,((G7-C7)*24),IF(G7=0,(1-C7+0.5)*24,((1-C7)+G7)*24))))</f>
        <v>24</v>
      </c>
      <c r="G7" s="77">
        <f>IFERROR(VLOOKUP(Vaktplan!$A$44,Vaktplan!$I$4:$CL$35,86-AH60,FALSE),0)</f>
        <v>0</v>
      </c>
      <c r="H7" s="77">
        <f>IFERROR(VLOOKUP(Vaktplan!$A$44,Vaktplan!$I$4:$CL$35,86-AG60,FALSE),0)</f>
        <v>0</v>
      </c>
      <c r="I7" s="9">
        <f>IFERROR(VLOOKUP(Vaktplan!$A$44,Vaktplan!$I$4:$CL$35,89-$AH60,FALSE),0)</f>
        <v>0</v>
      </c>
      <c r="J7" s="9">
        <f t="shared" ref="J7:J17" si="3">IF(AND(G7=0,H7=0),0,IF(G7&lt;H7,((H7-G7)*24)-I7,(((1-G7)+H7)*24)-I7))</f>
        <v>0</v>
      </c>
      <c r="K7" s="9">
        <f t="shared" ref="K7:K17" si="4">IF(AND(H7=0,L7=0),24,IF(H7=0,12+(L7*24),IF(H7&lt;L7,((L7-H7)*24),IF(L7=0,(1-H7+0.5)*24,((1-H7)+L7)*24))))</f>
        <v>24</v>
      </c>
      <c r="L7" s="77">
        <f>IFERROR(VLOOKUP(Vaktplan!$A$44,Vaktplan!$J$4:$CL$35,86-AI60,FALSE),0)</f>
        <v>0</v>
      </c>
      <c r="M7" s="77">
        <f>IFERROR(VLOOKUP(Vaktplan!$A$44,Vaktplan!$J$4:$CL$35,86-AH60,FALSE),0)</f>
        <v>0</v>
      </c>
      <c r="N7" s="9">
        <f>IFERROR(VLOOKUP(Vaktplan!$A$44,Vaktplan!$J$4:$CL$35,89-$AI60,FALSE),0)</f>
        <v>0</v>
      </c>
      <c r="O7" s="9">
        <f t="shared" ref="O7:O17" si="5">IF(AND(L7=0,M7=0),0,IF(L7&lt;M7,((M7-L7)*24)-N7,(((1-L7)+M7)*24)-N7))</f>
        <v>0</v>
      </c>
      <c r="P7" s="9">
        <f t="shared" ref="P7:P17" si="6">IF(AND(M7=0,Q7=0),24,IF(M7=0,12+(Q7*24),IF(M7&lt;Q7,((Q7-M7)*24),IF(Q7=0,(1-M7+0.5)*24,((1-M7)+Q7)*24))))</f>
        <v>24</v>
      </c>
      <c r="Q7" s="77">
        <f>IFERROR(VLOOKUP(Vaktplan!$A$44,Vaktplan!$K$4:$CL$35,86-AJ60,FALSE),0)</f>
        <v>0</v>
      </c>
      <c r="R7" s="77">
        <f>IFERROR(VLOOKUP(Vaktplan!$A$44,Vaktplan!$K$4:$CL$35,86-AI60,FALSE),0)</f>
        <v>0</v>
      </c>
      <c r="S7" s="9">
        <f>IFERROR(VLOOKUP(Vaktplan!$A$44,Vaktplan!$K$4:$CL$35,89-$AJ60,FALSE),0)</f>
        <v>0</v>
      </c>
      <c r="T7" s="9">
        <f t="shared" si="0"/>
        <v>0</v>
      </c>
      <c r="U7" s="9">
        <f t="shared" ref="U7:U17" si="7">IF(AND(R7=0,V7=0),24,IF(R7=0,12+(V7*24),IF(R7&lt;V7,((V7-R7)*24),IF(V7=0,(1-R7+0.5)*24,((1-R7)+V7)*24))))</f>
        <v>24</v>
      </c>
      <c r="V7" s="77">
        <f>IFERROR(VLOOKUP(Vaktplan!$A$44,Vaktplan!$L$4:$CL$35,86-AK60,FALSE),0)</f>
        <v>0</v>
      </c>
      <c r="W7" s="77">
        <f>IFERROR(VLOOKUP(Vaktplan!$A$44,Vaktplan!$L$4:$CL$35,86-AJ60,FALSE),0)</f>
        <v>0</v>
      </c>
      <c r="X7" s="9">
        <f>IFERROR(VLOOKUP(Vaktplan!$A$44,Vaktplan!$L$4:$CL$35,89-$AK60,FALSE),0)</f>
        <v>0</v>
      </c>
      <c r="Y7" s="9">
        <f t="shared" ref="Y7:Y13" si="8">IF(AND(V7=0,W7=0),0,IF(V7&lt;W7,((W7-V7)*24)-X7,(((1-V7)+W7)*24)-X7))</f>
        <v>0</v>
      </c>
      <c r="Z7" s="9">
        <f t="shared" ref="Z7:Z17" si="9">IF(AND(W7=0,AA7=0),24,IF(W7=0,12+(AA7*24),IF(W7&lt;AA7,((AA7-W7)*24),IF(AA7=0,(1-W7+0.5)*24,((1-W7)+AA7)*24))))</f>
        <v>24</v>
      </c>
      <c r="AA7" s="77">
        <f>IFERROR(VLOOKUP(Vaktplan!$A$44,Vaktplan!$M$4:$CL$35,86-AL60,FALSE),0)</f>
        <v>0</v>
      </c>
      <c r="AB7" s="77">
        <f>IFERROR(VLOOKUP(Vaktplan!$A$44,Vaktplan!$M$4:$CL$35,86-AK60,FALSE),0)</f>
        <v>0</v>
      </c>
      <c r="AC7" s="9">
        <f>IFERROR(VLOOKUP(Vaktplan!$A$44,Vaktplan!$M$4:$CL$35,89-$AL60,FALSE),0)</f>
        <v>0</v>
      </c>
      <c r="AD7" s="9">
        <f t="shared" ref="AD7:AD13" si="10">IF(AND(AA7=0,AB7=0),0,IF(AA7&lt;AB7,((AB7-AA7)*24)-AC7,(((1-AA7)+AB7)*24)-AC7))</f>
        <v>0</v>
      </c>
      <c r="AE7" s="9">
        <f t="shared" ref="AE7:AE17" si="11">IF(AND(AB7=0,AF7=0),24,IF(AB7=0,12+(AF7*24),IF(AB7&lt;AF7,((AF7-AB7)*24),IF(AF7=0,(1-AB7+0.5)*24,((1-AB7)+AF7)*24))))</f>
        <v>24</v>
      </c>
      <c r="AF7" s="77">
        <f>IFERROR(VLOOKUP(Vaktplan!$A$44,Vaktplan!$N$4:$CL$35,86-AM60,FALSE),0)</f>
        <v>0</v>
      </c>
      <c r="AG7" s="77">
        <f>IFERROR(VLOOKUP(Vaktplan!$A$44,Vaktplan!$N$4:$CL$35,86-AL60,FALSE),0)</f>
        <v>0</v>
      </c>
      <c r="AH7" s="9">
        <f>IFERROR(VLOOKUP(Vaktplan!$A$44,Vaktplan!$N$4:$CL$35,89-$AM60,FALSE),0)</f>
        <v>0</v>
      </c>
      <c r="AI7" s="9">
        <f t="shared" ref="AI7:AI13" si="12">IF(AND(AF7=0,AG7=0),0,IF(AF7&lt;AG7,((AG7-AF7)*24)-AH7,(((1-AF7)+AG7)*24)-AH7))</f>
        <v>0</v>
      </c>
      <c r="AJ7" s="9">
        <f t="shared" ref="AJ7:AJ17" si="13">IF($M$1=AL29,IF(AND(AG7=0,B7=0),24,IF(AG7=0,12+($B$6*24),IF(AG7&lt;$B$6,(($B$6-AG7)*24),IF($B$6=0,(1-AG7+1)*24,((1-AG7)+$B$6)*24)))),IF(AND(AG7=0,B8=0),24,IF(AG7=0,12+(B8*24),IF(AG7&lt;B8,((B8-AG7)*24),IF(B8=0,(1-AG7+1)*24,((1-AG7)+B8)*24)))))</f>
        <v>24</v>
      </c>
      <c r="AK7" s="9">
        <f t="shared" si="1"/>
        <v>0</v>
      </c>
      <c r="AL7" s="10">
        <f t="shared" ref="AL7:AL13" si="14">AJ7</f>
        <v>24</v>
      </c>
      <c r="AM7" s="10">
        <f t="shared" ref="AM7:AM13" si="15">AK7</f>
        <v>0</v>
      </c>
    </row>
    <row r="8" spans="1:39" ht="13" x14ac:dyDescent="0.25">
      <c r="A8" s="7">
        <f>IF($M$1&gt;=3,3,0)</f>
        <v>3</v>
      </c>
      <c r="B8" s="77">
        <f>IFERROR(VLOOKUP(Vaktplan!$A$44,Vaktplan!$O$4:$CL$35,87-AH61,FALSE),0)</f>
        <v>0</v>
      </c>
      <c r="C8" s="77">
        <f>IFERROR(VLOOKUP(Vaktplan!$A$44,Vaktplan!$O$4:$CL$35,87-AG61,FALSE),0)</f>
        <v>0</v>
      </c>
      <c r="D8" s="9">
        <f>IFERROR(VLOOKUP(Vaktplan!$A$44,Vaktplan!$O$4:$CL$35,89-AG61,FALSE),0)</f>
        <v>0</v>
      </c>
      <c r="E8" s="9">
        <f t="shared" ref="E8:E17" si="16">IF(AND(B8=0,C8=0),0,IF(B8&lt;C8,((C8-B8)*24)-D8,(((1-B8)+C8)*24)-D8))</f>
        <v>0</v>
      </c>
      <c r="F8" s="9">
        <f t="shared" si="2"/>
        <v>24</v>
      </c>
      <c r="G8" s="77">
        <f>IFERROR(VLOOKUP(Vaktplan!$A$44,Vaktplan!$P$4:$CL$35,86-AH61,FALSE),0)</f>
        <v>0</v>
      </c>
      <c r="H8" s="77">
        <f>IFERROR(VLOOKUP(Vaktplan!$A$44,Vaktplan!$P$4:$CL$35,86-AG61,FALSE),0)</f>
        <v>0</v>
      </c>
      <c r="I8" s="9">
        <f>IFERROR(VLOOKUP(Vaktplan!$A$44,Vaktplan!$P$4:$CL$35,89-$AH61,FALSE),0)</f>
        <v>0</v>
      </c>
      <c r="J8" s="9">
        <f>IF(AND(G8=0,H8=0),0,IF(G8&lt;H8,((H8-G8)*24)-I8,(((1-G8)+H8)*24)-I8))</f>
        <v>0</v>
      </c>
      <c r="K8" s="9">
        <f t="shared" si="4"/>
        <v>24</v>
      </c>
      <c r="L8" s="77">
        <f>IFERROR(VLOOKUP(Vaktplan!$A$44,Vaktplan!$Q$4:$CL$35,86-AI61,FALSE),0)</f>
        <v>0</v>
      </c>
      <c r="M8" s="77">
        <f>IFERROR(VLOOKUP(Vaktplan!$A$44,Vaktplan!$Q$4:$CL$35,86-AH61,FALSE),0)</f>
        <v>0</v>
      </c>
      <c r="N8" s="9">
        <f>IFERROR(VLOOKUP(Vaktplan!$A$44,Vaktplan!$Q$4:$CL$35,89-$AI61,FALSE),0)</f>
        <v>0</v>
      </c>
      <c r="O8" s="9">
        <f t="shared" si="5"/>
        <v>0</v>
      </c>
      <c r="P8" s="9">
        <f t="shared" si="6"/>
        <v>24</v>
      </c>
      <c r="Q8" s="77">
        <f>IFERROR(VLOOKUP(Vaktplan!$A$44,Vaktplan!$R$4:$CL$35,86-AJ61,FALSE),0)</f>
        <v>0</v>
      </c>
      <c r="R8" s="77">
        <f>IFERROR(VLOOKUP(Vaktplan!$A$44,Vaktplan!$R$4:$CL$35,86-AI61,FALSE),0)</f>
        <v>0</v>
      </c>
      <c r="S8" s="9">
        <f>IFERROR(VLOOKUP(Vaktplan!$A$44,Vaktplan!$R$4:$CL$35,89-$AJ61,FALSE),0)</f>
        <v>0</v>
      </c>
      <c r="T8" s="9">
        <f t="shared" si="0"/>
        <v>0</v>
      </c>
      <c r="U8" s="9">
        <f t="shared" si="7"/>
        <v>24</v>
      </c>
      <c r="V8" s="77">
        <f>IFERROR(VLOOKUP(Vaktplan!$A$44,Vaktplan!$S$4:$CL$35,86-AK61,FALSE),0)</f>
        <v>0</v>
      </c>
      <c r="W8" s="77">
        <f>IFERROR(VLOOKUP(Vaktplan!$A$44,Vaktplan!$S$4:$CL$35,86-AJ61,FALSE),0)</f>
        <v>0</v>
      </c>
      <c r="X8" s="9">
        <f>IFERROR(VLOOKUP(Vaktplan!$A$44,Vaktplan!$S$4:$CL$35,89-$AK61,FALSE),0)</f>
        <v>0</v>
      </c>
      <c r="Y8" s="9">
        <f t="shared" si="8"/>
        <v>0</v>
      </c>
      <c r="Z8" s="9">
        <f t="shared" si="9"/>
        <v>24</v>
      </c>
      <c r="AA8" s="77">
        <f>IFERROR(VLOOKUP(Vaktplan!$A$44,Vaktplan!$T$4:$CL$35,86-AL61,FALSE),0)</f>
        <v>0</v>
      </c>
      <c r="AB8" s="77">
        <f>IFERROR(VLOOKUP(Vaktplan!$A$44,Vaktplan!$T$4:$CL$35,86-AK61,FALSE),0)</f>
        <v>0</v>
      </c>
      <c r="AC8" s="9">
        <f>IFERROR(VLOOKUP(Vaktplan!$A$44,Vaktplan!$T$4:$CL$35,89-$AL61,FALSE),0)</f>
        <v>0</v>
      </c>
      <c r="AD8" s="9">
        <f t="shared" si="10"/>
        <v>0</v>
      </c>
      <c r="AE8" s="9">
        <f t="shared" si="11"/>
        <v>24</v>
      </c>
      <c r="AF8" s="77">
        <f>IFERROR(VLOOKUP(Vaktplan!$A$44,Vaktplan!$U$4:$CL$35,86-AM61,FALSE),0)</f>
        <v>0</v>
      </c>
      <c r="AG8" s="77">
        <f>IFERROR(VLOOKUP(Vaktplan!$A$44,Vaktplan!$U$4:$CL$35,86-AL61,FALSE),0)</f>
        <v>0</v>
      </c>
      <c r="AH8" s="9">
        <f>IFERROR(VLOOKUP(Vaktplan!$A$44,Vaktplan!$U$4:$CL$35,89-$AM61,FALSE),0)</f>
        <v>0</v>
      </c>
      <c r="AI8" s="9">
        <f t="shared" si="12"/>
        <v>0</v>
      </c>
      <c r="AJ8" s="9">
        <f t="shared" si="13"/>
        <v>24</v>
      </c>
      <c r="AK8" s="9">
        <f t="shared" si="1"/>
        <v>0</v>
      </c>
      <c r="AL8" s="10">
        <f t="shared" si="14"/>
        <v>24</v>
      </c>
      <c r="AM8" s="10">
        <f t="shared" si="15"/>
        <v>0</v>
      </c>
    </row>
    <row r="9" spans="1:39" ht="13" x14ac:dyDescent="0.25">
      <c r="A9" s="7">
        <f>IF($M$1&gt;=4,4,0)</f>
        <v>4</v>
      </c>
      <c r="B9" s="77">
        <f>IFERROR(VLOOKUP(Vaktplan!$A$44,Vaktplan!$V$4:$CL$35,87-AH62,FALSE),0)</f>
        <v>0</v>
      </c>
      <c r="C9" s="77">
        <f>IFERROR(VLOOKUP(Vaktplan!$A$44,Vaktplan!$V$4:$CL$35,87-AG62,FALSE),0)</f>
        <v>0</v>
      </c>
      <c r="D9" s="9">
        <f>IFERROR(VLOOKUP(Vaktplan!$A$44,Vaktplan!$V$4:$CL$35,89-AG62,FALSE),0)</f>
        <v>0</v>
      </c>
      <c r="E9" s="9">
        <f t="shared" si="16"/>
        <v>0</v>
      </c>
      <c r="F9" s="9">
        <f t="shared" si="2"/>
        <v>24</v>
      </c>
      <c r="G9" s="77">
        <f>IFERROR(VLOOKUP(Vaktplan!$A$44,Vaktplan!$W$4:$CL$35,86-AH62,FALSE),0)</f>
        <v>0</v>
      </c>
      <c r="H9" s="77">
        <f>IFERROR(VLOOKUP(Vaktplan!$A$44,Vaktplan!$W$4:$CL$35,86-AG62,FALSE),0)</f>
        <v>0</v>
      </c>
      <c r="I9" s="9">
        <f>IFERROR(VLOOKUP(Vaktplan!$A$44,Vaktplan!$W$4:$CL$35,89-$AH62,FALSE),0)</f>
        <v>0</v>
      </c>
      <c r="J9" s="9">
        <f t="shared" si="3"/>
        <v>0</v>
      </c>
      <c r="K9" s="9">
        <f t="shared" si="4"/>
        <v>24</v>
      </c>
      <c r="L9" s="77">
        <f>IFERROR(VLOOKUP(Vaktplan!$A$44,Vaktplan!$X$4:$CL$35,86-AI62,FALSE),0)</f>
        <v>0</v>
      </c>
      <c r="M9" s="77">
        <f>IFERROR(VLOOKUP(Vaktplan!$A$44,Vaktplan!$X$4:$CL$35,86-AH62,FALSE),0)</f>
        <v>0</v>
      </c>
      <c r="N9" s="9">
        <f>IFERROR(VLOOKUP(Vaktplan!$A$44,Vaktplan!$X$4:$CL$35,89-$AI62,FALSE),0)</f>
        <v>0</v>
      </c>
      <c r="O9" s="9">
        <f t="shared" si="5"/>
        <v>0</v>
      </c>
      <c r="P9" s="9">
        <f t="shared" si="6"/>
        <v>24</v>
      </c>
      <c r="Q9" s="77">
        <f>IFERROR(VLOOKUP(Vaktplan!$A$44,Vaktplan!$Y$4:$CL$35,86-AJ62,FALSE),0)</f>
        <v>0</v>
      </c>
      <c r="R9" s="77">
        <f>IFERROR(VLOOKUP(Vaktplan!$A$44,Vaktplan!$Y$4:$CL$35,86-AI62,FALSE),0)</f>
        <v>0</v>
      </c>
      <c r="S9" s="9">
        <f>IFERROR(VLOOKUP(Vaktplan!$A$44,Vaktplan!$Y$4:$CL$35,89-$AJ62,FALSE),0)</f>
        <v>0</v>
      </c>
      <c r="T9" s="9">
        <f t="shared" si="0"/>
        <v>0</v>
      </c>
      <c r="U9" s="9">
        <f t="shared" si="7"/>
        <v>24</v>
      </c>
      <c r="V9" s="77">
        <f>IFERROR(VLOOKUP(Vaktplan!$A$44,Vaktplan!$Z$4:$CL$35,86-AK62,FALSE),0)</f>
        <v>0</v>
      </c>
      <c r="W9" s="77">
        <f>IFERROR(VLOOKUP(Vaktplan!$A$44,Vaktplan!$Z$4:$CL$35,86-AJ62,FALSE),0)</f>
        <v>0</v>
      </c>
      <c r="X9" s="9">
        <f>IFERROR(VLOOKUP(Vaktplan!$A$44,Vaktplan!$Z$4:$CL$35,89-$AK62,FALSE),0)</f>
        <v>0</v>
      </c>
      <c r="Y9" s="9">
        <f t="shared" si="8"/>
        <v>0</v>
      </c>
      <c r="Z9" s="9">
        <f t="shared" si="9"/>
        <v>24</v>
      </c>
      <c r="AA9" s="77">
        <f>IFERROR(VLOOKUP(Vaktplan!$A$44,Vaktplan!$AA$4:$CL$35,86-AL62,FALSE),0)</f>
        <v>0</v>
      </c>
      <c r="AB9" s="77">
        <f>IFERROR(VLOOKUP(Vaktplan!$A$44,Vaktplan!$AA$4:$CL$35,86-AK62,FALSE),0)</f>
        <v>0</v>
      </c>
      <c r="AC9" s="9">
        <f>IFERROR(VLOOKUP(Vaktplan!$A$44,Vaktplan!$AA$4:$CL$35,89-$AL62,FALSE),0)</f>
        <v>0</v>
      </c>
      <c r="AD9" s="9">
        <f t="shared" si="10"/>
        <v>0</v>
      </c>
      <c r="AE9" s="9">
        <f t="shared" si="11"/>
        <v>24</v>
      </c>
      <c r="AF9" s="77">
        <f>IFERROR(VLOOKUP(Vaktplan!$A$44,Vaktplan!$AB$4:$CL$35,86-AM62,FALSE),0)</f>
        <v>0</v>
      </c>
      <c r="AG9" s="77">
        <f>IFERROR(VLOOKUP(Vaktplan!$A$44,Vaktplan!$AB$4:$CL$35,86-AL62,FALSE),0)</f>
        <v>0</v>
      </c>
      <c r="AH9" s="9">
        <f>IFERROR(VLOOKUP(Vaktplan!$A$44,Vaktplan!$AB$4:$CL$35,89-$AM62,FALSE),0)</f>
        <v>0</v>
      </c>
      <c r="AI9" s="9">
        <f t="shared" si="12"/>
        <v>0</v>
      </c>
      <c r="AJ9" s="9">
        <f t="shared" si="13"/>
        <v>24</v>
      </c>
      <c r="AK9" s="9">
        <f t="shared" si="1"/>
        <v>0</v>
      </c>
      <c r="AL9" s="10">
        <f t="shared" si="14"/>
        <v>24</v>
      </c>
      <c r="AM9" s="10">
        <f t="shared" si="15"/>
        <v>0</v>
      </c>
    </row>
    <row r="10" spans="1:39" ht="13" x14ac:dyDescent="0.25">
      <c r="A10" s="7">
        <f>IF($M$1&gt;=5,5,0)</f>
        <v>5</v>
      </c>
      <c r="B10" s="77">
        <f>IFERROR(VLOOKUP(Vaktplan!$A$44,Vaktplan!$AC$4:$CL$35,87-AH63,FALSE),0)</f>
        <v>0</v>
      </c>
      <c r="C10" s="77">
        <f>IFERROR(VLOOKUP(Vaktplan!$A$44,Vaktplan!$AC$4:$CL$35,87-AG63,FALSE),0)</f>
        <v>0</v>
      </c>
      <c r="D10" s="9">
        <f>IFERROR(VLOOKUP(Vaktplan!$A$44,Vaktplan!$AC$4:$CL$35,89-AG63,FALSE),0)</f>
        <v>0</v>
      </c>
      <c r="E10" s="9">
        <f t="shared" si="16"/>
        <v>0</v>
      </c>
      <c r="F10" s="9">
        <f t="shared" si="2"/>
        <v>24</v>
      </c>
      <c r="G10" s="77">
        <f>IFERROR(VLOOKUP(Vaktplan!$A$44,Vaktplan!$AD$4:$CL$35,86-AH63,FALSE),0)</f>
        <v>0</v>
      </c>
      <c r="H10" s="77">
        <f>IFERROR(VLOOKUP(Vaktplan!$A$44,Vaktplan!$AD$4:$CL$35,86-AG63,FALSE),0)</f>
        <v>0</v>
      </c>
      <c r="I10" s="9">
        <f>IFERROR(VLOOKUP(Vaktplan!$A$44,Vaktplan!$AD$4:$CL$35,89-$AH63,FALSE),0)</f>
        <v>0</v>
      </c>
      <c r="J10" s="9">
        <f t="shared" si="3"/>
        <v>0</v>
      </c>
      <c r="K10" s="9">
        <f t="shared" si="4"/>
        <v>24</v>
      </c>
      <c r="L10" s="77">
        <f>IFERROR(VLOOKUP(Vaktplan!$A$44,Vaktplan!$AE$4:$CL$35,86-AI63,FALSE),0)</f>
        <v>0</v>
      </c>
      <c r="M10" s="77">
        <f>IFERROR(VLOOKUP(Vaktplan!$A$44,Vaktplan!$AE$4:$CL$35,86-AH63,FALSE),0)</f>
        <v>0</v>
      </c>
      <c r="N10" s="9">
        <f>IFERROR(VLOOKUP(Vaktplan!$A$44,Vaktplan!$AE$4:$CL$35,89-$AI63,FALSE),0)</f>
        <v>0</v>
      </c>
      <c r="O10" s="9">
        <f t="shared" si="5"/>
        <v>0</v>
      </c>
      <c r="P10" s="9">
        <f t="shared" si="6"/>
        <v>24</v>
      </c>
      <c r="Q10" s="77">
        <f>IFERROR(VLOOKUP(Vaktplan!$A$44,Vaktplan!$AF$4:$CL$35,86-AJ63,FALSE),0)</f>
        <v>0</v>
      </c>
      <c r="R10" s="77">
        <f>IFERROR(VLOOKUP(Vaktplan!$A$44,Vaktplan!$AF$4:$CL$35,86-AI63,FALSE),0)</f>
        <v>0</v>
      </c>
      <c r="S10" s="9">
        <f>IFERROR(VLOOKUP(Vaktplan!$A$44,Vaktplan!$AF$4:$CL$35,89-$AJ63,FALSE),0)</f>
        <v>0</v>
      </c>
      <c r="T10" s="9">
        <f t="shared" si="0"/>
        <v>0</v>
      </c>
      <c r="U10" s="9">
        <f t="shared" si="7"/>
        <v>24</v>
      </c>
      <c r="V10" s="77">
        <f>IFERROR(VLOOKUP(Vaktplan!$A$44,Vaktplan!$AG$4:$CL$35,86-AK63,FALSE),0)</f>
        <v>0</v>
      </c>
      <c r="W10" s="77">
        <f>IFERROR(VLOOKUP(Vaktplan!$A$44,Vaktplan!$AG$4:$CL$35,86-AJ63,FALSE),0)</f>
        <v>0</v>
      </c>
      <c r="X10" s="9">
        <f>IFERROR(VLOOKUP(Vaktplan!$A$44,Vaktplan!$AG$4:$CL$35,89-$AK63,FALSE),0)</f>
        <v>0</v>
      </c>
      <c r="Y10" s="9">
        <f t="shared" si="8"/>
        <v>0</v>
      </c>
      <c r="Z10" s="9">
        <f t="shared" si="9"/>
        <v>24</v>
      </c>
      <c r="AA10" s="77">
        <f>IFERROR(VLOOKUP(Vaktplan!$A$44,Vaktplan!$AH$4:$CL$35,86-AL63,FALSE),0)</f>
        <v>0</v>
      </c>
      <c r="AB10" s="77">
        <f>IFERROR(VLOOKUP(Vaktplan!$A$44,Vaktplan!$AH$4:$CL$35,86-AK63,FALSE),0)</f>
        <v>0</v>
      </c>
      <c r="AC10" s="9">
        <f>IFERROR(VLOOKUP(Vaktplan!$A$44,Vaktplan!$AH$4:$CL$35,89-$AL63,FALSE),0)</f>
        <v>0</v>
      </c>
      <c r="AD10" s="9">
        <f t="shared" si="10"/>
        <v>0</v>
      </c>
      <c r="AE10" s="9">
        <f t="shared" si="11"/>
        <v>24</v>
      </c>
      <c r="AF10" s="77">
        <f>IFERROR(VLOOKUP(Vaktplan!$A$44,Vaktplan!$AI$4:$CL$35,86-AM63,FALSE),0)</f>
        <v>0</v>
      </c>
      <c r="AG10" s="77">
        <f>IFERROR(VLOOKUP(Vaktplan!$A$44,Vaktplan!$AI$4:$CL$35,86-AL63,FALSE),0)</f>
        <v>0</v>
      </c>
      <c r="AH10" s="9">
        <f>IFERROR(VLOOKUP(Vaktplan!$A$44,Vaktplan!$AI$4:$CL$35,89-$AM63,FALSE),0)</f>
        <v>0</v>
      </c>
      <c r="AI10" s="9">
        <f t="shared" si="12"/>
        <v>0</v>
      </c>
      <c r="AJ10" s="9">
        <f t="shared" si="13"/>
        <v>24</v>
      </c>
      <c r="AK10" s="9">
        <f t="shared" si="1"/>
        <v>0</v>
      </c>
      <c r="AL10" s="10">
        <f t="shared" si="14"/>
        <v>24</v>
      </c>
      <c r="AM10" s="10">
        <f t="shared" si="15"/>
        <v>0</v>
      </c>
    </row>
    <row r="11" spans="1:39" ht="13" x14ac:dyDescent="0.25">
      <c r="A11" s="7">
        <f>IF($M$1&gt;=6,6,0)</f>
        <v>6</v>
      </c>
      <c r="B11" s="77">
        <f>IFERROR(VLOOKUP(Vaktplan!$A$44,Vaktplan!$AJ$4:$CL$35,87-AH64,FALSE),0)</f>
        <v>0</v>
      </c>
      <c r="C11" s="77">
        <f>IFERROR(VLOOKUP(Vaktplan!$A$44,Vaktplan!$AJ$4:$CL$35,87-AG64,FALSE),0)</f>
        <v>0</v>
      </c>
      <c r="D11" s="9">
        <f>IFERROR(VLOOKUP(Vaktplan!$A$44,Vaktplan!$AJ$4:$CL$35,89-AG64,FALSE),0)</f>
        <v>0</v>
      </c>
      <c r="E11" s="9">
        <f t="shared" si="16"/>
        <v>0</v>
      </c>
      <c r="F11" s="9">
        <f t="shared" si="2"/>
        <v>24</v>
      </c>
      <c r="G11" s="77">
        <f>IFERROR(VLOOKUP(Vaktplan!$A$44,Vaktplan!$AK$4:$CL$35,86-AH64,FALSE),0)</f>
        <v>0</v>
      </c>
      <c r="H11" s="77">
        <f>IFERROR(VLOOKUP(Vaktplan!$A$44,Vaktplan!$AK$4:$CL$35,86-AG64,FALSE),0)</f>
        <v>0</v>
      </c>
      <c r="I11" s="9">
        <f>IFERROR(VLOOKUP(Vaktplan!$A$44,Vaktplan!$AK$4:$CL$35,89-$AH64,FALSE),0)</f>
        <v>0</v>
      </c>
      <c r="J11" s="9">
        <f t="shared" si="3"/>
        <v>0</v>
      </c>
      <c r="K11" s="9">
        <f t="shared" si="4"/>
        <v>24</v>
      </c>
      <c r="L11" s="77">
        <f>IFERROR(VLOOKUP(Vaktplan!$A$44,Vaktplan!$AL$4:$CL$35,86-AI64,FALSE),0)</f>
        <v>0</v>
      </c>
      <c r="M11" s="77">
        <f>IFERROR(VLOOKUP(Vaktplan!$A$44,Vaktplan!$AL$4:$CL$35,86-AH64,FALSE),0)</f>
        <v>0</v>
      </c>
      <c r="N11" s="9">
        <f>IFERROR(VLOOKUP(Vaktplan!$A$44,Vaktplan!$AL$4:$CL$35,89-$AI64,FALSE),0)</f>
        <v>0</v>
      </c>
      <c r="O11" s="9">
        <f t="shared" si="5"/>
        <v>0</v>
      </c>
      <c r="P11" s="9">
        <f t="shared" si="6"/>
        <v>24</v>
      </c>
      <c r="Q11" s="77">
        <f>IFERROR(VLOOKUP(Vaktplan!$A$44,Vaktplan!$AM$4:$CL$35,86-AJ64,FALSE),0)</f>
        <v>0</v>
      </c>
      <c r="R11" s="77">
        <f>IFERROR(VLOOKUP(Vaktplan!$A$44,Vaktplan!$AM$4:$CL$35,86-AI64,FALSE),0)</f>
        <v>0</v>
      </c>
      <c r="S11" s="9">
        <f>IFERROR(VLOOKUP(Vaktplan!$A$44,Vaktplan!$AM$4:$CL$35,89-$AJ64,FALSE),0)</f>
        <v>0</v>
      </c>
      <c r="T11" s="9">
        <f t="shared" si="0"/>
        <v>0</v>
      </c>
      <c r="U11" s="9">
        <f t="shared" si="7"/>
        <v>24</v>
      </c>
      <c r="V11" s="77">
        <f>IFERROR(VLOOKUP(Vaktplan!$A$44,Vaktplan!$AN$4:$CL$35,86-AK64,FALSE),0)</f>
        <v>0</v>
      </c>
      <c r="W11" s="77">
        <f>IFERROR(VLOOKUP(Vaktplan!$A$44,Vaktplan!$AN$4:$CL$35,86-AJ64,FALSE),0)</f>
        <v>0</v>
      </c>
      <c r="X11" s="9">
        <f>IFERROR(VLOOKUP(Vaktplan!$A$44,Vaktplan!$AN$4:$CL$35,89-$AK64,FALSE),0)</f>
        <v>0</v>
      </c>
      <c r="Y11" s="9">
        <f t="shared" si="8"/>
        <v>0</v>
      </c>
      <c r="Z11" s="9">
        <f t="shared" si="9"/>
        <v>24</v>
      </c>
      <c r="AA11" s="77">
        <f>IFERROR(VLOOKUP(Vaktplan!$A$44,Vaktplan!$AO$4:$CL$35,86-AL64,FALSE),0)</f>
        <v>0</v>
      </c>
      <c r="AB11" s="77">
        <f>IFERROR(VLOOKUP(Vaktplan!$A$44,Vaktplan!$AO$4:$CL$35,86-AK64,FALSE),0)</f>
        <v>0</v>
      </c>
      <c r="AC11" s="9">
        <f>IFERROR(VLOOKUP(Vaktplan!$A$44,Vaktplan!$AO$4:$CL$35,89-$AL64,FALSE),0)</f>
        <v>0</v>
      </c>
      <c r="AD11" s="9">
        <f t="shared" si="10"/>
        <v>0</v>
      </c>
      <c r="AE11" s="9">
        <f t="shared" si="11"/>
        <v>24</v>
      </c>
      <c r="AF11" s="77">
        <f>IFERROR(VLOOKUP(Vaktplan!$A$44,Vaktplan!$AP$4:$CL$35,86-AM64,FALSE),0)</f>
        <v>0</v>
      </c>
      <c r="AG11" s="77">
        <f>IFERROR(VLOOKUP(Vaktplan!$A$44,Vaktplan!$AP$4:$CL$35,86-AL64,FALSE),0)</f>
        <v>0</v>
      </c>
      <c r="AH11" s="9">
        <f>IFERROR(VLOOKUP(Vaktplan!$A$44,Vaktplan!$AP$4:$CL$35,89-$AM64,FALSE),0)</f>
        <v>0</v>
      </c>
      <c r="AI11" s="9">
        <f t="shared" si="12"/>
        <v>0</v>
      </c>
      <c r="AJ11" s="9">
        <f t="shared" si="13"/>
        <v>24</v>
      </c>
      <c r="AK11" s="9">
        <f t="shared" si="1"/>
        <v>0</v>
      </c>
      <c r="AL11" s="10">
        <f t="shared" si="14"/>
        <v>24</v>
      </c>
      <c r="AM11" s="10">
        <f t="shared" si="15"/>
        <v>0</v>
      </c>
    </row>
    <row r="12" spans="1:39" ht="13" x14ac:dyDescent="0.25">
      <c r="A12" s="7">
        <f>IF($M$1&gt;=7,7,0)</f>
        <v>7</v>
      </c>
      <c r="B12" s="77">
        <f>IFERROR(VLOOKUP(Vaktplan!$A$44,Vaktplan!$AQ$4:$CL$35,87-AH65,FALSE),0)</f>
        <v>0</v>
      </c>
      <c r="C12" s="77">
        <f>IFERROR(VLOOKUP(Vaktplan!$A$44,Vaktplan!$AQ$4:$CL$35,87-AG65,FALSE),0)</f>
        <v>0</v>
      </c>
      <c r="D12" s="9">
        <f>IFERROR(VLOOKUP(Vaktplan!$A$44,Vaktplan!$AQ$4:$CL$35,89-AG65,FALSE),0)</f>
        <v>0</v>
      </c>
      <c r="E12" s="9">
        <f t="shared" si="16"/>
        <v>0</v>
      </c>
      <c r="F12" s="9">
        <f t="shared" si="2"/>
        <v>24</v>
      </c>
      <c r="G12" s="77">
        <f>IFERROR(VLOOKUP(Vaktplan!$A$44,Vaktplan!$AR$4:$CL$35,86-AH65,FALSE),0)</f>
        <v>0</v>
      </c>
      <c r="H12" s="77">
        <f>IFERROR(VLOOKUP(Vaktplan!$A$44,Vaktplan!$AR$4:$CL$35,86-AG65,FALSE),0)</f>
        <v>0</v>
      </c>
      <c r="I12" s="9">
        <f>IFERROR(VLOOKUP(Vaktplan!$A$44,Vaktplan!$AR$4:$CL$35,89-$AH65,FALSE),0)</f>
        <v>0</v>
      </c>
      <c r="J12" s="9">
        <f t="shared" si="3"/>
        <v>0</v>
      </c>
      <c r="K12" s="9">
        <f t="shared" si="4"/>
        <v>24</v>
      </c>
      <c r="L12" s="77">
        <f>IFERROR(VLOOKUP(Vaktplan!$A$44,Vaktplan!$AS$4:$CL$35,86-AI65,FALSE),0)</f>
        <v>0</v>
      </c>
      <c r="M12" s="77">
        <f>IFERROR(VLOOKUP(Vaktplan!$A$44,Vaktplan!$AS$4:$CL$35,86-AH65,FALSE),0)</f>
        <v>0</v>
      </c>
      <c r="N12" s="9">
        <f>IFERROR(VLOOKUP(Vaktplan!$A$44,Vaktplan!$AS$4:$CL$35,89-$AI65,FALSE),0)</f>
        <v>0</v>
      </c>
      <c r="O12" s="9">
        <f t="shared" si="5"/>
        <v>0</v>
      </c>
      <c r="P12" s="9">
        <f t="shared" si="6"/>
        <v>24</v>
      </c>
      <c r="Q12" s="77">
        <f>IFERROR(VLOOKUP(Vaktplan!$A$44,Vaktplan!$AT$4:$CL$35,86-AJ65,FALSE),0)</f>
        <v>0</v>
      </c>
      <c r="R12" s="77">
        <f>IFERROR(VLOOKUP(Vaktplan!$A$44,Vaktplan!$AT$4:$CL$35,86-AI65,FALSE),0)</f>
        <v>0</v>
      </c>
      <c r="S12" s="9">
        <f>IFERROR(VLOOKUP(Vaktplan!$A$44,Vaktplan!$AT$4:$CL$35,89-$AJ65,FALSE),0)</f>
        <v>0</v>
      </c>
      <c r="T12" s="9">
        <f t="shared" si="0"/>
        <v>0</v>
      </c>
      <c r="U12" s="9">
        <f t="shared" si="7"/>
        <v>24</v>
      </c>
      <c r="V12" s="77">
        <f>IFERROR(VLOOKUP(Vaktplan!$A$44,Vaktplan!$AU$4:$CL$35,86-AK65,FALSE),0)</f>
        <v>0</v>
      </c>
      <c r="W12" s="77">
        <f>IFERROR(VLOOKUP(Vaktplan!$A$44,Vaktplan!$AU$4:$CL$35,86-AJ65,FALSE),0)</f>
        <v>0</v>
      </c>
      <c r="X12" s="9">
        <f>IFERROR(VLOOKUP(Vaktplan!$A$44,Vaktplan!$AU$4:$CL$35,89-$AK65,FALSE),0)</f>
        <v>0</v>
      </c>
      <c r="Y12" s="9">
        <f t="shared" si="8"/>
        <v>0</v>
      </c>
      <c r="Z12" s="9">
        <f t="shared" si="9"/>
        <v>24</v>
      </c>
      <c r="AA12" s="77">
        <f>IFERROR(VLOOKUP(Vaktplan!$A$44,Vaktplan!$AV$4:$CL$35,86-AL65,FALSE),0)</f>
        <v>0</v>
      </c>
      <c r="AB12" s="77">
        <f>IFERROR(VLOOKUP(Vaktplan!$A$44,Vaktplan!$AV$4:$CL$35,86-AK65,FALSE),0)</f>
        <v>0</v>
      </c>
      <c r="AC12" s="9">
        <f>IFERROR(VLOOKUP(Vaktplan!$A$44,Vaktplan!$AV$4:$CL$35,89-$AL65,FALSE),0)</f>
        <v>0</v>
      </c>
      <c r="AD12" s="9">
        <f t="shared" si="10"/>
        <v>0</v>
      </c>
      <c r="AE12" s="9">
        <f t="shared" si="11"/>
        <v>24</v>
      </c>
      <c r="AF12" s="77">
        <f>IFERROR(VLOOKUP(Vaktplan!$A$44,Vaktplan!$AW$4:$CL$35,86-AM65,FALSE),0)</f>
        <v>0</v>
      </c>
      <c r="AG12" s="77">
        <f>IFERROR(VLOOKUP(Vaktplan!$A$44,Vaktplan!$AW$4:$CL$35,86-AL65,FALSE),0)</f>
        <v>0</v>
      </c>
      <c r="AH12" s="9">
        <f>IFERROR(VLOOKUP(Vaktplan!$A$44,Vaktplan!$AW$4:$CL$35,89-$AM65,FALSE),0)</f>
        <v>0</v>
      </c>
      <c r="AI12" s="9">
        <f t="shared" si="12"/>
        <v>0</v>
      </c>
      <c r="AJ12" s="9">
        <f t="shared" si="13"/>
        <v>24</v>
      </c>
      <c r="AK12" s="9">
        <f t="shared" si="1"/>
        <v>0</v>
      </c>
      <c r="AL12" s="10">
        <f t="shared" si="14"/>
        <v>24</v>
      </c>
      <c r="AM12" s="10">
        <f t="shared" si="15"/>
        <v>0</v>
      </c>
    </row>
    <row r="13" spans="1:39" ht="13" x14ac:dyDescent="0.25">
      <c r="A13" s="7">
        <f>IF($M$1&gt;=8,8,0)</f>
        <v>8</v>
      </c>
      <c r="B13" s="77">
        <f>IFERROR(VLOOKUP(Vaktplan!$A$44,Vaktplan!$AX$4:$CL$35,87-AH66,FALSE),0)</f>
        <v>0</v>
      </c>
      <c r="C13" s="77">
        <f>IFERROR(VLOOKUP(Vaktplan!$A$44,Vaktplan!$AX$4:$CL$35,87-AG66,FALSE),0)</f>
        <v>0</v>
      </c>
      <c r="D13" s="9">
        <f>IFERROR(VLOOKUP(Vaktplan!$A$44,Vaktplan!$AX$4:$CL$35,89-AG66,FALSE),0)</f>
        <v>0</v>
      </c>
      <c r="E13" s="9">
        <f t="shared" si="16"/>
        <v>0</v>
      </c>
      <c r="F13" s="9">
        <f t="shared" si="2"/>
        <v>24</v>
      </c>
      <c r="G13" s="77">
        <f>IFERROR(VLOOKUP(Vaktplan!$A$44,Vaktplan!$AY$4:$CL$35,86-AH66,FALSE),0)</f>
        <v>0</v>
      </c>
      <c r="H13" s="77">
        <f>IFERROR(VLOOKUP(Vaktplan!$A$44,Vaktplan!$AY$4:$CL$35,86-AG66,FALSE),0)</f>
        <v>0</v>
      </c>
      <c r="I13" s="9">
        <f>IFERROR(VLOOKUP(Vaktplan!$A$44,Vaktplan!$AY$4:$CL$35,89-$AH66,FALSE),0)</f>
        <v>0</v>
      </c>
      <c r="J13" s="9">
        <f t="shared" si="3"/>
        <v>0</v>
      </c>
      <c r="K13" s="9">
        <f t="shared" si="4"/>
        <v>24</v>
      </c>
      <c r="L13" s="77">
        <f>IFERROR(VLOOKUP(Vaktplan!$A$44,Vaktplan!$AZ$4:$CL$35,86-AI66,FALSE),0)</f>
        <v>0</v>
      </c>
      <c r="M13" s="77">
        <f>IFERROR(VLOOKUP(Vaktplan!$A$44,Vaktplan!$AZ$4:$CL$35,86-AH66,FALSE),0)</f>
        <v>0</v>
      </c>
      <c r="N13" s="9">
        <f>IFERROR(VLOOKUP(Vaktplan!$A$44,Vaktplan!$AZ$4:$CL$35,89-$AI66,FALSE),0)</f>
        <v>0</v>
      </c>
      <c r="O13" s="9">
        <f t="shared" si="5"/>
        <v>0</v>
      </c>
      <c r="P13" s="9">
        <f t="shared" si="6"/>
        <v>24</v>
      </c>
      <c r="Q13" s="77">
        <f>IFERROR(VLOOKUP(Vaktplan!$A$44,Vaktplan!$BA$4:$CL$35,86-AJ66,FALSE),0)</f>
        <v>0</v>
      </c>
      <c r="R13" s="77">
        <f>IFERROR(VLOOKUP(Vaktplan!$A$44,Vaktplan!$BA$4:$CL$35,86-AI66,FALSE),0)</f>
        <v>0</v>
      </c>
      <c r="S13" s="9">
        <f>IFERROR(VLOOKUP(Vaktplan!$A$44,Vaktplan!$BA$4:$CL$35,89-$AJ66,FALSE),0)</f>
        <v>0</v>
      </c>
      <c r="T13" s="9">
        <f t="shared" si="0"/>
        <v>0</v>
      </c>
      <c r="U13" s="9">
        <f t="shared" si="7"/>
        <v>24</v>
      </c>
      <c r="V13" s="77">
        <f>IFERROR(VLOOKUP(Vaktplan!$A$44,Vaktplan!$BB$4:$CL$35,86-AK66,FALSE),0)</f>
        <v>0</v>
      </c>
      <c r="W13" s="77">
        <f>IFERROR(VLOOKUP(Vaktplan!$A$44,Vaktplan!$BB$4:$CL$35,86-AJ66,FALSE),0)</f>
        <v>0</v>
      </c>
      <c r="X13" s="9">
        <f>IFERROR(VLOOKUP(Vaktplan!$A$44,Vaktplan!$BB$4:$CL$35,89-$AK66,FALSE),0)</f>
        <v>0</v>
      </c>
      <c r="Y13" s="9">
        <f t="shared" si="8"/>
        <v>0</v>
      </c>
      <c r="Z13" s="9">
        <f t="shared" si="9"/>
        <v>24</v>
      </c>
      <c r="AA13" s="77">
        <f>IFERROR(VLOOKUP(Vaktplan!$A$44,Vaktplan!$BC$4:$CL$35,86-AL66,FALSE),0)</f>
        <v>0</v>
      </c>
      <c r="AB13" s="77">
        <f>IFERROR(VLOOKUP(Vaktplan!$A$44,Vaktplan!$BC$4:$CL$35,86-AK66,FALSE),0)</f>
        <v>0</v>
      </c>
      <c r="AC13" s="9">
        <f>IFERROR(VLOOKUP(Vaktplan!$A$44,Vaktplan!$BC$4:$CL$35,89-$AL66,FALSE),0)</f>
        <v>0</v>
      </c>
      <c r="AD13" s="9">
        <f t="shared" si="10"/>
        <v>0</v>
      </c>
      <c r="AE13" s="9">
        <f t="shared" si="11"/>
        <v>24</v>
      </c>
      <c r="AF13" s="77">
        <f>IFERROR(VLOOKUP(Vaktplan!$A$44,Vaktplan!$BD$4:$CL$35,86-AM66,FALSE),0)</f>
        <v>0</v>
      </c>
      <c r="AG13" s="77">
        <f>IFERROR(VLOOKUP(Vaktplan!$A$44,Vaktplan!$BD$4:$CL$35,86-AL66,FALSE),0)</f>
        <v>0</v>
      </c>
      <c r="AH13" s="9">
        <f>IFERROR(VLOOKUP(Vaktplan!$A$44,Vaktplan!$BD$4:$CL$35,89-$AM66,FALSE),0)</f>
        <v>0</v>
      </c>
      <c r="AI13" s="9">
        <f t="shared" si="12"/>
        <v>0</v>
      </c>
      <c r="AJ13" s="9">
        <f t="shared" si="13"/>
        <v>24</v>
      </c>
      <c r="AK13" s="9">
        <f t="shared" si="1"/>
        <v>0</v>
      </c>
      <c r="AL13" s="10">
        <f t="shared" si="14"/>
        <v>24</v>
      </c>
      <c r="AM13" s="10">
        <f t="shared" si="15"/>
        <v>0</v>
      </c>
    </row>
    <row r="14" spans="1:39" ht="13" x14ac:dyDescent="0.25">
      <c r="A14" s="7">
        <v>9</v>
      </c>
      <c r="B14" s="77">
        <f>IFERROR(VLOOKUP(Vaktplan!$A$44,Vaktplan!$BE$4:$CL$35,87-AH67,FALSE),0)</f>
        <v>0</v>
      </c>
      <c r="C14" s="77">
        <f>IFERROR(VLOOKUP(Vaktplan!$A$44,Vaktplan!$BE$4:$CL$35,87-AG67,FALSE),0)</f>
        <v>0</v>
      </c>
      <c r="D14" s="9">
        <f>IFERROR(VLOOKUP(Vaktplan!$A$44,Vaktplan!$BE$4:$CL$35,89-AG67,FALSE),0)</f>
        <v>0</v>
      </c>
      <c r="E14" s="9">
        <f t="shared" si="16"/>
        <v>0</v>
      </c>
      <c r="F14" s="9">
        <f t="shared" si="2"/>
        <v>24</v>
      </c>
      <c r="G14" s="77">
        <f>IFERROR(VLOOKUP(Vaktplan!$A$44,Vaktplan!$BF$4:$CL$35,86-AH67,FALSE),0)</f>
        <v>0</v>
      </c>
      <c r="H14" s="77">
        <f>IFERROR(VLOOKUP(Vaktplan!$A$44,Vaktplan!$BF$4:$CL$35,86-AG67,FALSE),0)</f>
        <v>0</v>
      </c>
      <c r="I14" s="9">
        <f>IFERROR(VLOOKUP(Vaktplan!$A$44,Vaktplan!$BF$4:$CL$35,89-$AH67,FALSE),0)</f>
        <v>0</v>
      </c>
      <c r="J14" s="9">
        <f t="shared" si="3"/>
        <v>0</v>
      </c>
      <c r="K14" s="9">
        <f t="shared" si="4"/>
        <v>24</v>
      </c>
      <c r="L14" s="77">
        <f>IFERROR(VLOOKUP(Vaktplan!$A$44,Vaktplan!$BG$4:$CL$35,86-AI67,FALSE),0)</f>
        <v>0</v>
      </c>
      <c r="M14" s="77">
        <f>IFERROR(VLOOKUP(Vaktplan!$A$44,Vaktplan!$BG$4:$CL$35,86-AH67,FALSE),0)</f>
        <v>0</v>
      </c>
      <c r="N14" s="9">
        <f>IFERROR(VLOOKUP(Vaktplan!$A$44,Vaktplan!$BG$4:$CL$35,89-$AI67,FALSE),0)</f>
        <v>0</v>
      </c>
      <c r="O14" s="9">
        <f t="shared" si="5"/>
        <v>0</v>
      </c>
      <c r="P14" s="9">
        <f t="shared" si="6"/>
        <v>24</v>
      </c>
      <c r="Q14" s="77">
        <f>IFERROR(VLOOKUP(Vaktplan!$A$44,Vaktplan!$BH$4:$CL$35,86-AJ67,FALSE),0)</f>
        <v>0</v>
      </c>
      <c r="R14" s="77">
        <f>IFERROR(VLOOKUP(Vaktplan!$A$44,Vaktplan!$BH$4:$CL$35,86-AI67,FALSE),0)</f>
        <v>0</v>
      </c>
      <c r="S14" s="9">
        <f>IFERROR(VLOOKUP(Vaktplan!$A$44,Vaktplan!$BH$4:$CL$35,89-$AJ67,FALSE),0)</f>
        <v>0</v>
      </c>
      <c r="T14" s="9">
        <f t="shared" si="0"/>
        <v>0</v>
      </c>
      <c r="U14" s="9">
        <f t="shared" si="7"/>
        <v>24</v>
      </c>
      <c r="V14" s="77">
        <f>IFERROR(VLOOKUP(Vaktplan!$A$44,Vaktplan!$BI$4:$CL$35,86-AK67,FALSE),0)</f>
        <v>0</v>
      </c>
      <c r="W14" s="77">
        <f>IFERROR(VLOOKUP(Vaktplan!$A$44,Vaktplan!$BI$4:$CL$35,86-AJ67,FALSE),0)</f>
        <v>0</v>
      </c>
      <c r="X14" s="9">
        <f>IFERROR(VLOOKUP(Vaktplan!$A$44,Vaktplan!$BI$4:$CL$35,89-$AK67,FALSE),0)</f>
        <v>0</v>
      </c>
      <c r="Y14" s="9">
        <f>IF(AND(V14=0,W14=0),0,IF(V14&lt;W14,((W14-V14)*24)-X14,(((1-V14)+W14)*24)-X14))</f>
        <v>0</v>
      </c>
      <c r="Z14" s="9">
        <f t="shared" si="9"/>
        <v>24</v>
      </c>
      <c r="AA14" s="77">
        <f>IFERROR(VLOOKUP(Vaktplan!$A$44,Vaktplan!$BJ$4:$CL$35,86-AL67,FALSE),0)</f>
        <v>0</v>
      </c>
      <c r="AB14" s="77">
        <f>IFERROR(VLOOKUP(Vaktplan!$A$44,Vaktplan!$BJ$4:$CL$35,86-AK67,FALSE),0)</f>
        <v>0</v>
      </c>
      <c r="AC14" s="9">
        <f>IFERROR(VLOOKUP(Vaktplan!$A$44,Vaktplan!$BJ$4:$CL$35,89-$AL67,FALSE),0)</f>
        <v>0</v>
      </c>
      <c r="AD14" s="9">
        <f>IF(AND(AA14=0,AB14=0),0,IF(AA14&lt;AB14,((AB14-AA14)*24)-AC14,(((1-AA14)+AB14)*24)-AC14))</f>
        <v>0</v>
      </c>
      <c r="AE14" s="9">
        <f t="shared" si="11"/>
        <v>24</v>
      </c>
      <c r="AF14" s="77">
        <f>IFERROR(VLOOKUP(Vaktplan!$A$44,Vaktplan!$BK$4:$CL$35,86-AM67,FALSE),0)</f>
        <v>0</v>
      </c>
      <c r="AG14" s="77">
        <f>IFERROR(VLOOKUP(Vaktplan!$A$44,Vaktplan!$BK$4:$CL$35,86-AL67,FALSE),0)</f>
        <v>0</v>
      </c>
      <c r="AH14" s="9">
        <f>IFERROR(VLOOKUP(Vaktplan!$A$44,Vaktplan!$BK$4:$CL$35,89-$AM67,FALSE),0)</f>
        <v>0</v>
      </c>
      <c r="AI14" s="9">
        <f>IF(AND(AF14=0,AG14=0),0,IF(AF14&lt;AG14,((AG14-AF14)*24)-AH14,(((1-AF14)+AG14)*24)-AH14))</f>
        <v>0</v>
      </c>
      <c r="AJ14" s="9">
        <f t="shared" si="13"/>
        <v>24</v>
      </c>
      <c r="AK14" s="9">
        <f t="shared" si="1"/>
        <v>0</v>
      </c>
      <c r="AL14" s="10"/>
      <c r="AM14" s="10"/>
    </row>
    <row r="15" spans="1:39" ht="13" x14ac:dyDescent="0.25">
      <c r="A15" s="7">
        <v>10</v>
      </c>
      <c r="B15" s="77">
        <f>IFERROR(VLOOKUP(Vaktplan!$A$44,Vaktplan!$BL$4:$CL$35,87-AH68,FALSE),0)</f>
        <v>0</v>
      </c>
      <c r="C15" s="77">
        <f>IFERROR(VLOOKUP(Vaktplan!$A$44,Vaktplan!$BL$4:$CL$35,87-AG68,FALSE),0)</f>
        <v>0</v>
      </c>
      <c r="D15" s="9">
        <f>IFERROR(VLOOKUP(Vaktplan!$A$44,Vaktplan!$BL$4:$CL$35,89-AG68,FALSE),0)</f>
        <v>0</v>
      </c>
      <c r="E15" s="9">
        <f t="shared" si="16"/>
        <v>0</v>
      </c>
      <c r="F15" s="9">
        <f t="shared" si="2"/>
        <v>24</v>
      </c>
      <c r="G15" s="77">
        <f>IFERROR(VLOOKUP(Vaktplan!$A$44,Vaktplan!$BM$4:$CL$35,86-AH68,FALSE),0)</f>
        <v>0</v>
      </c>
      <c r="H15" s="77">
        <f>IFERROR(VLOOKUP(Vaktplan!$A$44,Vaktplan!$BM$4:$CL$35,86-AG68,FALSE),0)</f>
        <v>0</v>
      </c>
      <c r="I15" s="9">
        <f>IFERROR(VLOOKUP(Vaktplan!$A$44,Vaktplan!$BM$4:$CL$35,89-$AH68,FALSE),0)</f>
        <v>0</v>
      </c>
      <c r="J15" s="9">
        <f t="shared" si="3"/>
        <v>0</v>
      </c>
      <c r="K15" s="9">
        <f t="shared" si="4"/>
        <v>24</v>
      </c>
      <c r="L15" s="77">
        <f>IFERROR(VLOOKUP(Vaktplan!$A$44,Vaktplan!$BN$4:$CL$35,86-AI68,FALSE),0)</f>
        <v>0</v>
      </c>
      <c r="M15" s="77">
        <f>IFERROR(VLOOKUP(Vaktplan!$A$44,Vaktplan!$BN$4:$CL$35,86-AH68,FALSE),0)</f>
        <v>0</v>
      </c>
      <c r="N15" s="9">
        <f>IFERROR(VLOOKUP(Vaktplan!$A$44,Vaktplan!$BN$4:$CL$35,89-$AI68,FALSE),0)</f>
        <v>0</v>
      </c>
      <c r="O15" s="9">
        <f t="shared" si="5"/>
        <v>0</v>
      </c>
      <c r="P15" s="9">
        <f t="shared" si="6"/>
        <v>24</v>
      </c>
      <c r="Q15" s="77">
        <f>IFERROR(VLOOKUP(Vaktplan!$A$44,Vaktplan!$BO$4:$CL$35,86-AJ68,FALSE),0)</f>
        <v>0</v>
      </c>
      <c r="R15" s="77">
        <f>IFERROR(VLOOKUP(Vaktplan!$A$44,Vaktplan!$BO$4:$CL$35,86-AI68,FALSE),0)</f>
        <v>0</v>
      </c>
      <c r="S15" s="9">
        <f>IFERROR(VLOOKUP(Vaktplan!$A$44,Vaktplan!$BO$4:$CL$35,89-$AJ68,FALSE),0)</f>
        <v>0</v>
      </c>
      <c r="T15" s="9">
        <f t="shared" si="0"/>
        <v>0</v>
      </c>
      <c r="U15" s="9">
        <f t="shared" si="7"/>
        <v>24</v>
      </c>
      <c r="V15" s="77">
        <f>IFERROR(VLOOKUP(Vaktplan!$A$44,Vaktplan!$BP$4:$CL$35,86-AK68,FALSE),0)</f>
        <v>0</v>
      </c>
      <c r="W15" s="77">
        <f>IFERROR(VLOOKUP(Vaktplan!$A$44,Vaktplan!$BP$4:$CL$35,86-AJ68,FALSE),0)</f>
        <v>0</v>
      </c>
      <c r="X15" s="9">
        <f>IFERROR(VLOOKUP(Vaktplan!$A$44,Vaktplan!$BP$4:$CL$35,89-$AK68,FALSE),0)</f>
        <v>0</v>
      </c>
      <c r="Y15" s="9">
        <f>IF(AND(V15=0,W15=0),0,IF(V15&lt;W15,((W15-V15)*24)-X15,(((1-V15)+W15)*24)-X15))</f>
        <v>0</v>
      </c>
      <c r="Z15" s="9">
        <f t="shared" si="9"/>
        <v>24</v>
      </c>
      <c r="AA15" s="77">
        <f>IFERROR(VLOOKUP(Vaktplan!$A$44,Vaktplan!$BQ$4:$CL$35,86-AL68,FALSE),0)</f>
        <v>0</v>
      </c>
      <c r="AB15" s="77">
        <f>IFERROR(VLOOKUP(Vaktplan!$A$44,Vaktplan!$BQ$4:$CL$35,86-AK68,FALSE),0)</f>
        <v>0</v>
      </c>
      <c r="AC15" s="9">
        <f>IFERROR(VLOOKUP(Vaktplan!$A$44,Vaktplan!$BQ$4:$CL$35,89-$AL68,FALSE),0)</f>
        <v>0</v>
      </c>
      <c r="AD15" s="9">
        <f>IF(AND(AA15=0,AB15=0),0,IF(AA15&lt;AB15,((AB15-AA15)*24)-AC15,(((1-AA15)+AB15)*24)-AC15))</f>
        <v>0</v>
      </c>
      <c r="AE15" s="9">
        <f t="shared" si="11"/>
        <v>24</v>
      </c>
      <c r="AF15" s="77">
        <f>IFERROR(VLOOKUP(Vaktplan!$A$44,Vaktplan!$BR$4:$CL$35,86-AM68,FALSE),0)</f>
        <v>0</v>
      </c>
      <c r="AG15" s="77">
        <f>IFERROR(VLOOKUP(Vaktplan!$A$44,Vaktplan!$BR$4:$CL$35,86-AL68,FALSE),0)</f>
        <v>0</v>
      </c>
      <c r="AH15" s="9">
        <f>IFERROR(VLOOKUP(Vaktplan!$A$44,Vaktplan!$BR$4:$CL$35,89-$AM68,FALSE),0)</f>
        <v>0</v>
      </c>
      <c r="AI15" s="9">
        <f>IF(AND(AF15=0,AG15=0),0,IF(AF15&lt;AG15,((AG15-AF15)*24)-AH15,(((1-AF15)+AG15)*24)-AH15))</f>
        <v>0</v>
      </c>
      <c r="AJ15" s="9">
        <f t="shared" si="13"/>
        <v>24</v>
      </c>
      <c r="AK15" s="9">
        <f t="shared" si="1"/>
        <v>0</v>
      </c>
      <c r="AL15" s="10"/>
      <c r="AM15" s="10"/>
    </row>
    <row r="16" spans="1:39" ht="13" x14ac:dyDescent="0.25">
      <c r="A16" s="7">
        <v>11</v>
      </c>
      <c r="B16" s="77">
        <f>IFERROR(VLOOKUP(Vaktplan!$A$44,Vaktplan!$BS$4:$CL$35,87-AH69,FALSE),0)</f>
        <v>0</v>
      </c>
      <c r="C16" s="77">
        <f>IFERROR(VLOOKUP(Vaktplan!$A$44,Vaktplan!$BS$4:$CL$35,87-AG69,FALSE),0)</f>
        <v>0</v>
      </c>
      <c r="D16" s="9">
        <f>IFERROR(VLOOKUP(Vaktplan!$A$44,Vaktplan!$BS$4:$CL$35,89-AG69,FALSE),0)</f>
        <v>0</v>
      </c>
      <c r="E16" s="9">
        <f t="shared" si="16"/>
        <v>0</v>
      </c>
      <c r="F16" s="9">
        <f t="shared" si="2"/>
        <v>24</v>
      </c>
      <c r="G16" s="77">
        <f>IFERROR(VLOOKUP(Vaktplan!$A$44,Vaktplan!$BT$4:$CL$35,86-AH69,FALSE),0)</f>
        <v>0</v>
      </c>
      <c r="H16" s="77">
        <f>IFERROR(VLOOKUP(Vaktplan!$A$44,Vaktplan!$BT$4:$CL$35,86-AG69,FALSE),0)</f>
        <v>0</v>
      </c>
      <c r="I16" s="9">
        <f>IFERROR(VLOOKUP(Vaktplan!$A$44,Vaktplan!$BT$4:$CL$35,89-$AH69,FALSE),0)</f>
        <v>0</v>
      </c>
      <c r="J16" s="9">
        <f t="shared" si="3"/>
        <v>0</v>
      </c>
      <c r="K16" s="9">
        <f t="shared" si="4"/>
        <v>24</v>
      </c>
      <c r="L16" s="77">
        <f>IFERROR(VLOOKUP(Vaktplan!$A$44,Vaktplan!$BU$4:$CL$35,86-AI69,FALSE),0)</f>
        <v>0</v>
      </c>
      <c r="M16" s="77">
        <f>IFERROR(VLOOKUP(Vaktplan!$A$44,Vaktplan!$BU$4:$CL$35,86-AH69,FALSE),0)</f>
        <v>0</v>
      </c>
      <c r="N16" s="9">
        <f>IFERROR(VLOOKUP(Vaktplan!$A$44,Vaktplan!$BU$4:$CL$35,89-$AI69,FALSE),0)</f>
        <v>0</v>
      </c>
      <c r="O16" s="9">
        <f t="shared" si="5"/>
        <v>0</v>
      </c>
      <c r="P16" s="9">
        <f t="shared" si="6"/>
        <v>24</v>
      </c>
      <c r="Q16" s="77">
        <f>IFERROR(VLOOKUP(Vaktplan!$A$44,Vaktplan!$BV$4:$CL$35,86-AJ69,FALSE),0)</f>
        <v>0</v>
      </c>
      <c r="R16" s="77">
        <f>IFERROR(VLOOKUP(Vaktplan!$A$44,Vaktplan!$BV$4:$CL$35,86-AI69,FALSE),0)</f>
        <v>0</v>
      </c>
      <c r="S16" s="9">
        <f>IFERROR(VLOOKUP(Vaktplan!$A$44,Vaktplan!$BV$4:$CL$35,89-$AJ69,FALSE),0)</f>
        <v>0</v>
      </c>
      <c r="T16" s="9">
        <f t="shared" si="0"/>
        <v>0</v>
      </c>
      <c r="U16" s="9">
        <f t="shared" si="7"/>
        <v>24</v>
      </c>
      <c r="V16" s="77">
        <f>IFERROR(VLOOKUP(Vaktplan!$A$44,Vaktplan!$BW$4:$CL$35,86-AK69,FALSE),0)</f>
        <v>0</v>
      </c>
      <c r="W16" s="77">
        <f>IFERROR(VLOOKUP(Vaktplan!$A$44,Vaktplan!$BW$4:$CL$35,86-AJ69,FALSE),0)</f>
        <v>0</v>
      </c>
      <c r="X16" s="9">
        <f>IFERROR(VLOOKUP(Vaktplan!$A$44,Vaktplan!$BW$4:$CL$35,89-$AK69,FALSE),0)</f>
        <v>0</v>
      </c>
      <c r="Y16" s="9">
        <f>IF(AND(V16=0,W16=0),0,IF(V16&lt;W16,((W16-V16)*24)-X16,(((1-V16)+W16)*24)-X16))</f>
        <v>0</v>
      </c>
      <c r="Z16" s="9">
        <f t="shared" si="9"/>
        <v>24</v>
      </c>
      <c r="AA16" s="77">
        <f>IFERROR(VLOOKUP(Vaktplan!$A$44,Vaktplan!$BX$4:$CL$35,86-AL69,FALSE),0)</f>
        <v>0</v>
      </c>
      <c r="AB16" s="77">
        <f>IFERROR(VLOOKUP(Vaktplan!$A$44,Vaktplan!$BX$4:$CL$35,86-AK69,FALSE),0)</f>
        <v>0</v>
      </c>
      <c r="AC16" s="9">
        <f>IFERROR(VLOOKUP(Vaktplan!$A$44,Vaktplan!$BX$4:$CL$35,89-$AL69,FALSE),0)</f>
        <v>0</v>
      </c>
      <c r="AD16" s="9">
        <f>IF(AND(AA16=0,AB16=0),0,IF(AA16&lt;AB16,((AB16-AA16)*24)-AC16,(((1-AA16)+AB16)*24)-AC16))</f>
        <v>0</v>
      </c>
      <c r="AE16" s="9">
        <f t="shared" si="11"/>
        <v>24</v>
      </c>
      <c r="AF16" s="77">
        <f>IFERROR(VLOOKUP(Vaktplan!$A$44,Vaktplan!$BY$4:$CL$35,86-AM69,FALSE),0)</f>
        <v>0</v>
      </c>
      <c r="AG16" s="77">
        <f>IFERROR(VLOOKUP(Vaktplan!$A$44,Vaktplan!$BY$4:$CL$35,86-AL69,FALSE),0)</f>
        <v>0</v>
      </c>
      <c r="AH16" s="9">
        <f>IFERROR(VLOOKUP(Vaktplan!$A$44,Vaktplan!$BY$4:$CL$35,89-$AM69,FALSE),0)</f>
        <v>0</v>
      </c>
      <c r="AI16" s="9">
        <f>IF(AND(AF16=0,AG16=0),0,IF(AF16&lt;AG16,((AG16-AF16)*24)-AH16,(((1-AF16)+AG16)*24)-AH16))</f>
        <v>0</v>
      </c>
      <c r="AJ16" s="9">
        <f t="shared" si="13"/>
        <v>24</v>
      </c>
      <c r="AK16" s="9">
        <f t="shared" si="1"/>
        <v>0</v>
      </c>
      <c r="AL16" s="10"/>
      <c r="AM16" s="10"/>
    </row>
    <row r="17" spans="1:43" ht="13" x14ac:dyDescent="0.25">
      <c r="A17" s="7">
        <v>12</v>
      </c>
      <c r="B17" s="77">
        <f>IFERROR(VLOOKUP(Vaktplan!$A$44,Vaktplan!$BZ$4:$CL$35,87-AH70,FALSE),0)</f>
        <v>0</v>
      </c>
      <c r="C17" s="77">
        <f>IFERROR(VLOOKUP(Vaktplan!$A$44,Vaktplan!$BZ$4:$CL$35,87-AG70,FALSE),0)</f>
        <v>0</v>
      </c>
      <c r="D17" s="9">
        <f>IFERROR(VLOOKUP(Vaktplan!$A$44,Vaktplan!$BZ$4:$CL$35,89-AG70,FALSE),0)</f>
        <v>0</v>
      </c>
      <c r="E17" s="9">
        <f t="shared" si="16"/>
        <v>0</v>
      </c>
      <c r="F17" s="9">
        <f t="shared" si="2"/>
        <v>24</v>
      </c>
      <c r="G17" s="77">
        <f>IFERROR(VLOOKUP(Vaktplan!$A$44,Vaktplan!$CA$4:$CL$35,86-AH70,FALSE),0)</f>
        <v>0</v>
      </c>
      <c r="H17" s="77">
        <f>IFERROR(VLOOKUP(Vaktplan!$A$44,Vaktplan!$CA$4:$CL$35,86-AG70,FALSE),0)</f>
        <v>0</v>
      </c>
      <c r="I17" s="9">
        <f>IFERROR(VLOOKUP(Vaktplan!$A$44,Vaktplan!$CA$4:$CL$35,89-$AH70,FALSE),0)</f>
        <v>0</v>
      </c>
      <c r="J17" s="9">
        <f t="shared" si="3"/>
        <v>0</v>
      </c>
      <c r="K17" s="9">
        <f t="shared" si="4"/>
        <v>24</v>
      </c>
      <c r="L17" s="77">
        <f>IFERROR(VLOOKUP(Vaktplan!$A$44,Vaktplan!$CB$4:$CL$35,86-AI70,FALSE),0)</f>
        <v>0</v>
      </c>
      <c r="M17" s="77">
        <f>IFERROR(VLOOKUP(Vaktplan!$A$44,Vaktplan!$CB$4:$CL$35,86-AH70,FALSE),0)</f>
        <v>0</v>
      </c>
      <c r="N17" s="9">
        <f>IFERROR(VLOOKUP(Vaktplan!$A$44,Vaktplan!$CB$4:$CL$35,89-$AI70,FALSE),0)</f>
        <v>0</v>
      </c>
      <c r="O17" s="9">
        <f t="shared" si="5"/>
        <v>0</v>
      </c>
      <c r="P17" s="9">
        <f t="shared" si="6"/>
        <v>24</v>
      </c>
      <c r="Q17" s="77">
        <f>IFERROR(VLOOKUP(Vaktplan!$A$44,Vaktplan!$CC$4:$CL$35,86-AJ70,FALSE),0)</f>
        <v>0</v>
      </c>
      <c r="R17" s="77">
        <f>IFERROR(VLOOKUP(Vaktplan!$A$44,Vaktplan!$CC$4:$CL$35,86-AI70,FALSE),0)</f>
        <v>0</v>
      </c>
      <c r="S17" s="9">
        <f>IFERROR(VLOOKUP(Vaktplan!$A$44,Vaktplan!$CC$4:$CL$35,89-$AJ70,FALSE),0)</f>
        <v>0</v>
      </c>
      <c r="T17" s="9">
        <f t="shared" si="0"/>
        <v>0</v>
      </c>
      <c r="U17" s="9">
        <f t="shared" si="7"/>
        <v>24</v>
      </c>
      <c r="V17" s="77">
        <f>IFERROR(VLOOKUP(Vaktplan!$A$44,Vaktplan!$CD$4:$CL$35,86-AK70,FALSE),0)</f>
        <v>0</v>
      </c>
      <c r="W17" s="77">
        <f>IFERROR(VLOOKUP(Vaktplan!$A$44,Vaktplan!$CD$4:$CL$35,86-AJ70,FALSE),0)</f>
        <v>0</v>
      </c>
      <c r="X17" s="9">
        <f>IFERROR(VLOOKUP(Vaktplan!$A$44,Vaktplan!$CD$4:$CL$35,89-$AK70,FALSE),0)</f>
        <v>0</v>
      </c>
      <c r="Y17" s="9">
        <f>IF(AND(V17=0,W17=0),0,IF(V17&lt;W17,((W17-V17)*24)-X17,(((1-V17)+W17)*24)-X17))</f>
        <v>0</v>
      </c>
      <c r="Z17" s="9">
        <f t="shared" si="9"/>
        <v>24</v>
      </c>
      <c r="AA17" s="77">
        <f>IFERROR(VLOOKUP(Vaktplan!$A$44,Vaktplan!$CE$4:$CL$35,86-AL70,FALSE),0)</f>
        <v>0</v>
      </c>
      <c r="AB17" s="77">
        <f>IFERROR(VLOOKUP(Vaktplan!$A$44,Vaktplan!$CE$4:$CL$35,86-AK70,FALSE),0)</f>
        <v>0</v>
      </c>
      <c r="AC17" s="9">
        <f>IFERROR(VLOOKUP(Vaktplan!$A$44,Vaktplan!$CE$4:$FCE$35,89-$AL70,FALSE),0)</f>
        <v>0</v>
      </c>
      <c r="AD17" s="9">
        <f>IF(AND(AA17=0,AB17=0),0,IF(AA17&lt;AB17,((AB17-AA17)*24)-AC17,(((1-AA17)+AB17)*24)-AC17))</f>
        <v>0</v>
      </c>
      <c r="AE17" s="9">
        <f t="shared" si="11"/>
        <v>24</v>
      </c>
      <c r="AF17" s="77">
        <f>IFERROR(VLOOKUP(Vaktplan!$A$44,Vaktplan!$CF$4:$CL$35,86-AM70,FALSE),0)</f>
        <v>0</v>
      </c>
      <c r="AG17" s="77">
        <f>IFERROR(VLOOKUP(Vaktplan!$A$44,Vaktplan!$CF$4:$CL$35,86-AL70,FALSE),0)</f>
        <v>0</v>
      </c>
      <c r="AH17" s="9">
        <f>IFERROR(VLOOKUP(Vaktplan!$A$44,Vaktplan!$CF$4:$CL$35,89-$AM70,FALSE),0)</f>
        <v>0</v>
      </c>
      <c r="AI17" s="9">
        <f>IF(AND(AF17=0,AG17=0),0,IF(AF17&lt;AG17,((AG17-AF17)*24)-AH17,(((1-AF17)+AG17)*24)-AH17))</f>
        <v>0</v>
      </c>
      <c r="AJ17" s="9">
        <f t="shared" si="13"/>
        <v>24</v>
      </c>
      <c r="AK17" s="9">
        <f t="shared" si="1"/>
        <v>0</v>
      </c>
      <c r="AL17" s="10"/>
      <c r="AM17" s="10"/>
    </row>
    <row r="19" spans="1:43" ht="13" x14ac:dyDescent="0.3">
      <c r="A19" s="4" t="s">
        <v>76</v>
      </c>
    </row>
    <row r="20" spans="1:43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3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3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3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3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6" spans="1:43" ht="13" x14ac:dyDescent="0.3">
      <c r="A26" s="4" t="s">
        <v>77</v>
      </c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</row>
    <row r="27" spans="1:43" ht="13" x14ac:dyDescent="0.3">
      <c r="A27" s="3" t="s">
        <v>78</v>
      </c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80" t="s">
        <v>79</v>
      </c>
      <c r="AM27" s="78"/>
      <c r="AN27" s="78"/>
      <c r="AO27" s="78"/>
    </row>
    <row r="28" spans="1:43" ht="13" x14ac:dyDescent="0.3">
      <c r="A28" s="98" t="s">
        <v>36</v>
      </c>
      <c r="B28" s="98"/>
      <c r="C28" s="98"/>
      <c r="D28" s="88"/>
      <c r="E28" s="8">
        <f>E2</f>
        <v>0</v>
      </c>
      <c r="F28" s="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>
        <v>1</v>
      </c>
      <c r="AM28" s="78"/>
      <c r="AN28" s="78"/>
      <c r="AO28" s="78"/>
    </row>
    <row r="29" spans="1:43" ht="13" x14ac:dyDescent="0.3">
      <c r="A29" s="98" t="s">
        <v>80</v>
      </c>
      <c r="B29" s="98"/>
      <c r="C29" s="98"/>
      <c r="D29" s="88"/>
      <c r="E29" s="5">
        <f>E3</f>
        <v>0</v>
      </c>
      <c r="F29" s="5"/>
      <c r="T29" s="10"/>
      <c r="U29" s="10"/>
      <c r="V29" s="10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80" t="s">
        <v>81</v>
      </c>
      <c r="AH29" s="80"/>
      <c r="AI29" s="78"/>
      <c r="AJ29" s="78"/>
      <c r="AK29" s="78"/>
      <c r="AL29" s="78">
        <v>2</v>
      </c>
      <c r="AM29" s="78"/>
      <c r="AN29" s="78"/>
      <c r="AO29" s="78"/>
      <c r="AP29" s="10"/>
      <c r="AQ29" s="10"/>
    </row>
    <row r="30" spans="1:43" ht="13" x14ac:dyDescent="0.3">
      <c r="A30" s="98" t="s">
        <v>82</v>
      </c>
      <c r="B30" s="98"/>
      <c r="C30" s="98"/>
      <c r="D30" s="88"/>
      <c r="T30" s="10"/>
      <c r="U30" s="10"/>
      <c r="V30" s="10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>
        <v>3</v>
      </c>
      <c r="AM30" s="78"/>
      <c r="AN30" s="78"/>
      <c r="AO30" s="78"/>
      <c r="AP30" s="10"/>
      <c r="AQ30" s="10"/>
    </row>
    <row r="31" spans="1:43" ht="13" x14ac:dyDescent="0.3">
      <c r="A31" s="4" t="s">
        <v>83</v>
      </c>
      <c r="B31" s="4" t="s">
        <v>84</v>
      </c>
      <c r="C31" s="4" t="s">
        <v>85</v>
      </c>
      <c r="D31" s="98" t="s">
        <v>86</v>
      </c>
      <c r="E31" s="98"/>
      <c r="F31" s="4" t="s">
        <v>87</v>
      </c>
      <c r="G31" s="4" t="s">
        <v>88</v>
      </c>
      <c r="H31" s="98" t="s">
        <v>27</v>
      </c>
      <c r="I31" s="98"/>
      <c r="J31" s="4" t="s">
        <v>28</v>
      </c>
      <c r="K31" s="4" t="s">
        <v>29</v>
      </c>
      <c r="L31" s="4" t="s">
        <v>30</v>
      </c>
      <c r="M31" s="4" t="s">
        <v>31</v>
      </c>
      <c r="N31" s="98" t="s">
        <v>32</v>
      </c>
      <c r="O31" s="98"/>
      <c r="T31" s="10"/>
      <c r="U31" s="10"/>
      <c r="V31" s="10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80" t="s">
        <v>9</v>
      </c>
      <c r="AH31" s="80"/>
      <c r="AI31" s="78"/>
      <c r="AJ31" s="78"/>
      <c r="AK31" s="78"/>
      <c r="AL31" s="78">
        <v>4</v>
      </c>
      <c r="AM31" s="78"/>
      <c r="AN31" s="78"/>
      <c r="AO31" s="78"/>
      <c r="AP31" s="10"/>
      <c r="AQ31" s="10"/>
    </row>
    <row r="32" spans="1:43" ht="13" x14ac:dyDescent="0.3">
      <c r="A32" s="3">
        <f>AK6</f>
        <v>0</v>
      </c>
      <c r="B32" s="3">
        <f>AK7</f>
        <v>0</v>
      </c>
      <c r="C32" s="3">
        <f>AK8</f>
        <v>0</v>
      </c>
      <c r="D32" s="101">
        <f>AK9</f>
        <v>0</v>
      </c>
      <c r="E32" s="101"/>
      <c r="F32" s="3">
        <f>AK10</f>
        <v>0</v>
      </c>
      <c r="G32" s="3">
        <f>AK11</f>
        <v>0</v>
      </c>
      <c r="H32" s="101">
        <f>AK12</f>
        <v>0</v>
      </c>
      <c r="I32" s="101"/>
      <c r="J32" s="3">
        <f>AK13</f>
        <v>0</v>
      </c>
      <c r="K32" s="3">
        <f>AK14</f>
        <v>0</v>
      </c>
      <c r="L32" s="3">
        <f>AK15</f>
        <v>0</v>
      </c>
      <c r="M32" s="3">
        <f>AK16</f>
        <v>0</v>
      </c>
      <c r="N32" s="101">
        <f>AK17</f>
        <v>0</v>
      </c>
      <c r="O32" s="101"/>
      <c r="T32" s="11" t="s">
        <v>70</v>
      </c>
      <c r="U32" s="10" t="s">
        <v>89</v>
      </c>
      <c r="V32" s="10" t="s">
        <v>90</v>
      </c>
      <c r="W32" s="78" t="s">
        <v>91</v>
      </c>
      <c r="X32" s="78" t="s">
        <v>92</v>
      </c>
      <c r="Y32" s="78" t="s">
        <v>93</v>
      </c>
      <c r="Z32" s="78" t="s">
        <v>94</v>
      </c>
      <c r="AA32" s="78"/>
      <c r="AB32" s="78"/>
      <c r="AC32" s="78"/>
      <c r="AD32" s="78"/>
      <c r="AE32" s="78"/>
      <c r="AF32" s="78"/>
      <c r="AG32" s="78" t="s">
        <v>10</v>
      </c>
      <c r="AH32" s="78"/>
      <c r="AI32" s="79">
        <v>42177</v>
      </c>
      <c r="AJ32" s="79"/>
      <c r="AK32" s="78"/>
      <c r="AL32" s="78">
        <v>5</v>
      </c>
      <c r="AM32" s="78"/>
      <c r="AN32" s="78"/>
      <c r="AO32" s="78"/>
      <c r="AP32" s="10"/>
      <c r="AQ32" s="10"/>
    </row>
    <row r="33" spans="1:43" ht="13" x14ac:dyDescent="0.3">
      <c r="A33" s="98" t="s">
        <v>95</v>
      </c>
      <c r="B33" s="98"/>
      <c r="C33" s="98"/>
      <c r="D33" s="88"/>
      <c r="G33" s="101"/>
      <c r="H33" s="101"/>
      <c r="I33" s="90"/>
      <c r="T33" s="10">
        <v>1</v>
      </c>
      <c r="U33" s="10">
        <f>IF(AND(B6&gt;0,G6&gt;0),0,IF(AND(G6&gt;0),0,F6+K6))</f>
        <v>48</v>
      </c>
      <c r="V33" s="10">
        <f>IF(AND(G6&gt;0,L6&gt;0),0,IF(AND(L6&gt;0),0,K6+P6))</f>
        <v>48</v>
      </c>
      <c r="W33" s="78">
        <f>IF(AND(L6&gt;0,Q6&gt;0),0,IF(AND(Q6&gt;0),0,P6+U6))</f>
        <v>48</v>
      </c>
      <c r="X33" s="78">
        <f>IF(AND(Q6&gt;0,V6&gt;0),0,IF(AND(V6&gt;0),0,U6+Z6))</f>
        <v>48</v>
      </c>
      <c r="Y33" s="78">
        <f>IF(AND(V6&gt;0,AA6&gt;0),0,IF(AND(AA6&gt;0),0,Z6+AE6))</f>
        <v>48</v>
      </c>
      <c r="Z33" s="78">
        <f>IF(AND(AA6&gt;0,AF6&gt;0),0,IF(AND(AF6&gt;0),0,AE6+AJ6))</f>
        <v>48</v>
      </c>
      <c r="AA33" s="78"/>
      <c r="AB33" s="78"/>
      <c r="AC33" s="78"/>
      <c r="AD33" s="78"/>
      <c r="AE33" s="78"/>
      <c r="AF33" s="78"/>
      <c r="AG33" s="78" t="s">
        <v>11</v>
      </c>
      <c r="AH33" s="78"/>
      <c r="AI33" s="79">
        <v>42178</v>
      </c>
      <c r="AJ33" s="79"/>
      <c r="AK33" s="78"/>
      <c r="AL33" s="78">
        <v>6</v>
      </c>
      <c r="AM33" s="78"/>
      <c r="AN33" s="78"/>
      <c r="AO33" s="78"/>
      <c r="AP33" s="10"/>
      <c r="AQ33" s="10"/>
    </row>
    <row r="34" spans="1:43" x14ac:dyDescent="0.25">
      <c r="A34" s="101" t="s">
        <v>96</v>
      </c>
      <c r="B34" s="101"/>
      <c r="C34" s="3">
        <f>(AK6+AK7+AK8+AK9+AK10+AK11+AK12+AK13+AK14+AK15+AK16+AK17)/M1</f>
        <v>0</v>
      </c>
      <c r="T34" s="10">
        <v>2</v>
      </c>
      <c r="U34" s="10">
        <f t="shared" ref="U34:U40" si="17">IF(AND(B7&gt;0,G7&gt;0),0,IF(AND(G7&gt;0),0,F7+K7))</f>
        <v>48</v>
      </c>
      <c r="V34" s="10">
        <f t="shared" ref="V34:V40" si="18">IF(AND(G7&gt;0,L7&gt;0),0,IF(AND(L7&gt;0),0,K7+P7))</f>
        <v>48</v>
      </c>
      <c r="W34" s="78">
        <f t="shared" ref="W34:W44" si="19">IF(AND(L7&gt;0,Q7&gt;0),0,IF(AND(Q7&gt;0),0,P7+U7))</f>
        <v>48</v>
      </c>
      <c r="X34" s="78">
        <f t="shared" ref="X34:X44" si="20">IF(AND(Q7&gt;0,V7&gt;0),0,IF(AND(V7&gt;0),0,U7+Z7))</f>
        <v>48</v>
      </c>
      <c r="Y34" s="78">
        <f t="shared" ref="Y34:Y44" si="21">IF(AND(V7&gt;0,AA7&gt;0),0,IF(AND(AA7&gt;0),0,Z7+AE7))</f>
        <v>48</v>
      </c>
      <c r="Z34" s="78">
        <f t="shared" ref="Z34:Z44" si="22">IF(AND(AA7&gt;0,AF7&gt;0),0,IF(AND(AF7&gt;0),0,AE7+AJ7))</f>
        <v>48</v>
      </c>
      <c r="AA34" s="78"/>
      <c r="AB34" s="78"/>
      <c r="AC34" s="78"/>
      <c r="AD34" s="78"/>
      <c r="AE34" s="78"/>
      <c r="AF34" s="78"/>
      <c r="AG34" s="78" t="s">
        <v>12</v>
      </c>
      <c r="AH34" s="78"/>
      <c r="AI34" s="79">
        <v>42179</v>
      </c>
      <c r="AJ34" s="79"/>
      <c r="AK34" s="78"/>
      <c r="AL34" s="78">
        <v>7</v>
      </c>
      <c r="AM34" s="78"/>
      <c r="AN34" s="78"/>
      <c r="AO34" s="78"/>
      <c r="AP34" s="10"/>
      <c r="AQ34" s="10"/>
    </row>
    <row r="35" spans="1:43" x14ac:dyDescent="0.25">
      <c r="T35" s="10">
        <v>3</v>
      </c>
      <c r="U35" s="10">
        <f t="shared" si="17"/>
        <v>48</v>
      </c>
      <c r="V35" s="10">
        <f t="shared" si="18"/>
        <v>48</v>
      </c>
      <c r="W35" s="78">
        <f t="shared" si="19"/>
        <v>48</v>
      </c>
      <c r="X35" s="78">
        <f t="shared" si="20"/>
        <v>48</v>
      </c>
      <c r="Y35" s="78">
        <f t="shared" si="21"/>
        <v>48</v>
      </c>
      <c r="Z35" s="78">
        <f t="shared" si="22"/>
        <v>48</v>
      </c>
      <c r="AA35" s="78"/>
      <c r="AB35" s="78"/>
      <c r="AC35" s="78"/>
      <c r="AD35" s="78"/>
      <c r="AE35" s="78"/>
      <c r="AF35" s="78"/>
      <c r="AG35" s="78" t="s">
        <v>13</v>
      </c>
      <c r="AH35" s="78"/>
      <c r="AI35" s="79">
        <v>42180</v>
      </c>
      <c r="AJ35" s="79"/>
      <c r="AK35" s="78"/>
      <c r="AL35" s="78">
        <v>8</v>
      </c>
      <c r="AM35" s="78"/>
      <c r="AN35" s="78"/>
      <c r="AO35" s="78"/>
      <c r="AP35" s="78"/>
      <c r="AQ35" s="10"/>
    </row>
    <row r="36" spans="1:43" ht="13" x14ac:dyDescent="0.3">
      <c r="A36" s="98" t="s">
        <v>97</v>
      </c>
      <c r="B36" s="98"/>
      <c r="C36" s="98"/>
      <c r="D36" s="98"/>
      <c r="E36" s="98"/>
      <c r="F36" s="88"/>
      <c r="T36" s="10">
        <v>4</v>
      </c>
      <c r="U36" s="10">
        <f t="shared" si="17"/>
        <v>48</v>
      </c>
      <c r="V36" s="10">
        <f t="shared" si="18"/>
        <v>48</v>
      </c>
      <c r="W36" s="78">
        <f t="shared" si="19"/>
        <v>48</v>
      </c>
      <c r="X36" s="78">
        <f t="shared" si="20"/>
        <v>48</v>
      </c>
      <c r="Y36" s="78">
        <f t="shared" si="21"/>
        <v>48</v>
      </c>
      <c r="Z36" s="78">
        <f t="shared" si="22"/>
        <v>48</v>
      </c>
      <c r="AA36" s="78"/>
      <c r="AB36" s="78"/>
      <c r="AC36" s="78"/>
      <c r="AD36" s="78"/>
      <c r="AE36" s="78"/>
      <c r="AF36" s="78"/>
      <c r="AG36" s="78" t="s">
        <v>14</v>
      </c>
      <c r="AH36" s="78"/>
      <c r="AI36" s="79">
        <v>42181</v>
      </c>
      <c r="AJ36" s="79"/>
      <c r="AK36" s="78"/>
      <c r="AL36" s="3">
        <v>9</v>
      </c>
      <c r="AM36" s="78"/>
      <c r="AN36" s="78"/>
      <c r="AO36" s="78"/>
      <c r="AP36" s="78"/>
      <c r="AQ36" s="10"/>
    </row>
    <row r="37" spans="1:43" x14ac:dyDescent="0.25">
      <c r="A37" s="99" t="e">
        <f>C34/E3</f>
        <v>#DIV/0!</v>
      </c>
      <c r="B37" s="99"/>
      <c r="C37" s="99"/>
      <c r="T37" s="10">
        <v>5</v>
      </c>
      <c r="U37" s="10">
        <f t="shared" si="17"/>
        <v>48</v>
      </c>
      <c r="V37" s="10">
        <f t="shared" si="18"/>
        <v>48</v>
      </c>
      <c r="W37" s="78">
        <f t="shared" si="19"/>
        <v>48</v>
      </c>
      <c r="X37" s="78">
        <f t="shared" si="20"/>
        <v>48</v>
      </c>
      <c r="Y37" s="78">
        <f t="shared" si="21"/>
        <v>48</v>
      </c>
      <c r="Z37" s="78">
        <f t="shared" si="22"/>
        <v>48</v>
      </c>
      <c r="AA37" s="78"/>
      <c r="AB37" s="78"/>
      <c r="AC37" s="78"/>
      <c r="AD37" s="78"/>
      <c r="AE37" s="78"/>
      <c r="AF37" s="78"/>
      <c r="AG37" s="78" t="s">
        <v>15</v>
      </c>
      <c r="AH37" s="78"/>
      <c r="AI37" s="79">
        <v>42182</v>
      </c>
      <c r="AJ37" s="79"/>
      <c r="AK37" s="78"/>
      <c r="AL37" s="3">
        <v>10</v>
      </c>
      <c r="AM37" s="78"/>
      <c r="AN37" s="78"/>
      <c r="AO37" s="78"/>
      <c r="AP37" s="78"/>
      <c r="AQ37" s="10"/>
    </row>
    <row r="38" spans="1:43" x14ac:dyDescent="0.25">
      <c r="T38" s="10">
        <v>6</v>
      </c>
      <c r="U38" s="10">
        <f t="shared" si="17"/>
        <v>48</v>
      </c>
      <c r="V38" s="10">
        <f t="shared" si="18"/>
        <v>48</v>
      </c>
      <c r="W38" s="78">
        <f t="shared" si="19"/>
        <v>48</v>
      </c>
      <c r="X38" s="78">
        <f t="shared" si="20"/>
        <v>48</v>
      </c>
      <c r="Y38" s="78">
        <f t="shared" si="21"/>
        <v>48</v>
      </c>
      <c r="Z38" s="78">
        <f t="shared" si="22"/>
        <v>48</v>
      </c>
      <c r="AA38" s="78"/>
      <c r="AB38" s="78"/>
      <c r="AC38" s="78"/>
      <c r="AD38" s="78"/>
      <c r="AE38" s="78"/>
      <c r="AF38" s="78"/>
      <c r="AG38" s="78" t="s">
        <v>16</v>
      </c>
      <c r="AH38" s="78"/>
      <c r="AI38" s="79">
        <v>42183</v>
      </c>
      <c r="AJ38" s="79"/>
      <c r="AK38" s="78"/>
      <c r="AL38" s="3">
        <v>11</v>
      </c>
      <c r="AM38" s="78"/>
      <c r="AN38" s="78"/>
      <c r="AO38" s="78"/>
      <c r="AP38" s="78"/>
      <c r="AQ38" s="10"/>
    </row>
    <row r="39" spans="1:43" x14ac:dyDescent="0.25">
      <c r="T39" s="10">
        <v>7</v>
      </c>
      <c r="U39" s="10">
        <f t="shared" si="17"/>
        <v>48</v>
      </c>
      <c r="V39" s="10">
        <f t="shared" si="18"/>
        <v>48</v>
      </c>
      <c r="W39" s="78">
        <f t="shared" si="19"/>
        <v>48</v>
      </c>
      <c r="X39" s="78">
        <f t="shared" si="20"/>
        <v>48</v>
      </c>
      <c r="Y39" s="78">
        <f t="shared" si="21"/>
        <v>48</v>
      </c>
      <c r="Z39" s="78">
        <f t="shared" si="22"/>
        <v>48</v>
      </c>
      <c r="AA39" s="78"/>
      <c r="AB39" s="78"/>
      <c r="AC39" s="78"/>
      <c r="AD39" s="78"/>
      <c r="AE39" s="78"/>
      <c r="AF39" s="78"/>
      <c r="AG39" s="100">
        <f>IF(E1=AG32,AI32,IF(E1=AG33,AI33,IF(E1=AG34,AI34,IF(E1=AG35,AI35,IF(E1=AG36,AI36,IF(E1=AG37,AI37,IF(E1=AG38,AI38,AI32)))))))</f>
        <v>42177</v>
      </c>
      <c r="AH39" s="100"/>
      <c r="AI39" s="100"/>
      <c r="AJ39" s="100"/>
      <c r="AK39" s="100"/>
      <c r="AL39" s="3">
        <v>12</v>
      </c>
      <c r="AM39" s="78"/>
      <c r="AN39" s="78"/>
      <c r="AO39" s="78"/>
      <c r="AP39" s="78"/>
      <c r="AQ39" s="10"/>
    </row>
    <row r="40" spans="1:43" ht="13" x14ac:dyDescent="0.3">
      <c r="A40" s="4" t="s">
        <v>98</v>
      </c>
      <c r="T40" s="10">
        <v>8</v>
      </c>
      <c r="U40" s="10">
        <f t="shared" si="17"/>
        <v>48</v>
      </c>
      <c r="V40" s="10">
        <f t="shared" si="18"/>
        <v>48</v>
      </c>
      <c r="W40" s="78">
        <f t="shared" si="19"/>
        <v>48</v>
      </c>
      <c r="X40" s="78">
        <f t="shared" si="20"/>
        <v>48</v>
      </c>
      <c r="Y40" s="78">
        <f t="shared" si="21"/>
        <v>48</v>
      </c>
      <c r="Z40" s="78">
        <f t="shared" si="22"/>
        <v>48</v>
      </c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10"/>
    </row>
    <row r="41" spans="1:43" x14ac:dyDescent="0.25">
      <c r="A41" s="3" t="s">
        <v>99</v>
      </c>
      <c r="T41" s="10"/>
      <c r="U41" s="10"/>
      <c r="V41" s="10"/>
      <c r="W41" s="78">
        <f t="shared" si="19"/>
        <v>48</v>
      </c>
      <c r="X41" s="78">
        <f t="shared" si="20"/>
        <v>48</v>
      </c>
      <c r="Y41" s="78">
        <f t="shared" si="21"/>
        <v>48</v>
      </c>
      <c r="Z41" s="78">
        <f t="shared" si="22"/>
        <v>48</v>
      </c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10"/>
    </row>
    <row r="42" spans="1:43" ht="13" x14ac:dyDescent="0.3">
      <c r="A42" s="3" t="s">
        <v>100</v>
      </c>
      <c r="O42" s="81">
        <v>0.29166666666666669</v>
      </c>
      <c r="P42" s="81">
        <v>0.33333333333333331</v>
      </c>
      <c r="Q42" s="3">
        <f>(P42-O42)*24</f>
        <v>0.99999999999999911</v>
      </c>
      <c r="T42" s="10"/>
      <c r="U42" s="10"/>
      <c r="V42" s="10"/>
      <c r="W42" s="78">
        <f t="shared" si="19"/>
        <v>48</v>
      </c>
      <c r="X42" s="78">
        <f t="shared" si="20"/>
        <v>48</v>
      </c>
      <c r="Y42" s="78">
        <f t="shared" si="21"/>
        <v>48</v>
      </c>
      <c r="Z42" s="78">
        <f t="shared" si="22"/>
        <v>48</v>
      </c>
      <c r="AA42" s="78"/>
      <c r="AB42" s="78"/>
      <c r="AC42" s="78"/>
      <c r="AD42" s="78"/>
      <c r="AE42" s="78"/>
      <c r="AF42" s="78"/>
      <c r="AG42" s="80" t="s">
        <v>101</v>
      </c>
      <c r="AH42" s="80"/>
      <c r="AI42" s="78"/>
      <c r="AJ42" s="78"/>
      <c r="AK42" s="78"/>
      <c r="AL42" s="80" t="s">
        <v>102</v>
      </c>
      <c r="AM42" s="78"/>
      <c r="AN42" s="78"/>
      <c r="AO42" s="78"/>
      <c r="AP42" s="78"/>
      <c r="AQ42" s="10"/>
    </row>
    <row r="43" spans="1:43" x14ac:dyDescent="0.25">
      <c r="T43" s="10"/>
      <c r="U43" s="10"/>
      <c r="V43" s="10"/>
      <c r="W43" s="78">
        <f t="shared" si="19"/>
        <v>48</v>
      </c>
      <c r="X43" s="78">
        <f t="shared" si="20"/>
        <v>48</v>
      </c>
      <c r="Y43" s="78">
        <f t="shared" si="21"/>
        <v>48</v>
      </c>
      <c r="Z43" s="78">
        <f t="shared" si="22"/>
        <v>48</v>
      </c>
      <c r="AA43" s="78"/>
      <c r="AB43" s="78"/>
      <c r="AC43" s="78"/>
      <c r="AD43" s="78"/>
      <c r="AE43" s="78"/>
      <c r="AF43" s="78"/>
      <c r="AG43" s="78">
        <v>33.6</v>
      </c>
      <c r="AH43" s="78"/>
      <c r="AI43" s="78"/>
      <c r="AJ43" s="78"/>
      <c r="AK43" s="78"/>
      <c r="AL43" s="78" t="s">
        <v>103</v>
      </c>
      <c r="AM43" s="78"/>
      <c r="AN43" s="78"/>
      <c r="AO43" s="78"/>
      <c r="AP43" s="78"/>
      <c r="AQ43" s="10"/>
    </row>
    <row r="44" spans="1:43" x14ac:dyDescent="0.25">
      <c r="A44" s="3" t="s">
        <v>104</v>
      </c>
      <c r="T44" s="10"/>
      <c r="U44" s="10"/>
      <c r="V44" s="10"/>
      <c r="W44" s="78">
        <f t="shared" si="19"/>
        <v>48</v>
      </c>
      <c r="X44" s="78">
        <f t="shared" si="20"/>
        <v>48</v>
      </c>
      <c r="Y44" s="78">
        <f t="shared" si="21"/>
        <v>48</v>
      </c>
      <c r="Z44" s="78">
        <f t="shared" si="22"/>
        <v>48</v>
      </c>
      <c r="AA44" s="78"/>
      <c r="AB44" s="78"/>
      <c r="AC44" s="78"/>
      <c r="AD44" s="78"/>
      <c r="AE44" s="78"/>
      <c r="AF44" s="78"/>
      <c r="AG44" s="78">
        <v>35.5</v>
      </c>
      <c r="AH44" s="78"/>
      <c r="AI44" s="78"/>
      <c r="AJ44" s="78"/>
      <c r="AK44" s="78"/>
      <c r="AL44" s="78" t="s">
        <v>105</v>
      </c>
      <c r="AM44" s="78"/>
      <c r="AN44" s="78"/>
      <c r="AO44" s="78"/>
      <c r="AP44" s="78"/>
      <c r="AQ44" s="10"/>
    </row>
    <row r="45" spans="1:43" x14ac:dyDescent="0.25">
      <c r="A45" s="1">
        <v>11</v>
      </c>
      <c r="B45" s="5">
        <f>COUNTIF($F$6:$F$13,"&lt;" &amp; A45)+COUNTIF($K$6:$K$13,"&lt;" &amp; A45)+COUNTIF($P$6:$P$13,"&lt;" &amp; A45)+COUNTIF($U$6:$U$13,"&lt;" &amp; A45)+COUNTIF($Z$6:$Z$13,"&lt;" &amp; A45)+COUNTIF($AE$6:$AE$13,"&lt;" &amp; A45)+COUNTIF($AJ$6:$AJ$13,"&lt;" &amp; A45)</f>
        <v>0</v>
      </c>
      <c r="T45" s="10"/>
      <c r="U45" s="10"/>
      <c r="V45" s="10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>
        <v>37.5</v>
      </c>
      <c r="AH45" s="78"/>
      <c r="AI45" s="78"/>
      <c r="AJ45" s="78"/>
      <c r="AK45" s="78"/>
      <c r="AL45" s="78"/>
      <c r="AM45" s="78"/>
      <c r="AN45" s="78"/>
      <c r="AO45" s="78"/>
      <c r="AP45" s="78"/>
      <c r="AQ45" s="10"/>
    </row>
    <row r="46" spans="1:43" x14ac:dyDescent="0.25">
      <c r="T46" s="10"/>
      <c r="U46" s="10"/>
      <c r="V46" s="10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78"/>
      <c r="AQ46" s="10"/>
    </row>
    <row r="47" spans="1:43" x14ac:dyDescent="0.25">
      <c r="T47" s="10"/>
      <c r="U47" s="10"/>
      <c r="V47" s="10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10"/>
    </row>
    <row r="48" spans="1:43" x14ac:dyDescent="0.25">
      <c r="T48" s="10"/>
      <c r="U48" s="10"/>
      <c r="V48" s="10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78"/>
      <c r="AO48" s="78"/>
      <c r="AP48" s="78"/>
      <c r="AQ48" s="10"/>
    </row>
    <row r="49" spans="1:43" ht="13" x14ac:dyDescent="0.3">
      <c r="A49" s="4" t="s">
        <v>106</v>
      </c>
      <c r="T49" s="10"/>
      <c r="U49" s="10"/>
      <c r="V49" s="10"/>
      <c r="W49" s="78"/>
      <c r="X49" s="78"/>
      <c r="Y49" s="78"/>
      <c r="Z49" s="78"/>
      <c r="AA49" s="78"/>
      <c r="AB49" s="80" t="s">
        <v>107</v>
      </c>
      <c r="AC49" s="80"/>
      <c r="AD49" s="78"/>
      <c r="AE49" s="78"/>
      <c r="AF49" s="78"/>
      <c r="AG49" s="78"/>
      <c r="AH49" s="78"/>
      <c r="AI49" s="78"/>
      <c r="AJ49" s="78"/>
      <c r="AK49" s="78"/>
      <c r="AL49" s="78"/>
      <c r="AM49" s="78"/>
      <c r="AN49" s="78"/>
      <c r="AO49" s="78"/>
      <c r="AP49" s="78"/>
      <c r="AQ49" s="10"/>
    </row>
    <row r="50" spans="1:43" x14ac:dyDescent="0.25">
      <c r="A50" s="3" t="s">
        <v>108</v>
      </c>
      <c r="T50" s="10"/>
      <c r="U50" s="10"/>
      <c r="V50" s="10"/>
      <c r="W50" s="78"/>
      <c r="X50" s="78"/>
      <c r="Y50" s="78"/>
      <c r="Z50" s="78"/>
      <c r="AA50" s="78"/>
      <c r="AB50" s="78" t="s">
        <v>109</v>
      </c>
      <c r="AC50" s="78"/>
      <c r="AD50" s="78"/>
      <c r="AE50" s="78"/>
      <c r="AF50" s="78"/>
      <c r="AG50" s="78"/>
      <c r="AH50" s="78"/>
      <c r="AI50" s="78"/>
      <c r="AJ50" s="78"/>
      <c r="AK50" s="78"/>
      <c r="AL50" s="78"/>
      <c r="AM50" s="78"/>
      <c r="AN50" s="78"/>
      <c r="AO50" s="78"/>
      <c r="AP50" s="78"/>
      <c r="AQ50" s="10"/>
    </row>
    <row r="51" spans="1:43" ht="13" x14ac:dyDescent="0.3">
      <c r="A51" s="4" t="s">
        <v>110</v>
      </c>
      <c r="T51" s="10"/>
      <c r="U51" s="10"/>
      <c r="V51" s="10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  <c r="AN51" s="78"/>
      <c r="AO51" s="78"/>
      <c r="AP51" s="78"/>
      <c r="AQ51" s="10"/>
    </row>
    <row r="52" spans="1:43" x14ac:dyDescent="0.25">
      <c r="A52" s="3" t="s">
        <v>111</v>
      </c>
      <c r="T52" s="10"/>
      <c r="U52" s="10"/>
      <c r="V52" s="10"/>
      <c r="W52" s="78"/>
      <c r="X52" s="78"/>
      <c r="Y52" s="78"/>
      <c r="Z52" s="78"/>
      <c r="AA52" s="78"/>
      <c r="AB52" s="78" t="s">
        <v>112</v>
      </c>
      <c r="AC52" s="78"/>
      <c r="AD52" s="78"/>
      <c r="AE52" s="78"/>
      <c r="AF52" s="78"/>
      <c r="AG52" s="78"/>
      <c r="AH52" s="78"/>
      <c r="AI52" s="78"/>
      <c r="AJ52" s="78"/>
      <c r="AK52" s="78"/>
      <c r="AL52" s="78"/>
      <c r="AM52" s="78"/>
      <c r="AN52" s="78"/>
      <c r="AO52" s="78"/>
      <c r="AP52" s="78"/>
      <c r="AQ52" s="10"/>
    </row>
    <row r="53" spans="1:43" x14ac:dyDescent="0.25">
      <c r="A53" s="3" t="s">
        <v>113</v>
      </c>
      <c r="T53" s="10"/>
      <c r="U53" s="10"/>
      <c r="V53" s="10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78"/>
      <c r="AO53" s="78"/>
      <c r="AP53" s="78"/>
      <c r="AQ53" s="10"/>
    </row>
    <row r="54" spans="1:43" x14ac:dyDescent="0.25">
      <c r="A54" s="3" t="s">
        <v>114</v>
      </c>
      <c r="T54" s="10"/>
      <c r="U54" s="10"/>
      <c r="V54" s="10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78"/>
      <c r="AL54" s="78"/>
      <c r="AM54" s="78"/>
      <c r="AN54" s="78"/>
      <c r="AO54" s="78"/>
      <c r="AP54" s="78"/>
      <c r="AQ54" s="10"/>
    </row>
    <row r="55" spans="1:43" x14ac:dyDescent="0.25">
      <c r="T55" s="10"/>
      <c r="U55" s="10"/>
      <c r="V55" s="10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10"/>
    </row>
    <row r="56" spans="1:43" ht="13" x14ac:dyDescent="0.3">
      <c r="A56" s="4" t="s">
        <v>115</v>
      </c>
      <c r="T56" s="10"/>
      <c r="U56" s="10"/>
      <c r="V56" s="10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78"/>
      <c r="AO56" s="78"/>
      <c r="AP56" s="78"/>
      <c r="AQ56" s="10"/>
    </row>
    <row r="57" spans="1:43" x14ac:dyDescent="0.25">
      <c r="A57" s="3" t="s">
        <v>116</v>
      </c>
      <c r="T57" s="10"/>
      <c r="U57" s="10"/>
      <c r="V57" s="10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/>
      <c r="AO57" s="78"/>
      <c r="AP57" s="78"/>
      <c r="AQ57" s="10"/>
    </row>
    <row r="58" spans="1:43" ht="13" x14ac:dyDescent="0.3">
      <c r="A58" s="4" t="s">
        <v>110</v>
      </c>
      <c r="T58" s="10"/>
      <c r="U58" s="10"/>
      <c r="V58" s="10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 t="s">
        <v>117</v>
      </c>
      <c r="AH58" s="78"/>
      <c r="AI58" s="78"/>
      <c r="AJ58" s="78"/>
      <c r="AK58" s="78"/>
      <c r="AL58" s="78"/>
      <c r="AM58" s="78"/>
      <c r="AN58" s="78"/>
      <c r="AO58" s="78"/>
      <c r="AP58" s="78"/>
      <c r="AQ58" s="10"/>
    </row>
    <row r="59" spans="1:43" x14ac:dyDescent="0.25">
      <c r="A59" s="3" t="s">
        <v>111</v>
      </c>
      <c r="T59" s="10"/>
      <c r="U59" s="10"/>
      <c r="V59" s="10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>
        <v>0</v>
      </c>
      <c r="AH59" s="78">
        <v>1</v>
      </c>
      <c r="AI59" s="78">
        <v>2</v>
      </c>
      <c r="AJ59" s="78">
        <v>3</v>
      </c>
      <c r="AK59" s="78">
        <v>4</v>
      </c>
      <c r="AL59" s="78">
        <v>5</v>
      </c>
      <c r="AM59" s="78">
        <v>6</v>
      </c>
      <c r="AN59" s="78"/>
      <c r="AO59" s="78"/>
      <c r="AP59" s="78"/>
      <c r="AQ59" s="10"/>
    </row>
    <row r="60" spans="1:43" x14ac:dyDescent="0.25">
      <c r="A60" s="3" t="s">
        <v>113</v>
      </c>
      <c r="T60" s="10"/>
      <c r="U60" s="10"/>
      <c r="V60" s="10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>
        <v>7</v>
      </c>
      <c r="AH60" s="78">
        <v>8</v>
      </c>
      <c r="AI60" s="78">
        <v>9</v>
      </c>
      <c r="AJ60" s="78">
        <v>10</v>
      </c>
      <c r="AK60" s="78">
        <v>11</v>
      </c>
      <c r="AL60" s="78">
        <v>12</v>
      </c>
      <c r="AM60" s="78">
        <v>13</v>
      </c>
      <c r="AN60" s="78"/>
      <c r="AO60" s="78"/>
      <c r="AP60" s="78"/>
      <c r="AQ60" s="10"/>
    </row>
    <row r="61" spans="1:43" x14ac:dyDescent="0.25">
      <c r="T61" s="10"/>
      <c r="U61" s="10"/>
      <c r="V61" s="10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>
        <v>14</v>
      </c>
      <c r="AH61" s="78">
        <v>15</v>
      </c>
      <c r="AI61" s="78">
        <v>16</v>
      </c>
      <c r="AJ61" s="78">
        <v>17</v>
      </c>
      <c r="AK61" s="78">
        <v>18</v>
      </c>
      <c r="AL61" s="78">
        <v>19</v>
      </c>
      <c r="AM61" s="78">
        <v>20</v>
      </c>
      <c r="AN61" s="78"/>
      <c r="AO61" s="78"/>
      <c r="AP61" s="78"/>
      <c r="AQ61" s="10"/>
    </row>
    <row r="62" spans="1:43" ht="13" x14ac:dyDescent="0.3">
      <c r="A62" s="4" t="s">
        <v>118</v>
      </c>
      <c r="T62" s="10"/>
      <c r="U62" s="10"/>
      <c r="V62" s="10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>
        <v>21</v>
      </c>
      <c r="AH62" s="78">
        <v>22</v>
      </c>
      <c r="AI62" s="78">
        <v>23</v>
      </c>
      <c r="AJ62" s="78">
        <v>24</v>
      </c>
      <c r="AK62" s="78">
        <v>25</v>
      </c>
      <c r="AL62" s="78">
        <v>26</v>
      </c>
      <c r="AM62" s="78">
        <v>27</v>
      </c>
      <c r="AN62" s="78"/>
      <c r="AO62" s="78"/>
      <c r="AP62" s="78"/>
      <c r="AQ62" s="10"/>
    </row>
    <row r="63" spans="1:43" x14ac:dyDescent="0.25">
      <c r="A63" s="3" t="s">
        <v>119</v>
      </c>
      <c r="T63" s="10"/>
      <c r="U63" s="10"/>
      <c r="V63" s="10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>
        <v>28</v>
      </c>
      <c r="AH63" s="78">
        <v>29</v>
      </c>
      <c r="AI63" s="78">
        <v>30</v>
      </c>
      <c r="AJ63" s="78">
        <v>31</v>
      </c>
      <c r="AK63" s="78">
        <v>32</v>
      </c>
      <c r="AL63" s="78">
        <v>33</v>
      </c>
      <c r="AM63" s="78">
        <v>34</v>
      </c>
      <c r="AN63" s="78"/>
      <c r="AO63" s="78"/>
      <c r="AP63" s="78"/>
      <c r="AQ63" s="10"/>
    </row>
    <row r="64" spans="1:43" x14ac:dyDescent="0.25">
      <c r="A64" s="3" t="s">
        <v>120</v>
      </c>
      <c r="T64" s="10"/>
      <c r="U64" s="10"/>
      <c r="V64" s="10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>
        <v>35</v>
      </c>
      <c r="AH64" s="78">
        <v>36</v>
      </c>
      <c r="AI64" s="78">
        <v>37</v>
      </c>
      <c r="AJ64" s="78">
        <v>38</v>
      </c>
      <c r="AK64" s="78">
        <v>39</v>
      </c>
      <c r="AL64" s="78">
        <v>40</v>
      </c>
      <c r="AM64" s="78">
        <v>41</v>
      </c>
      <c r="AN64" s="78"/>
      <c r="AO64" s="78"/>
      <c r="AP64" s="78"/>
      <c r="AQ64" s="10"/>
    </row>
    <row r="65" spans="1:43" x14ac:dyDescent="0.25">
      <c r="T65" s="10"/>
      <c r="U65" s="10"/>
      <c r="V65" s="10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>
        <v>42</v>
      </c>
      <c r="AH65" s="78">
        <v>43</v>
      </c>
      <c r="AI65" s="78">
        <v>44</v>
      </c>
      <c r="AJ65" s="78">
        <v>45</v>
      </c>
      <c r="AK65" s="78">
        <v>46</v>
      </c>
      <c r="AL65" s="78">
        <v>47</v>
      </c>
      <c r="AM65" s="78">
        <v>48</v>
      </c>
      <c r="AN65" s="78"/>
      <c r="AO65" s="78"/>
      <c r="AP65" s="78"/>
      <c r="AQ65" s="10"/>
    </row>
    <row r="66" spans="1:43" ht="13" x14ac:dyDescent="0.3">
      <c r="A66" s="3" t="s">
        <v>121</v>
      </c>
      <c r="B66" s="4"/>
      <c r="T66" s="10"/>
      <c r="U66" s="10"/>
      <c r="V66" s="10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>
        <v>49</v>
      </c>
      <c r="AH66" s="78">
        <v>50</v>
      </c>
      <c r="AI66" s="78">
        <v>51</v>
      </c>
      <c r="AJ66" s="78">
        <v>52</v>
      </c>
      <c r="AK66" s="78">
        <v>53</v>
      </c>
      <c r="AL66" s="78">
        <v>54</v>
      </c>
      <c r="AM66" s="78">
        <v>55</v>
      </c>
      <c r="AN66" s="78"/>
      <c r="AO66" s="78"/>
      <c r="AP66" s="78"/>
      <c r="AQ66" s="10"/>
    </row>
    <row r="67" spans="1:43" ht="13" x14ac:dyDescent="0.3">
      <c r="A67" s="1">
        <v>9</v>
      </c>
      <c r="B67" s="5">
        <f>COUNTIF($E$6:$E$13,"&gt;" &amp; A67)+COUNTIF($J$6:$J$13,"&gt;" &amp; A67)+COUNTIF($O$6:$O$13,"&gt;" &amp; A67)+COUNTIF($T$6:$T$13,"&gt;" &amp; A67)+COUNTIF($Y$6:$Y$13,"&gt;" &amp; A67)+COUNTIF($AD$6:$AD$13,"&gt;" &amp; A67)+COUNTIF($AI$6:$AI$13,"&gt;" &amp; A67)</f>
        <v>0</v>
      </c>
      <c r="C67" s="3" t="s">
        <v>122</v>
      </c>
      <c r="E67" s="3" t="s">
        <v>123</v>
      </c>
      <c r="H67" s="1" t="s">
        <v>124</v>
      </c>
      <c r="L67" s="3" t="s">
        <v>125</v>
      </c>
      <c r="T67" s="10"/>
      <c r="U67" s="10"/>
      <c r="V67" s="10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>
        <v>56</v>
      </c>
      <c r="AH67" s="78">
        <v>57</v>
      </c>
      <c r="AI67" s="78">
        <v>58</v>
      </c>
      <c r="AJ67" s="78">
        <v>59</v>
      </c>
      <c r="AK67" s="78">
        <v>60</v>
      </c>
      <c r="AL67" s="78">
        <v>61</v>
      </c>
      <c r="AM67" s="78">
        <v>62</v>
      </c>
      <c r="AN67" s="78"/>
      <c r="AO67" s="78"/>
      <c r="AP67" s="78"/>
      <c r="AQ67" s="10"/>
    </row>
    <row r="68" spans="1:43" x14ac:dyDescent="0.25">
      <c r="T68" s="10"/>
      <c r="U68" s="10"/>
      <c r="V68" s="10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>
        <v>63</v>
      </c>
      <c r="AH68" s="78">
        <v>64</v>
      </c>
      <c r="AI68" s="78">
        <v>65</v>
      </c>
      <c r="AJ68" s="78">
        <v>66</v>
      </c>
      <c r="AK68" s="78">
        <v>67</v>
      </c>
      <c r="AL68" s="78">
        <v>68</v>
      </c>
      <c r="AM68" s="78">
        <v>69</v>
      </c>
      <c r="AN68" s="78"/>
      <c r="AO68" s="78"/>
      <c r="AP68" s="78"/>
      <c r="AQ68" s="10"/>
    </row>
    <row r="69" spans="1:43" x14ac:dyDescent="0.25">
      <c r="A69" s="3" t="s">
        <v>126</v>
      </c>
      <c r="T69" s="10"/>
      <c r="U69" s="10"/>
      <c r="V69" s="10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>
        <v>70</v>
      </c>
      <c r="AH69" s="78">
        <v>71</v>
      </c>
      <c r="AI69" s="78">
        <v>72</v>
      </c>
      <c r="AJ69" s="78">
        <v>73</v>
      </c>
      <c r="AK69" s="78">
        <v>74</v>
      </c>
      <c r="AL69" s="78">
        <v>75</v>
      </c>
      <c r="AM69" s="78">
        <v>76</v>
      </c>
      <c r="AN69" s="78"/>
      <c r="AO69" s="78"/>
      <c r="AP69" s="78"/>
      <c r="AQ69" s="10"/>
    </row>
    <row r="70" spans="1:43" x14ac:dyDescent="0.25">
      <c r="A70" s="1">
        <v>20</v>
      </c>
      <c r="B70" s="5">
        <f>COUNTIF($AK$6:$AK$13,"&gt;" &amp; A70)</f>
        <v>0</v>
      </c>
      <c r="C70" s="3" t="s">
        <v>127</v>
      </c>
      <c r="E70" s="3" t="s">
        <v>128</v>
      </c>
      <c r="H70" s="1" t="s">
        <v>124</v>
      </c>
      <c r="T70" s="10"/>
      <c r="U70" s="10"/>
      <c r="V70" s="10"/>
      <c r="W70" s="78"/>
      <c r="X70" s="78"/>
      <c r="Y70" s="78"/>
      <c r="Z70" s="78"/>
      <c r="AA70" s="78"/>
      <c r="AB70" s="78"/>
      <c r="AC70" s="78"/>
      <c r="AD70" s="78"/>
      <c r="AE70" s="78"/>
      <c r="AF70" s="78"/>
      <c r="AG70" s="78">
        <v>77</v>
      </c>
      <c r="AH70" s="78">
        <v>78</v>
      </c>
      <c r="AI70" s="78">
        <v>79</v>
      </c>
      <c r="AJ70" s="78">
        <v>80</v>
      </c>
      <c r="AK70" s="78">
        <v>81</v>
      </c>
      <c r="AL70" s="78">
        <v>82</v>
      </c>
      <c r="AM70" s="78">
        <v>83</v>
      </c>
      <c r="AN70" s="78"/>
      <c r="AO70" s="78"/>
      <c r="AP70" s="78"/>
      <c r="AQ70" s="10"/>
    </row>
    <row r="71" spans="1:43" x14ac:dyDescent="0.25">
      <c r="W71" s="78"/>
      <c r="X71" s="78"/>
      <c r="Y71" s="78"/>
      <c r="Z71" s="78"/>
      <c r="AA71" s="78"/>
      <c r="AB71" s="78"/>
      <c r="AC71" s="78"/>
      <c r="AD71" s="78"/>
      <c r="AE71" s="78"/>
      <c r="AF71" s="78"/>
      <c r="AG71" s="78">
        <v>84</v>
      </c>
      <c r="AH71" s="78">
        <v>85</v>
      </c>
      <c r="AI71" s="78">
        <v>86</v>
      </c>
      <c r="AJ71" s="78">
        <v>87</v>
      </c>
      <c r="AK71" s="78">
        <v>88</v>
      </c>
      <c r="AL71" s="78">
        <v>89</v>
      </c>
      <c r="AM71" s="78">
        <v>90</v>
      </c>
      <c r="AN71" s="78"/>
      <c r="AO71" s="78"/>
      <c r="AP71" s="78"/>
    </row>
    <row r="72" spans="1:43" x14ac:dyDescent="0.25"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  <c r="AL72" s="78"/>
      <c r="AM72" s="78"/>
      <c r="AN72" s="78"/>
      <c r="AO72" s="78"/>
      <c r="AP72" s="78"/>
    </row>
    <row r="73" spans="1:43" x14ac:dyDescent="0.25">
      <c r="W73" s="78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8"/>
      <c r="AK73" s="78"/>
      <c r="AL73" s="78"/>
      <c r="AM73" s="78"/>
      <c r="AN73" s="78"/>
      <c r="AO73" s="78"/>
      <c r="AP73" s="78"/>
    </row>
    <row r="74" spans="1:43" x14ac:dyDescent="0.25"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78"/>
      <c r="AO74" s="78"/>
      <c r="AP74" s="78"/>
    </row>
    <row r="75" spans="1:43" x14ac:dyDescent="0.25"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  <c r="AK75" s="78"/>
      <c r="AL75" s="78"/>
      <c r="AM75" s="78"/>
      <c r="AN75" s="78"/>
      <c r="AO75" s="78"/>
      <c r="AP75" s="78"/>
    </row>
    <row r="76" spans="1:43" x14ac:dyDescent="0.25">
      <c r="W76" s="78"/>
      <c r="X76" s="78"/>
      <c r="Y76" s="78"/>
      <c r="Z76" s="78"/>
      <c r="AA76" s="78"/>
      <c r="AB76" s="78"/>
      <c r="AC76" s="78"/>
      <c r="AD76" s="78"/>
      <c r="AE76" s="78"/>
      <c r="AF76" s="78"/>
      <c r="AG76" s="78"/>
      <c r="AH76" s="78"/>
      <c r="AI76" s="78"/>
      <c r="AJ76" s="78"/>
      <c r="AK76" s="78"/>
      <c r="AL76" s="78"/>
      <c r="AM76" s="78"/>
      <c r="AN76" s="78"/>
      <c r="AO76" s="78"/>
      <c r="AP76" s="78"/>
    </row>
    <row r="77" spans="1:43" x14ac:dyDescent="0.25"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78"/>
      <c r="AK77" s="78"/>
      <c r="AL77" s="78"/>
      <c r="AM77" s="78"/>
      <c r="AN77" s="78"/>
      <c r="AO77" s="78"/>
      <c r="AP77" s="78"/>
    </row>
    <row r="78" spans="1:43" x14ac:dyDescent="0.25">
      <c r="W78" s="78"/>
      <c r="X78" s="78"/>
      <c r="Y78" s="78"/>
      <c r="Z78" s="78"/>
      <c r="AA78" s="78"/>
      <c r="AB78" s="78"/>
      <c r="AC78" s="78"/>
      <c r="AD78" s="78"/>
      <c r="AE78" s="78"/>
      <c r="AF78" s="78"/>
      <c r="AG78" s="78"/>
      <c r="AH78" s="78"/>
      <c r="AI78" s="78"/>
      <c r="AJ78" s="78"/>
      <c r="AK78" s="78"/>
      <c r="AL78" s="78"/>
      <c r="AM78" s="78"/>
      <c r="AN78" s="78"/>
      <c r="AO78" s="78"/>
      <c r="AP78" s="78"/>
    </row>
    <row r="79" spans="1:43" x14ac:dyDescent="0.25">
      <c r="W79" s="78"/>
      <c r="X79" s="78"/>
      <c r="Y79" s="78"/>
      <c r="Z79" s="78"/>
      <c r="AA79" s="78"/>
      <c r="AB79" s="78"/>
      <c r="AC79" s="78"/>
      <c r="AD79" s="78"/>
      <c r="AE79" s="78"/>
      <c r="AF79" s="78"/>
      <c r="AG79" s="78"/>
      <c r="AH79" s="78"/>
      <c r="AI79" s="78"/>
      <c r="AJ79" s="78"/>
      <c r="AK79" s="78"/>
      <c r="AL79" s="78"/>
      <c r="AM79" s="78"/>
      <c r="AN79" s="78"/>
      <c r="AO79" s="78"/>
      <c r="AP79" s="78"/>
    </row>
    <row r="80" spans="1:43" x14ac:dyDescent="0.25">
      <c r="W80" s="78"/>
      <c r="X80" s="78"/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  <c r="AJ80" s="78"/>
      <c r="AK80" s="78"/>
      <c r="AL80" s="78"/>
      <c r="AM80" s="78"/>
      <c r="AN80" s="78"/>
      <c r="AO80" s="78"/>
      <c r="AP80" s="78"/>
    </row>
    <row r="81" spans="1:42" x14ac:dyDescent="0.25"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  <c r="AJ81" s="78"/>
      <c r="AK81" s="78"/>
      <c r="AL81" s="78"/>
      <c r="AM81" s="78"/>
      <c r="AN81" s="78"/>
      <c r="AO81" s="78"/>
      <c r="AP81" s="78"/>
    </row>
    <row r="82" spans="1:42" x14ac:dyDescent="0.25"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8"/>
      <c r="AH82" s="78"/>
      <c r="AI82" s="78"/>
      <c r="AJ82" s="78"/>
      <c r="AK82" s="78"/>
      <c r="AL82" s="78"/>
      <c r="AM82" s="78"/>
      <c r="AN82" s="78"/>
      <c r="AO82" s="78"/>
      <c r="AP82" s="78"/>
    </row>
    <row r="83" spans="1:42" x14ac:dyDescent="0.25"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</row>
    <row r="84" spans="1:42" x14ac:dyDescent="0.25"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</row>
    <row r="85" spans="1:42" x14ac:dyDescent="0.25"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</row>
    <row r="86" spans="1:42" x14ac:dyDescent="0.25"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8"/>
      <c r="AO86" s="78"/>
      <c r="AP86" s="78"/>
    </row>
    <row r="87" spans="1:42" x14ac:dyDescent="0.25"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  <c r="AN87" s="78"/>
      <c r="AO87" s="78"/>
      <c r="AP87" s="78"/>
    </row>
    <row r="95" spans="1:42" ht="13" x14ac:dyDescent="0.3">
      <c r="A95" s="4"/>
    </row>
  </sheetData>
  <sheetProtection algorithmName="SHA-512" hashValue="ISUpzYm1KAqpQwV9gYaBcA1H+FNdVoDAoR4n7JZrJ+BzgWtnn0OiyVEnVjYdjxvtXpt6z59n8UHGFRjQVhpkxg==" saltValue="dCgCjDePb6JAtCxLiBjKxg==" spinCount="100000" sheet="1" objects="1" scenarios="1"/>
  <mergeCells count="27">
    <mergeCell ref="A1:C1"/>
    <mergeCell ref="H1:L1"/>
    <mergeCell ref="A2:C2"/>
    <mergeCell ref="A3:C3"/>
    <mergeCell ref="B4:F4"/>
    <mergeCell ref="G4:J4"/>
    <mergeCell ref="L4:O4"/>
    <mergeCell ref="I2:J2"/>
    <mergeCell ref="Q4:T4"/>
    <mergeCell ref="V4:Y4"/>
    <mergeCell ref="AA4:AD4"/>
    <mergeCell ref="AF4:AI4"/>
    <mergeCell ref="AG39:AK39"/>
    <mergeCell ref="A28:C28"/>
    <mergeCell ref="A29:C29"/>
    <mergeCell ref="A30:C30"/>
    <mergeCell ref="D32:E32"/>
    <mergeCell ref="H32:I32"/>
    <mergeCell ref="A37:C37"/>
    <mergeCell ref="D31:E31"/>
    <mergeCell ref="H31:I31"/>
    <mergeCell ref="A36:E36"/>
    <mergeCell ref="N32:O32"/>
    <mergeCell ref="A33:C33"/>
    <mergeCell ref="G33:H33"/>
    <mergeCell ref="A34:B34"/>
    <mergeCell ref="N31:O31"/>
  </mergeCells>
  <conditionalFormatting sqref="A6:A17">
    <cfRule type="cellIs" dxfId="1033" priority="373" operator="equal">
      <formula>0</formula>
    </cfRule>
  </conditionalFormatting>
  <conditionalFormatting sqref="A37">
    <cfRule type="cellIs" dxfId="1032" priority="253" operator="notEqual">
      <formula>$E$2</formula>
    </cfRule>
    <cfRule type="cellIs" dxfId="1031" priority="254" operator="equal">
      <formula>$E$2</formula>
    </cfRule>
  </conditionalFormatting>
  <conditionalFormatting sqref="A32:D32 F32:H32 C34">
    <cfRule type="cellIs" dxfId="1030" priority="251" operator="notEqual">
      <formula>$E$3</formula>
    </cfRule>
    <cfRule type="cellIs" dxfId="1029" priority="252" operator="equal">
      <formula>$E$3</formula>
    </cfRule>
  </conditionalFormatting>
  <conditionalFormatting sqref="B6:D17">
    <cfRule type="expression" dxfId="1028" priority="112">
      <formula>$A6=0</formula>
    </cfRule>
  </conditionalFormatting>
  <conditionalFormatting sqref="E6:E17">
    <cfRule type="expression" dxfId="1027" priority="116">
      <formula>AND($H$67="ja",E6&gt;$A$67)</formula>
    </cfRule>
    <cfRule type="cellIs" dxfId="1026" priority="117" operator="greaterThanOrEqual">
      <formula>0</formula>
    </cfRule>
  </conditionalFormatting>
  <conditionalFormatting sqref="F6:F17">
    <cfRule type="cellIs" dxfId="1025" priority="31" operator="lessThan">
      <formula>$A$45</formula>
    </cfRule>
    <cfRule type="cellIs" dxfId="1024" priority="32" operator="equal">
      <formula>0</formula>
    </cfRule>
    <cfRule type="cellIs" dxfId="1023" priority="33" operator="notEqual">
      <formula>0</formula>
    </cfRule>
  </conditionalFormatting>
  <conditionalFormatting sqref="G6:I17">
    <cfRule type="expression" dxfId="1022" priority="52">
      <formula>$A6=0</formula>
    </cfRule>
  </conditionalFormatting>
  <conditionalFormatting sqref="J6:J17">
    <cfRule type="expression" dxfId="1021" priority="104">
      <formula>AND($H$67="ja",J6&gt;$A$67)</formula>
    </cfRule>
    <cfRule type="cellIs" dxfId="1020" priority="105" operator="greaterThanOrEqual">
      <formula>0</formula>
    </cfRule>
  </conditionalFormatting>
  <conditionalFormatting sqref="J32:N32">
    <cfRule type="cellIs" dxfId="1019" priority="249" operator="notEqual">
      <formula>$E$3</formula>
    </cfRule>
    <cfRule type="cellIs" dxfId="1018" priority="250" operator="equal">
      <formula>$E$3</formula>
    </cfRule>
  </conditionalFormatting>
  <conditionalFormatting sqref="K6:K17">
    <cfRule type="cellIs" dxfId="1017" priority="28" operator="lessThan">
      <formula>$A$45</formula>
    </cfRule>
    <cfRule type="cellIs" dxfId="1016" priority="29" operator="equal">
      <formula>0</formula>
    </cfRule>
    <cfRule type="cellIs" dxfId="1015" priority="30" operator="notEqual">
      <formula>0</formula>
    </cfRule>
  </conditionalFormatting>
  <conditionalFormatting sqref="L6:N17">
    <cfRule type="expression" dxfId="1014" priority="48">
      <formula>$A6=0</formula>
    </cfRule>
  </conditionalFormatting>
  <conditionalFormatting sqref="O6:O17">
    <cfRule type="cellIs" dxfId="1013" priority="97" operator="greaterThanOrEqual">
      <formula>0</formula>
    </cfRule>
    <cfRule type="expression" dxfId="1012" priority="96">
      <formula>AND($H$67="ja",O6&gt;$A$67)</formula>
    </cfRule>
  </conditionalFormatting>
  <conditionalFormatting sqref="P6:P17">
    <cfRule type="cellIs" dxfId="1011" priority="22" operator="lessThan">
      <formula>$A$45</formula>
    </cfRule>
    <cfRule type="cellIs" dxfId="1010" priority="23" operator="equal">
      <formula>0</formula>
    </cfRule>
    <cfRule type="cellIs" dxfId="1009" priority="24" operator="notEqual">
      <formula>0</formula>
    </cfRule>
  </conditionalFormatting>
  <conditionalFormatting sqref="Q6:S17">
    <cfRule type="expression" dxfId="1008" priority="47">
      <formula>$A6=0</formula>
    </cfRule>
  </conditionalFormatting>
  <conditionalFormatting sqref="T6:T17">
    <cfRule type="cellIs" dxfId="1007" priority="89" operator="greaterThanOrEqual">
      <formula>0</formula>
    </cfRule>
    <cfRule type="expression" dxfId="1006" priority="88">
      <formula>AND($H$67="ja",T6&gt;$A$67)</formula>
    </cfRule>
  </conditionalFormatting>
  <conditionalFormatting sqref="U6:U17">
    <cfRule type="cellIs" dxfId="1005" priority="17" operator="equal">
      <formula>0</formula>
    </cfRule>
    <cfRule type="cellIs" dxfId="1004" priority="16" operator="lessThan">
      <formula>$A$45</formula>
    </cfRule>
    <cfRule type="cellIs" dxfId="1003" priority="18" operator="notEqual">
      <formula>0</formula>
    </cfRule>
  </conditionalFormatting>
  <conditionalFormatting sqref="V6:X17">
    <cfRule type="expression" dxfId="1002" priority="46">
      <formula>$A6=0</formula>
    </cfRule>
  </conditionalFormatting>
  <conditionalFormatting sqref="Y6:Y17 AD6:AD17 AI6:AI17">
    <cfRule type="expression" dxfId="1001" priority="59">
      <formula>AND($H$67="ja",Y6&gt;$A$67)</formula>
    </cfRule>
    <cfRule type="cellIs" dxfId="1000" priority="60" operator="greaterThanOrEqual">
      <formula>0</formula>
    </cfRule>
  </conditionalFormatting>
  <conditionalFormatting sqref="Z6:Z17">
    <cfRule type="cellIs" dxfId="999" priority="11" operator="equal">
      <formula>0</formula>
    </cfRule>
    <cfRule type="cellIs" dxfId="998" priority="10" operator="lessThan">
      <formula>$A$45</formula>
    </cfRule>
    <cfRule type="cellIs" dxfId="997" priority="12" operator="notEqual">
      <formula>0</formula>
    </cfRule>
  </conditionalFormatting>
  <conditionalFormatting sqref="AA6:AC17">
    <cfRule type="expression" dxfId="996" priority="43">
      <formula>$A6=0</formula>
    </cfRule>
  </conditionalFormatting>
  <conditionalFormatting sqref="AE6:AE17">
    <cfRule type="cellIs" dxfId="995" priority="5" operator="equal">
      <formula>0</formula>
    </cfRule>
    <cfRule type="cellIs" dxfId="994" priority="4" operator="lessThan">
      <formula>$A$45</formula>
    </cfRule>
    <cfRule type="cellIs" dxfId="993" priority="6" operator="notEqual">
      <formula>0</formula>
    </cfRule>
  </conditionalFormatting>
  <conditionalFormatting sqref="AF6:AH17">
    <cfRule type="expression" dxfId="992" priority="34">
      <formula>$A6=0</formula>
    </cfRule>
  </conditionalFormatting>
  <conditionalFormatting sqref="AJ6:AJ17">
    <cfRule type="cellIs" dxfId="991" priority="3" operator="notEqual">
      <formula>0</formula>
    </cfRule>
    <cfRule type="cellIs" dxfId="990" priority="2" operator="equal">
      <formula>0</formula>
    </cfRule>
    <cfRule type="cellIs" dxfId="989" priority="1" operator="lessThan">
      <formula>$A$45</formula>
    </cfRule>
  </conditionalFormatting>
  <conditionalFormatting sqref="AK6:AK17">
    <cfRule type="expression" dxfId="988" priority="58">
      <formula>AND($H$70="ja",AK6&gt;$A$70)</formula>
    </cfRule>
    <cfRule type="cellIs" dxfId="987" priority="61" operator="greaterThanOrEqual">
      <formula>0</formula>
    </cfRule>
  </conditionalFormatting>
  <dataValidations count="1">
    <dataValidation type="list" allowBlank="1" showInputMessage="1" showErrorMessage="1" sqref="H67 H70" xr:uid="{00000000-0002-0000-0500-000000000000}">
      <formula1>Ja_og_nei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1:AQ95"/>
  <sheetViews>
    <sheetView zoomScale="85" zoomScaleNormal="85" workbookViewId="0">
      <pane ySplit="24" topLeftCell="A25" activePane="bottomLeft" state="frozen"/>
      <selection pane="bottomLeft" activeCell="B9" sqref="B9"/>
    </sheetView>
  </sheetViews>
  <sheetFormatPr defaultColWidth="9.08984375" defaultRowHeight="12.5" x14ac:dyDescent="0.25"/>
  <cols>
    <col min="1" max="1" width="10.7265625" style="3" customWidth="1"/>
    <col min="2" max="2" width="7.6328125" style="3" customWidth="1"/>
    <col min="3" max="3" width="7.81640625" style="3" customWidth="1"/>
    <col min="4" max="4" width="4.36328125" style="3" bestFit="1" customWidth="1"/>
    <col min="5" max="6" width="10" style="3" customWidth="1"/>
    <col min="7" max="7" width="7" style="3" customWidth="1"/>
    <col min="8" max="8" width="7.6328125" style="3" customWidth="1"/>
    <col min="9" max="9" width="4.36328125" style="3" bestFit="1" customWidth="1"/>
    <col min="10" max="11" width="10" style="3" customWidth="1"/>
    <col min="12" max="12" width="7.26953125" style="3" customWidth="1"/>
    <col min="13" max="13" width="7.7265625" style="3" customWidth="1"/>
    <col min="14" max="14" width="4.36328125" style="3" bestFit="1" customWidth="1"/>
    <col min="15" max="15" width="10.08984375" style="3" bestFit="1" customWidth="1"/>
    <col min="16" max="16" width="10.08984375" style="3" customWidth="1"/>
    <col min="17" max="17" width="7.6328125" style="3" customWidth="1"/>
    <col min="18" max="18" width="7.7265625" style="3" customWidth="1"/>
    <col min="19" max="19" width="4.36328125" style="3" bestFit="1" customWidth="1"/>
    <col min="20" max="20" width="10.08984375" style="3" bestFit="1" customWidth="1"/>
    <col min="21" max="21" width="10.08984375" style="3" customWidth="1"/>
    <col min="22" max="22" width="8.36328125" style="3" customWidth="1"/>
    <col min="23" max="23" width="8.81640625" style="3" customWidth="1"/>
    <col min="24" max="24" width="4.36328125" style="3" bestFit="1" customWidth="1"/>
    <col min="25" max="26" width="10" style="3" customWidth="1"/>
    <col min="27" max="28" width="7.81640625" style="3" customWidth="1"/>
    <col min="29" max="29" width="4.36328125" style="3" bestFit="1" customWidth="1"/>
    <col min="30" max="31" width="9.7265625" style="3" customWidth="1"/>
    <col min="32" max="32" width="6.81640625" style="3" customWidth="1"/>
    <col min="33" max="33" width="7.6328125" style="3" customWidth="1"/>
    <col min="34" max="34" width="4.36328125" style="3" bestFit="1" customWidth="1"/>
    <col min="35" max="36" width="9.6328125" style="3" customWidth="1"/>
    <col min="37" max="37" width="15.6328125" style="3" bestFit="1" customWidth="1"/>
    <col min="38" max="16384" width="9.08984375" style="3"/>
  </cols>
  <sheetData>
    <row r="1" spans="1:39" ht="13" x14ac:dyDescent="0.3">
      <c r="A1" s="98" t="s">
        <v>66</v>
      </c>
      <c r="B1" s="98"/>
      <c r="C1" s="98"/>
      <c r="D1" s="88"/>
      <c r="E1" s="5" t="str">
        <f>Vaktplan!G38</f>
        <v>mandag</v>
      </c>
      <c r="H1" s="98" t="s">
        <v>67</v>
      </c>
      <c r="I1" s="98"/>
      <c r="J1" s="98"/>
      <c r="K1" s="98"/>
      <c r="L1" s="98"/>
      <c r="M1" s="5">
        <f>Vaktplan!AJ45</f>
        <v>12</v>
      </c>
    </row>
    <row r="2" spans="1:39" ht="13" x14ac:dyDescent="0.3">
      <c r="A2" s="98" t="s">
        <v>36</v>
      </c>
      <c r="B2" s="98"/>
      <c r="C2" s="98"/>
      <c r="D2" s="88"/>
      <c r="E2" s="8">
        <f>Vaktplan!AM45</f>
        <v>0</v>
      </c>
      <c r="I2" s="106"/>
      <c r="J2" s="106"/>
    </row>
    <row r="3" spans="1:39" ht="13" x14ac:dyDescent="0.3">
      <c r="A3" s="98" t="s">
        <v>68</v>
      </c>
      <c r="B3" s="98"/>
      <c r="C3" s="98"/>
      <c r="D3" s="88"/>
      <c r="E3" s="5">
        <f>Vaktplan!AQ45</f>
        <v>0</v>
      </c>
      <c r="F3" s="4" t="s">
        <v>69</v>
      </c>
    </row>
    <row r="4" spans="1:39" ht="13" x14ac:dyDescent="0.3">
      <c r="A4" s="89" t="s">
        <v>70</v>
      </c>
      <c r="B4" s="103" t="str">
        <f>TEXT(AG39,"DDDD")</f>
        <v>Monday</v>
      </c>
      <c r="C4" s="104"/>
      <c r="D4" s="104"/>
      <c r="E4" s="104"/>
      <c r="F4" s="105"/>
      <c r="G4" s="102" t="str">
        <f>TEXT($AG$39+1,"DDDD")</f>
        <v>Tuesday</v>
      </c>
      <c r="H4" s="102"/>
      <c r="I4" s="102"/>
      <c r="J4" s="102"/>
      <c r="K4" s="89"/>
      <c r="L4" s="102" t="str">
        <f>TEXT($AG$39+2,"DDDD")</f>
        <v>Wednesday</v>
      </c>
      <c r="M4" s="102"/>
      <c r="N4" s="102"/>
      <c r="O4" s="102"/>
      <c r="P4" s="89"/>
      <c r="Q4" s="102" t="str">
        <f>TEXT($AG$39+3,"DDDD")</f>
        <v>Thursday</v>
      </c>
      <c r="R4" s="102"/>
      <c r="S4" s="102"/>
      <c r="T4" s="102"/>
      <c r="U4" s="89"/>
      <c r="V4" s="102" t="str">
        <f>TEXT($AG$39+4,"DDDD")</f>
        <v>Friday</v>
      </c>
      <c r="W4" s="102"/>
      <c r="X4" s="102"/>
      <c r="Y4" s="102"/>
      <c r="Z4" s="89"/>
      <c r="AA4" s="102" t="str">
        <f>TEXT($AG$39+5,"DDDD")</f>
        <v>Saturday</v>
      </c>
      <c r="AB4" s="102"/>
      <c r="AC4" s="102"/>
      <c r="AD4" s="102"/>
      <c r="AE4" s="89"/>
      <c r="AF4" s="102" t="str">
        <f>TEXT($AG$39+6,"DDDD")</f>
        <v>Sunday</v>
      </c>
      <c r="AG4" s="102"/>
      <c r="AH4" s="102"/>
      <c r="AI4" s="102"/>
      <c r="AJ4" s="89"/>
      <c r="AK4" s="7" t="s">
        <v>71</v>
      </c>
    </row>
    <row r="5" spans="1:39" x14ac:dyDescent="0.25">
      <c r="A5" s="6"/>
      <c r="B5" s="6" t="s">
        <v>72</v>
      </c>
      <c r="C5" s="6" t="s">
        <v>73</v>
      </c>
      <c r="D5" s="6" t="s">
        <v>55</v>
      </c>
      <c r="E5" s="6" t="s">
        <v>74</v>
      </c>
      <c r="F5" s="6" t="s">
        <v>75</v>
      </c>
      <c r="G5" s="6" t="s">
        <v>72</v>
      </c>
      <c r="H5" s="6" t="s">
        <v>73</v>
      </c>
      <c r="I5" s="6" t="s">
        <v>55</v>
      </c>
      <c r="J5" s="6" t="s">
        <v>74</v>
      </c>
      <c r="K5" s="6" t="s">
        <v>75</v>
      </c>
      <c r="L5" s="6" t="s">
        <v>72</v>
      </c>
      <c r="M5" s="6" t="s">
        <v>73</v>
      </c>
      <c r="N5" s="6" t="s">
        <v>55</v>
      </c>
      <c r="O5" s="6" t="s">
        <v>74</v>
      </c>
      <c r="P5" s="6" t="s">
        <v>75</v>
      </c>
      <c r="Q5" s="6" t="s">
        <v>72</v>
      </c>
      <c r="R5" s="6" t="s">
        <v>73</v>
      </c>
      <c r="S5" s="6" t="s">
        <v>55</v>
      </c>
      <c r="T5" s="6" t="s">
        <v>74</v>
      </c>
      <c r="U5" s="6" t="s">
        <v>75</v>
      </c>
      <c r="V5" s="6" t="s">
        <v>72</v>
      </c>
      <c r="W5" s="6" t="s">
        <v>73</v>
      </c>
      <c r="X5" s="6" t="s">
        <v>55</v>
      </c>
      <c r="Y5" s="6" t="s">
        <v>74</v>
      </c>
      <c r="Z5" s="6" t="s">
        <v>75</v>
      </c>
      <c r="AA5" s="6" t="s">
        <v>72</v>
      </c>
      <c r="AB5" s="6" t="s">
        <v>73</v>
      </c>
      <c r="AC5" s="6" t="s">
        <v>55</v>
      </c>
      <c r="AD5" s="6" t="s">
        <v>74</v>
      </c>
      <c r="AE5" s="6" t="s">
        <v>75</v>
      </c>
      <c r="AF5" s="6" t="s">
        <v>72</v>
      </c>
      <c r="AG5" s="6" t="s">
        <v>73</v>
      </c>
      <c r="AH5" s="6" t="s">
        <v>55</v>
      </c>
      <c r="AI5" s="6" t="s">
        <v>74</v>
      </c>
      <c r="AJ5" s="6" t="s">
        <v>75</v>
      </c>
      <c r="AK5" s="6"/>
    </row>
    <row r="6" spans="1:39" ht="13" x14ac:dyDescent="0.25">
      <c r="A6" s="7">
        <f>IF(M1&gt;=1,1,0)</f>
        <v>1</v>
      </c>
      <c r="B6" s="77">
        <f>IFERROR(VLOOKUP(Vaktplan!$A$45,Vaktplan!$A$4:$CL$35,87-AH59,FALSE),0)</f>
        <v>0</v>
      </c>
      <c r="C6" s="77">
        <f>IFERROR(VLOOKUP(Vaktplan!$A$45,Vaktplan!$A$4:$CL$35,87-AG59,FALSE),0)</f>
        <v>0</v>
      </c>
      <c r="D6" s="9">
        <f>IFERROR(VLOOKUP(Vaktplan!$A$45,Vaktplan!$A$4:$CL$35,89-AG59,FALSE),0)</f>
        <v>0</v>
      </c>
      <c r="E6" s="9">
        <f>IF(AND(B6=0,C6=0),0,IF(B6&lt;C6,((C6-B6)*24)-D6,(((1-B6)+C6)*24)-D6))</f>
        <v>0</v>
      </c>
      <c r="F6" s="9">
        <f>IF(AND(C6=0,G6=0),24,IF(C6=0,12+(G6*24),IF(C6&lt;G6,((G6-C6)*24),IF(G6=0,(1-C6+0.5)*24,((1-C6)+G6)*24))))</f>
        <v>24</v>
      </c>
      <c r="G6" s="77">
        <f>IFERROR(VLOOKUP(Vaktplan!$A$45,Vaktplan!$B$4:$CL$35,86-AH59,FALSE),0)</f>
        <v>0</v>
      </c>
      <c r="H6" s="77">
        <f>IFERROR(VLOOKUP(Vaktplan!$A$45,Vaktplan!$B$4:$CL$35,86-AG59,FALSE),0)</f>
        <v>0</v>
      </c>
      <c r="I6" s="9">
        <f>IFERROR(VLOOKUP(Vaktplan!$A$45,Vaktplan!$B$4:$CL$35,89-$AH59,FALSE),0)</f>
        <v>0</v>
      </c>
      <c r="J6" s="9">
        <f>IF(AND(G6=0,H6=0),0,IF(G6&lt;H6,((H6-G6)*24)-I6,(((1-G6)+H6)*24)-I6))</f>
        <v>0</v>
      </c>
      <c r="K6" s="9">
        <f>IF(AND(H6=0,L6=0),24,IF(H6=0,12+(L6*24),IF(H6&lt;L6,((L6-H6)*24),IF(L6=0,(1-H6+0.5)*24,((1-H6)+L6)*24))))</f>
        <v>24</v>
      </c>
      <c r="L6" s="77">
        <f>IFERROR(VLOOKUP(Vaktplan!$A$45,Vaktplan!$C$4:$CL$35,86-AI59,FALSE),0)</f>
        <v>0</v>
      </c>
      <c r="M6" s="77">
        <f>IFERROR(VLOOKUP(Vaktplan!$A$45,Vaktplan!$C$4:$CL$35,86-AH59,FALSE),0)</f>
        <v>0</v>
      </c>
      <c r="N6" s="9">
        <f>IFERROR(VLOOKUP(Vaktplan!$A$45,Vaktplan!$C$4:$CL$35,89-$AI59,FALSE),0)</f>
        <v>0</v>
      </c>
      <c r="O6" s="9">
        <f>IF(AND(L6=0,M6=0),0,IF(L6&lt;M6,((M6-L6)*24)-N6,(((1-L6)+M6)*24)-N6))</f>
        <v>0</v>
      </c>
      <c r="P6" s="9">
        <f>IF(AND(M6=0,Q6=0),24,IF(M6=0,12+(Q6*24),IF(M6&lt;Q6,((Q6-M6)*24),IF(Q6=0,(1-M6+0.5)*24,((1-M6)+Q6)*24))))</f>
        <v>24</v>
      </c>
      <c r="Q6" s="77">
        <f>IFERROR(VLOOKUP(Vaktplan!$A$45,Vaktplan!$D$4:$CL$35,86-AJ59,FALSE),0)</f>
        <v>0</v>
      </c>
      <c r="R6" s="77">
        <f>IFERROR(VLOOKUP(Vaktplan!$A$45,Vaktplan!$D$4:$CL$35,86-AI59,FALSE),0)</f>
        <v>0</v>
      </c>
      <c r="S6" s="9">
        <f>IFERROR(VLOOKUP(Vaktplan!$A$45,Vaktplan!$D$4:$CL$35,89-$AJ59,FALSE),0)</f>
        <v>0</v>
      </c>
      <c r="T6" s="9">
        <f t="shared" ref="T6:T17" si="0">IF(AND(Q6=0,R6=0),0,IF(Q6&lt;R6,((R6-Q6)*24)-S6,(((1-Q6)+R6)*24)-S6))</f>
        <v>0</v>
      </c>
      <c r="U6" s="9">
        <f>IF(AND(R6=0,V6=0),24,IF(R6=0,12+(V6*24),IF(R6&lt;V6,((V6-R6)*24),IF(V6=0,(1-R6+0.5)*24,((1-R6)+V6)*24))))</f>
        <v>24</v>
      </c>
      <c r="V6" s="77">
        <f>IFERROR(VLOOKUP(Vaktplan!$A$45,Vaktplan!$E$4:$CL$35,86-AK59,FALSE),0)</f>
        <v>0</v>
      </c>
      <c r="W6" s="77">
        <f>IFERROR(VLOOKUP(Vaktplan!$A$45,Vaktplan!$E$4:$CL$35,86-AJ59,FALSE),0)</f>
        <v>0</v>
      </c>
      <c r="X6" s="9">
        <f>IFERROR(VLOOKUP(Vaktplan!$A$45,Vaktplan!$E$4:$CL$35,89-$AK59,FALSE),0)</f>
        <v>0</v>
      </c>
      <c r="Y6" s="9">
        <f>IF(AND(V6=0,W6=0),0,IF(V6&lt;W6,((W6-V6)*24)-X6,(((1-V6)+W6)*24)-X6))</f>
        <v>0</v>
      </c>
      <c r="Z6" s="9">
        <f>IF(AND(W6=0,AA6=0),24,IF(W6=0,12+(AA6*24),IF(W6&lt;AA6,((AA6-W6)*24),IF(AA6=0,(1-W6+0.5)*24,((1-W6)+AA6)*24))))</f>
        <v>24</v>
      </c>
      <c r="AA6" s="77">
        <f>IFERROR(VLOOKUP(Vaktplan!$A$45,Vaktplan!$F$4:$CL$35,86-AL59,FALSE),0)</f>
        <v>0</v>
      </c>
      <c r="AB6" s="77">
        <f>IFERROR(VLOOKUP(Vaktplan!$A$45,Vaktplan!$F$4:$CL$35,86-AK59,FALSE),0)</f>
        <v>0</v>
      </c>
      <c r="AC6" s="9">
        <f>IFERROR(VLOOKUP(Vaktplan!$A$45,Vaktplan!$F$4:$CL$35,89-$AL59,FALSE),0)</f>
        <v>0</v>
      </c>
      <c r="AD6" s="9">
        <f>IF(AND(AA6=0,AB6=0),0,IF(AA6&lt;AB6,((AB6-AA6)*24)-AC6,(((1-AA6)+AB6)*24)-AC6))</f>
        <v>0</v>
      </c>
      <c r="AE6" s="9">
        <f>IF(AND(AB6=0,AF6=0),24,IF(AB6=0,12+(AF6*24),IF(AB6&lt;AF6,((AF6-AB6)*24),IF(AF6=0,(1-AB6+0.5)*24,((1-AB6)+AF6)*24))))</f>
        <v>24</v>
      </c>
      <c r="AF6" s="77">
        <f>IFERROR(VLOOKUP(Vaktplan!$A$45,Vaktplan!$G$4:$CL$35,86-AM59,FALSE),0)</f>
        <v>0</v>
      </c>
      <c r="AG6" s="77">
        <f>IFERROR(VLOOKUP(Vaktplan!$A$45,Vaktplan!$G$4:$CL$35,86-AL59,FALSE),0)</f>
        <v>0</v>
      </c>
      <c r="AH6" s="9">
        <f>IFERROR(VLOOKUP(Vaktplan!$A$45,Vaktplan!$G$4:$CL$35,89-$AM59,FALSE),0)</f>
        <v>0</v>
      </c>
      <c r="AI6" s="9">
        <f>IF(AND(AF6=0,AG6=0),0,IF(AF6&lt;AG6,((AG6-AF6)*24)-AH6,(((1-AF6)+AG6)*24)-AH6))</f>
        <v>0</v>
      </c>
      <c r="AJ6" s="9">
        <f>IF($M$1=AL28,IF(AND(AG6=0,B6=0),24,IF(AG6=0,12+($B$6*24),IF(AG6&lt;$B$6,(($B$6-AG6)*24),IF($B$6=0,(1-AG6+1)*24,((1-AG6)+$B$6)*24)))),IF(AND(AG6=0,B7=0),24,IF(AG6=0,12+(B7*24),IF(AG6&lt;B7,((B7-AG6)*24),IF(B7=0,(1-AG6+1)*24,((1-AG6)+B7)*24)))))</f>
        <v>24</v>
      </c>
      <c r="AK6" s="9">
        <f t="shared" ref="AK6:AK17" si="1">E6+J6+O6+T6+Y6+AD6+AI6</f>
        <v>0</v>
      </c>
      <c r="AL6" s="10">
        <f>AJ6</f>
        <v>24</v>
      </c>
      <c r="AM6" s="10">
        <f>AK6</f>
        <v>0</v>
      </c>
    </row>
    <row r="7" spans="1:39" ht="13" x14ac:dyDescent="0.25">
      <c r="A7" s="7">
        <f>IF($M$1&gt;=2,2,0)</f>
        <v>2</v>
      </c>
      <c r="B7" s="77">
        <f>IFERROR(VLOOKUP(Vaktplan!$A$45,Vaktplan!$H$4:$CL$35,87-AH60,FALSE),0)</f>
        <v>0</v>
      </c>
      <c r="C7" s="77">
        <f>IFERROR(VLOOKUP(Vaktplan!$A$45,Vaktplan!$H$4:$CL$35,87-AG60,FALSE),0)</f>
        <v>0</v>
      </c>
      <c r="D7" s="9">
        <f>IFERROR(VLOOKUP(Vaktplan!$A$45,Vaktplan!$H$4:$CL$35,89-AG60,FALSE),0)</f>
        <v>0</v>
      </c>
      <c r="E7" s="9">
        <f>IF(AND(B7=0,C7=0),0,IF(B7&lt;C7,((C7-B7)*24)-D7,(((1-B7)+C7)*24)-D7))</f>
        <v>0</v>
      </c>
      <c r="F7" s="9">
        <f t="shared" ref="F7:F17" si="2">IF(AND(C7=0,G7=0),24,IF(C7=0,12+(G7*24),IF(C7&lt;G7,((G7-C7)*24),IF(G7=0,(1-C7+0.5)*24,((1-C7)+G7)*24))))</f>
        <v>24</v>
      </c>
      <c r="G7" s="77">
        <f>IFERROR(VLOOKUP(Vaktplan!$A$45,Vaktplan!$I$4:$CL$35,86-AH60,FALSE),0)</f>
        <v>0</v>
      </c>
      <c r="H7" s="77">
        <f>IFERROR(VLOOKUP(Vaktplan!$A$45,Vaktplan!$I$4:$CL$35,86-AG60,FALSE),0)</f>
        <v>0</v>
      </c>
      <c r="I7" s="9">
        <f>IFERROR(VLOOKUP(Vaktplan!$A$45,Vaktplan!$I$4:$CL$35,89-$AH60,FALSE),0)</f>
        <v>0</v>
      </c>
      <c r="J7" s="9">
        <f t="shared" ref="J7:J17" si="3">IF(AND(G7=0,H7=0),0,IF(G7&lt;H7,((H7-G7)*24)-I7,(((1-G7)+H7)*24)-I7))</f>
        <v>0</v>
      </c>
      <c r="K7" s="9">
        <f t="shared" ref="K7:K17" si="4">IF(AND(H7=0,L7=0),24,IF(H7=0,12+(L7*24),IF(H7&lt;L7,((L7-H7)*24),IF(L7=0,(1-H7+0.5)*24,((1-H7)+L7)*24))))</f>
        <v>24</v>
      </c>
      <c r="L7" s="77">
        <f>IFERROR(VLOOKUP(Vaktplan!$A$45,Vaktplan!$J$4:$CL$35,86-AI60,FALSE),0)</f>
        <v>0</v>
      </c>
      <c r="M7" s="77">
        <f>IFERROR(VLOOKUP(Vaktplan!$A$45,Vaktplan!$J$4:$CL$35,86-AH60,FALSE),0)</f>
        <v>0</v>
      </c>
      <c r="N7" s="9">
        <f>IFERROR(VLOOKUP(Vaktplan!$A$45,Vaktplan!$J$4:$CL$35,89-$AI60,FALSE),0)</f>
        <v>0</v>
      </c>
      <c r="O7" s="9">
        <f t="shared" ref="O7:O17" si="5">IF(AND(L7=0,M7=0),0,IF(L7&lt;M7,((M7-L7)*24)-N7,(((1-L7)+M7)*24)-N7))</f>
        <v>0</v>
      </c>
      <c r="P7" s="9">
        <f t="shared" ref="P7:P17" si="6">IF(AND(M7=0,Q7=0),24,IF(M7=0,12+(Q7*24),IF(M7&lt;Q7,((Q7-M7)*24),IF(Q7=0,(1-M7+0.5)*24,((1-M7)+Q7)*24))))</f>
        <v>24</v>
      </c>
      <c r="Q7" s="77">
        <f>IFERROR(VLOOKUP(Vaktplan!$A$45,Vaktplan!$K$4:$CL$35,86-AJ60,FALSE),0)</f>
        <v>0</v>
      </c>
      <c r="R7" s="77">
        <f>IFERROR(VLOOKUP(Vaktplan!$A$45,Vaktplan!$K$4:$CL$35,86-AI60,FALSE),0)</f>
        <v>0</v>
      </c>
      <c r="S7" s="9">
        <f>IFERROR(VLOOKUP(Vaktplan!$A$45,Vaktplan!$K$4:$CL$35,89-$AJ60,FALSE),0)</f>
        <v>0</v>
      </c>
      <c r="T7" s="9">
        <f t="shared" si="0"/>
        <v>0</v>
      </c>
      <c r="U7" s="9">
        <f t="shared" ref="U7:U17" si="7">IF(AND(R7=0,V7=0),24,IF(R7=0,12+(V7*24),IF(R7&lt;V7,((V7-R7)*24),IF(V7=0,(1-R7+0.5)*24,((1-R7)+V7)*24))))</f>
        <v>24</v>
      </c>
      <c r="V7" s="77">
        <f>IFERROR(VLOOKUP(Vaktplan!$A$45,Vaktplan!$L$4:$CL$35,86-AK60,FALSE),0)</f>
        <v>0</v>
      </c>
      <c r="W7" s="77">
        <f>IFERROR(VLOOKUP(Vaktplan!$A$45,Vaktplan!$L$4:$CL$35,86-AJ60,FALSE),0)</f>
        <v>0</v>
      </c>
      <c r="X7" s="9">
        <f>IFERROR(VLOOKUP(Vaktplan!$A$45,Vaktplan!$L$4:$CL$35,89-$AK60,FALSE),0)</f>
        <v>0</v>
      </c>
      <c r="Y7" s="9">
        <f t="shared" ref="Y7:Y13" si="8">IF(AND(V7=0,W7=0),0,IF(V7&lt;W7,((W7-V7)*24)-X7,(((1-V7)+W7)*24)-X7))</f>
        <v>0</v>
      </c>
      <c r="Z7" s="9">
        <f t="shared" ref="Z7:Z17" si="9">IF(AND(W7=0,AA7=0),24,IF(W7=0,12+(AA7*24),IF(W7&lt;AA7,((AA7-W7)*24),IF(AA7=0,(1-W7+0.5)*24,((1-W7)+AA7)*24))))</f>
        <v>24</v>
      </c>
      <c r="AA7" s="77">
        <f>IFERROR(VLOOKUP(Vaktplan!$A$45,Vaktplan!$M$4:$CL$35,86-AL60,FALSE),0)</f>
        <v>0</v>
      </c>
      <c r="AB7" s="77">
        <f>IFERROR(VLOOKUP(Vaktplan!$A$45,Vaktplan!$M$4:$CL$35,86-AK60,FALSE),0)</f>
        <v>0</v>
      </c>
      <c r="AC7" s="9">
        <f>IFERROR(VLOOKUP(Vaktplan!$A$45,Vaktplan!$M$4:$CL$35,89-$AL60,FALSE),0)</f>
        <v>0</v>
      </c>
      <c r="AD7" s="9">
        <f t="shared" ref="AD7:AD13" si="10">IF(AND(AA7=0,AB7=0),0,IF(AA7&lt;AB7,((AB7-AA7)*24)-AC7,(((1-AA7)+AB7)*24)-AC7))</f>
        <v>0</v>
      </c>
      <c r="AE7" s="9">
        <f t="shared" ref="AE7:AE17" si="11">IF(AND(AB7=0,AF7=0),24,IF(AB7=0,12+(AF7*24),IF(AB7&lt;AF7,((AF7-AB7)*24),IF(AF7=0,(1-AB7+0.5)*24,((1-AB7)+AF7)*24))))</f>
        <v>24</v>
      </c>
      <c r="AF7" s="77">
        <f>IFERROR(VLOOKUP(Vaktplan!$A$45,Vaktplan!$N$4:$CL$35,86-AM60,FALSE),0)</f>
        <v>0</v>
      </c>
      <c r="AG7" s="77">
        <f>IFERROR(VLOOKUP(Vaktplan!$A$45,Vaktplan!$N$4:$CL$35,86-AL60,FALSE),0)</f>
        <v>0</v>
      </c>
      <c r="AH7" s="9">
        <f>IFERROR(VLOOKUP(Vaktplan!$A$45,Vaktplan!$N$4:$CL$35,89-$AM60,FALSE),0)</f>
        <v>0</v>
      </c>
      <c r="AI7" s="9">
        <f t="shared" ref="AI7:AI13" si="12">IF(AND(AF7=0,AG7=0),0,IF(AF7&lt;AG7,((AG7-AF7)*24)-AH7,(((1-AF7)+AG7)*24)-AH7))</f>
        <v>0</v>
      </c>
      <c r="AJ7" s="9">
        <f t="shared" ref="AJ7:AJ17" si="13">IF($M$1=AL29,IF(AND(AG7=0,B7=0),24,IF(AG7=0,12+($B$6*24),IF(AG7&lt;$B$6,(($B$6-AG7)*24),IF($B$6=0,(1-AG7+1)*24,((1-AG7)+$B$6)*24)))),IF(AND(AG7=0,B8=0),24,IF(AG7=0,12+(B8*24),IF(AG7&lt;B8,((B8-AG7)*24),IF(B8=0,(1-AG7+1)*24,((1-AG7)+B8)*24)))))</f>
        <v>24</v>
      </c>
      <c r="AK7" s="9">
        <f t="shared" si="1"/>
        <v>0</v>
      </c>
      <c r="AL7" s="10">
        <f t="shared" ref="AL7:AL13" si="14">AJ7</f>
        <v>24</v>
      </c>
      <c r="AM7" s="10">
        <f t="shared" ref="AM7:AM13" si="15">AK7</f>
        <v>0</v>
      </c>
    </row>
    <row r="8" spans="1:39" ht="13" x14ac:dyDescent="0.25">
      <c r="A8" s="7">
        <f>IF($M$1&gt;=3,3,0)</f>
        <v>3</v>
      </c>
      <c r="B8" s="77">
        <f>IFERROR(VLOOKUP(Vaktplan!$A$45,Vaktplan!$O$4:$CL$35,87-AH61,FALSE),0)</f>
        <v>0</v>
      </c>
      <c r="C8" s="77">
        <f>IFERROR(VLOOKUP(Vaktplan!$A$45,Vaktplan!$O$4:$CL$35,87-AG61,FALSE),0)</f>
        <v>0</v>
      </c>
      <c r="D8" s="9">
        <f>IFERROR(VLOOKUP(Vaktplan!$A$45,Vaktplan!$O$4:$CL$35,89-AG61,FALSE),0)</f>
        <v>0</v>
      </c>
      <c r="E8" s="9">
        <f t="shared" ref="E8:E17" si="16">IF(AND(B8=0,C8=0),0,IF(B8&lt;C8,((C8-B8)*24)-D8,(((1-B8)+C8)*24)-D8))</f>
        <v>0</v>
      </c>
      <c r="F8" s="9">
        <f t="shared" si="2"/>
        <v>24</v>
      </c>
      <c r="G8" s="77">
        <f>IFERROR(VLOOKUP(Vaktplan!$A$45,Vaktplan!$P$4:$CL$35,86-AH61,FALSE),0)</f>
        <v>0</v>
      </c>
      <c r="H8" s="77">
        <f>IFERROR(VLOOKUP(Vaktplan!$A$45,Vaktplan!$P$4:$CL$35,86-AG61,FALSE),0)</f>
        <v>0</v>
      </c>
      <c r="I8" s="9">
        <f>IFERROR(VLOOKUP(Vaktplan!$A$45,Vaktplan!$P$4:$CL$35,89-$AH61,FALSE),0)</f>
        <v>0</v>
      </c>
      <c r="J8" s="9">
        <f>IF(AND(G8=0,H8=0),0,IF(G8&lt;H8,((H8-G8)*24)-I8,(((1-G8)+H8)*24)-I8))</f>
        <v>0</v>
      </c>
      <c r="K8" s="9">
        <f t="shared" si="4"/>
        <v>24</v>
      </c>
      <c r="L8" s="77">
        <f>IFERROR(VLOOKUP(Vaktplan!$A$45,Vaktplan!$Q$4:$CL$35,86-AI61,FALSE),0)</f>
        <v>0</v>
      </c>
      <c r="M8" s="77">
        <f>IFERROR(VLOOKUP(Vaktplan!$A$45,Vaktplan!$Q$4:$CL$35,86-AH61,FALSE),0)</f>
        <v>0</v>
      </c>
      <c r="N8" s="9">
        <f>IFERROR(VLOOKUP(Vaktplan!$A$45,Vaktplan!$Q$4:$CL$35,89-$AI61,FALSE),0)</f>
        <v>0</v>
      </c>
      <c r="O8" s="9">
        <f t="shared" si="5"/>
        <v>0</v>
      </c>
      <c r="P8" s="9">
        <f t="shared" si="6"/>
        <v>24</v>
      </c>
      <c r="Q8" s="77">
        <f>IFERROR(VLOOKUP(Vaktplan!$A$45,Vaktplan!$R$4:$CL$35,86-AJ61,FALSE),0)</f>
        <v>0</v>
      </c>
      <c r="R8" s="77">
        <f>IFERROR(VLOOKUP(Vaktplan!$A$45,Vaktplan!$R$4:$CL$35,86-AI61,FALSE),0)</f>
        <v>0</v>
      </c>
      <c r="S8" s="9">
        <f>IFERROR(VLOOKUP(Vaktplan!$A$45,Vaktplan!$R$4:$CL$35,89-$AJ61,FALSE),0)</f>
        <v>0</v>
      </c>
      <c r="T8" s="9">
        <f t="shared" si="0"/>
        <v>0</v>
      </c>
      <c r="U8" s="9">
        <f t="shared" si="7"/>
        <v>24</v>
      </c>
      <c r="V8" s="77">
        <f>IFERROR(VLOOKUP(Vaktplan!$A$45,Vaktplan!$S$4:$CL$35,86-AK61,FALSE),0)</f>
        <v>0</v>
      </c>
      <c r="W8" s="77">
        <f>IFERROR(VLOOKUP(Vaktplan!$A$45,Vaktplan!$S$4:$CL$35,86-AJ61,FALSE),0)</f>
        <v>0</v>
      </c>
      <c r="X8" s="9">
        <f>IFERROR(VLOOKUP(Vaktplan!$A$45,Vaktplan!$S$4:$CL$35,89-$AK61,FALSE),0)</f>
        <v>0</v>
      </c>
      <c r="Y8" s="9">
        <f t="shared" si="8"/>
        <v>0</v>
      </c>
      <c r="Z8" s="9">
        <f t="shared" si="9"/>
        <v>24</v>
      </c>
      <c r="AA8" s="77">
        <f>IFERROR(VLOOKUP(Vaktplan!$A$45,Vaktplan!$T$4:$CL$35,86-AL61,FALSE),0)</f>
        <v>0</v>
      </c>
      <c r="AB8" s="77">
        <f>IFERROR(VLOOKUP(Vaktplan!$A$45,Vaktplan!$T$4:$CL$35,86-AK61,FALSE),0)</f>
        <v>0</v>
      </c>
      <c r="AC8" s="9">
        <f>IFERROR(VLOOKUP(Vaktplan!$A$45,Vaktplan!$T$4:$CL$35,89-$AL61,FALSE),0)</f>
        <v>0</v>
      </c>
      <c r="AD8" s="9">
        <f t="shared" si="10"/>
        <v>0</v>
      </c>
      <c r="AE8" s="9">
        <f t="shared" si="11"/>
        <v>24</v>
      </c>
      <c r="AF8" s="77">
        <f>IFERROR(VLOOKUP(Vaktplan!$A$45,Vaktplan!$U$4:$CL$35,86-AM61,FALSE),0)</f>
        <v>0</v>
      </c>
      <c r="AG8" s="77">
        <f>IFERROR(VLOOKUP(Vaktplan!$A$45,Vaktplan!$U$4:$CL$35,86-AL61,FALSE),0)</f>
        <v>0</v>
      </c>
      <c r="AH8" s="9">
        <f>IFERROR(VLOOKUP(Vaktplan!$A$45,Vaktplan!$U$4:$CL$35,89-$AM61,FALSE),0)</f>
        <v>0</v>
      </c>
      <c r="AI8" s="9">
        <f t="shared" si="12"/>
        <v>0</v>
      </c>
      <c r="AJ8" s="9">
        <f t="shared" si="13"/>
        <v>24</v>
      </c>
      <c r="AK8" s="9">
        <f t="shared" si="1"/>
        <v>0</v>
      </c>
      <c r="AL8" s="10">
        <f t="shared" si="14"/>
        <v>24</v>
      </c>
      <c r="AM8" s="10">
        <f t="shared" si="15"/>
        <v>0</v>
      </c>
    </row>
    <row r="9" spans="1:39" ht="13" x14ac:dyDescent="0.25">
      <c r="A9" s="7">
        <f>IF($M$1&gt;=4,4,0)</f>
        <v>4</v>
      </c>
      <c r="B9" s="77">
        <f>IFERROR(VLOOKUP(Vaktplan!$A$45,Vaktplan!$V$4:$CL$35,87-AH62,FALSE),0)</f>
        <v>0</v>
      </c>
      <c r="C9" s="77">
        <f>IFERROR(VLOOKUP(Vaktplan!$A$45,Vaktplan!$V$4:$CL$35,87-AG62,FALSE),0)</f>
        <v>0</v>
      </c>
      <c r="D9" s="9">
        <f>IFERROR(VLOOKUP(Vaktplan!$A$45,Vaktplan!$V$4:$CL$35,89-AG62,FALSE),0)</f>
        <v>0</v>
      </c>
      <c r="E9" s="9">
        <f t="shared" si="16"/>
        <v>0</v>
      </c>
      <c r="F9" s="9">
        <f t="shared" si="2"/>
        <v>24</v>
      </c>
      <c r="G9" s="77">
        <f>IFERROR(VLOOKUP(Vaktplan!$A$45,Vaktplan!$W$4:$CL$35,86-AH62,FALSE),0)</f>
        <v>0</v>
      </c>
      <c r="H9" s="77">
        <f>IFERROR(VLOOKUP(Vaktplan!$A$45,Vaktplan!$W$4:$CL$35,86-AG62,FALSE),0)</f>
        <v>0</v>
      </c>
      <c r="I9" s="9">
        <f>IFERROR(VLOOKUP(Vaktplan!$A$45,Vaktplan!$W$4:$CL$35,89-$AH62,FALSE),0)</f>
        <v>0</v>
      </c>
      <c r="J9" s="9">
        <f t="shared" si="3"/>
        <v>0</v>
      </c>
      <c r="K9" s="9">
        <f t="shared" si="4"/>
        <v>24</v>
      </c>
      <c r="L9" s="77">
        <f>IFERROR(VLOOKUP(Vaktplan!$A$45,Vaktplan!$X$4:$CL$35,86-AI62,FALSE),0)</f>
        <v>0</v>
      </c>
      <c r="M9" s="77">
        <f>IFERROR(VLOOKUP(Vaktplan!$A$45,Vaktplan!$X$4:$CL$35,86-AH62,FALSE),0)</f>
        <v>0</v>
      </c>
      <c r="N9" s="9">
        <f>IFERROR(VLOOKUP(Vaktplan!$A$45,Vaktplan!$X$4:$CL$35,89-$AI62,FALSE),0)</f>
        <v>0</v>
      </c>
      <c r="O9" s="9">
        <f t="shared" si="5"/>
        <v>0</v>
      </c>
      <c r="P9" s="9">
        <f t="shared" si="6"/>
        <v>24</v>
      </c>
      <c r="Q9" s="77">
        <f>IFERROR(VLOOKUP(Vaktplan!$A$45,Vaktplan!$Y$4:$CL$35,86-AJ62,FALSE),0)</f>
        <v>0</v>
      </c>
      <c r="R9" s="77">
        <f>IFERROR(VLOOKUP(Vaktplan!$A$45,Vaktplan!$Y$4:$CL$35,86-AI62,FALSE),0)</f>
        <v>0</v>
      </c>
      <c r="S9" s="9">
        <f>IFERROR(VLOOKUP(Vaktplan!$A$45,Vaktplan!$Y$4:$CL$35,89-$AJ62,FALSE),0)</f>
        <v>0</v>
      </c>
      <c r="T9" s="9">
        <f t="shared" si="0"/>
        <v>0</v>
      </c>
      <c r="U9" s="9">
        <f t="shared" si="7"/>
        <v>24</v>
      </c>
      <c r="V9" s="77">
        <f>IFERROR(VLOOKUP(Vaktplan!$A$45,Vaktplan!$Z$4:$CL$35,86-AK62,FALSE),0)</f>
        <v>0</v>
      </c>
      <c r="W9" s="77">
        <f>IFERROR(VLOOKUP(Vaktplan!$A$45,Vaktplan!$Z$4:$CL$35,86-AJ62,FALSE),0)</f>
        <v>0</v>
      </c>
      <c r="X9" s="9">
        <f>IFERROR(VLOOKUP(Vaktplan!$A$45,Vaktplan!$Z$4:$CL$35,89-$AK62,FALSE),0)</f>
        <v>0</v>
      </c>
      <c r="Y9" s="9">
        <f t="shared" si="8"/>
        <v>0</v>
      </c>
      <c r="Z9" s="9">
        <f t="shared" si="9"/>
        <v>24</v>
      </c>
      <c r="AA9" s="77">
        <f>IFERROR(VLOOKUP(Vaktplan!$A$45,Vaktplan!$AA$4:$CL$35,86-AL62,FALSE),0)</f>
        <v>0</v>
      </c>
      <c r="AB9" s="77">
        <f>IFERROR(VLOOKUP(Vaktplan!$A$45,Vaktplan!$AA$4:$CL$35,86-AK62,FALSE),0)</f>
        <v>0</v>
      </c>
      <c r="AC9" s="9">
        <f>IFERROR(VLOOKUP(Vaktplan!$A$45,Vaktplan!$AA$4:$CL$35,89-$AL62,FALSE),0)</f>
        <v>0</v>
      </c>
      <c r="AD9" s="9">
        <f t="shared" si="10"/>
        <v>0</v>
      </c>
      <c r="AE9" s="9">
        <f t="shared" si="11"/>
        <v>24</v>
      </c>
      <c r="AF9" s="77">
        <f>IFERROR(VLOOKUP(Vaktplan!$A$45,Vaktplan!$AB$4:$CL$35,86-AM62,FALSE),0)</f>
        <v>0</v>
      </c>
      <c r="AG9" s="77">
        <f>IFERROR(VLOOKUP(Vaktplan!$A$45,Vaktplan!$AB$4:$CL$35,86-AL62,FALSE),0)</f>
        <v>0</v>
      </c>
      <c r="AH9" s="9">
        <f>IFERROR(VLOOKUP(Vaktplan!$A$45,Vaktplan!$AB$4:$CL$35,89-$AM62,FALSE),0)</f>
        <v>0</v>
      </c>
      <c r="AI9" s="9">
        <f t="shared" si="12"/>
        <v>0</v>
      </c>
      <c r="AJ9" s="9">
        <f t="shared" si="13"/>
        <v>24</v>
      </c>
      <c r="AK9" s="9">
        <f t="shared" si="1"/>
        <v>0</v>
      </c>
      <c r="AL9" s="10">
        <f t="shared" si="14"/>
        <v>24</v>
      </c>
      <c r="AM9" s="10">
        <f t="shared" si="15"/>
        <v>0</v>
      </c>
    </row>
    <row r="10" spans="1:39" ht="13" x14ac:dyDescent="0.25">
      <c r="A10" s="7">
        <f>IF($M$1&gt;=5,5,0)</f>
        <v>5</v>
      </c>
      <c r="B10" s="77">
        <f>IFERROR(VLOOKUP(Vaktplan!$A$45,Vaktplan!$AC$4:$CL$35,87-AH63,FALSE),0)</f>
        <v>0</v>
      </c>
      <c r="C10" s="77">
        <f>IFERROR(VLOOKUP(Vaktplan!$A$45,Vaktplan!$AC$4:$CL$35,87-AG63,FALSE),0)</f>
        <v>0</v>
      </c>
      <c r="D10" s="9">
        <f>IFERROR(VLOOKUP(Vaktplan!$A$45,Vaktplan!$AC$4:$CL$35,89-AG63,FALSE),0)</f>
        <v>0</v>
      </c>
      <c r="E10" s="9">
        <f t="shared" si="16"/>
        <v>0</v>
      </c>
      <c r="F10" s="9">
        <f t="shared" si="2"/>
        <v>24</v>
      </c>
      <c r="G10" s="77">
        <f>IFERROR(VLOOKUP(Vaktplan!$A$45,Vaktplan!$AD$4:$CL$35,86-AH63,FALSE),0)</f>
        <v>0</v>
      </c>
      <c r="H10" s="77">
        <f>IFERROR(VLOOKUP(Vaktplan!$A$45,Vaktplan!$AD$4:$CL$35,86-AG63,FALSE),0)</f>
        <v>0</v>
      </c>
      <c r="I10" s="9">
        <f>IFERROR(VLOOKUP(Vaktplan!$A$45,Vaktplan!$AD$4:$CL$35,89-$AH63,FALSE),0)</f>
        <v>0</v>
      </c>
      <c r="J10" s="9">
        <f t="shared" si="3"/>
        <v>0</v>
      </c>
      <c r="K10" s="9">
        <f t="shared" si="4"/>
        <v>24</v>
      </c>
      <c r="L10" s="77">
        <f>IFERROR(VLOOKUP(Vaktplan!$A$45,Vaktplan!$AE$4:$CL$35,86-AI63,FALSE),0)</f>
        <v>0</v>
      </c>
      <c r="M10" s="77">
        <f>IFERROR(VLOOKUP(Vaktplan!$A$45,Vaktplan!$AE$4:$CL$35,86-AH63,FALSE),0)</f>
        <v>0</v>
      </c>
      <c r="N10" s="9">
        <f>IFERROR(VLOOKUP(Vaktplan!$A$45,Vaktplan!$AE$4:$CL$35,89-$AI63,FALSE),0)</f>
        <v>0</v>
      </c>
      <c r="O10" s="9">
        <f t="shared" si="5"/>
        <v>0</v>
      </c>
      <c r="P10" s="9">
        <f t="shared" si="6"/>
        <v>24</v>
      </c>
      <c r="Q10" s="77">
        <f>IFERROR(VLOOKUP(Vaktplan!$A$45,Vaktplan!$AF$4:$CL$35,86-AJ63,FALSE),0)</f>
        <v>0</v>
      </c>
      <c r="R10" s="77">
        <f>IFERROR(VLOOKUP(Vaktplan!$A$45,Vaktplan!$AF$4:$CL$35,86-AI63,FALSE),0)</f>
        <v>0</v>
      </c>
      <c r="S10" s="9">
        <f>IFERROR(VLOOKUP(Vaktplan!$A$45,Vaktplan!$AF$4:$CL$35,89-$AJ63,FALSE),0)</f>
        <v>0</v>
      </c>
      <c r="T10" s="9">
        <f t="shared" si="0"/>
        <v>0</v>
      </c>
      <c r="U10" s="9">
        <f t="shared" si="7"/>
        <v>24</v>
      </c>
      <c r="V10" s="77">
        <f>IFERROR(VLOOKUP(Vaktplan!$A$45,Vaktplan!$AG$4:$CL$35,86-AK63,FALSE),0)</f>
        <v>0</v>
      </c>
      <c r="W10" s="77">
        <f>IFERROR(VLOOKUP(Vaktplan!$A$45,Vaktplan!$AG$4:$CL$35,86-AJ63,FALSE),0)</f>
        <v>0</v>
      </c>
      <c r="X10" s="9">
        <f>IFERROR(VLOOKUP(Vaktplan!$A$45,Vaktplan!$AG$4:$CL$35,89-$AK63,FALSE),0)</f>
        <v>0</v>
      </c>
      <c r="Y10" s="9">
        <f t="shared" si="8"/>
        <v>0</v>
      </c>
      <c r="Z10" s="9">
        <f t="shared" si="9"/>
        <v>24</v>
      </c>
      <c r="AA10" s="77">
        <f>IFERROR(VLOOKUP(Vaktplan!$A$45,Vaktplan!$AH$4:$CL$35,86-AL63,FALSE),0)</f>
        <v>0</v>
      </c>
      <c r="AB10" s="77">
        <f>IFERROR(VLOOKUP(Vaktplan!$A$45,Vaktplan!$AH$4:$CL$35,86-AK63,FALSE),0)</f>
        <v>0</v>
      </c>
      <c r="AC10" s="9">
        <f>IFERROR(VLOOKUP(Vaktplan!$A$45,Vaktplan!$AH$4:$CL$35,89-$AL63,FALSE),0)</f>
        <v>0</v>
      </c>
      <c r="AD10" s="9">
        <f t="shared" si="10"/>
        <v>0</v>
      </c>
      <c r="AE10" s="9">
        <f t="shared" si="11"/>
        <v>24</v>
      </c>
      <c r="AF10" s="77">
        <f>IFERROR(VLOOKUP(Vaktplan!$A$45,Vaktplan!$AI$4:$CL$35,86-AM63,FALSE),0)</f>
        <v>0</v>
      </c>
      <c r="AG10" s="77">
        <f>IFERROR(VLOOKUP(Vaktplan!$A$45,Vaktplan!$AI$4:$CL$35,86-AL63,FALSE),0)</f>
        <v>0</v>
      </c>
      <c r="AH10" s="9">
        <f>IFERROR(VLOOKUP(Vaktplan!$A$45,Vaktplan!$AI$4:$CL$35,89-$AM63,FALSE),0)</f>
        <v>0</v>
      </c>
      <c r="AI10" s="9">
        <f t="shared" si="12"/>
        <v>0</v>
      </c>
      <c r="AJ10" s="9">
        <f t="shared" si="13"/>
        <v>24</v>
      </c>
      <c r="AK10" s="9">
        <f t="shared" si="1"/>
        <v>0</v>
      </c>
      <c r="AL10" s="10">
        <f t="shared" si="14"/>
        <v>24</v>
      </c>
      <c r="AM10" s="10">
        <f t="shared" si="15"/>
        <v>0</v>
      </c>
    </row>
    <row r="11" spans="1:39" ht="13" x14ac:dyDescent="0.25">
      <c r="A11" s="7">
        <f>IF($M$1&gt;=6,6,0)</f>
        <v>6</v>
      </c>
      <c r="B11" s="77">
        <f>IFERROR(VLOOKUP(Vaktplan!$A$45,Vaktplan!$AJ$4:$CL$35,87-AH64,FALSE),0)</f>
        <v>0</v>
      </c>
      <c r="C11" s="77">
        <f>IFERROR(VLOOKUP(Vaktplan!$A$45,Vaktplan!$AJ$4:$CL$35,87-AG64,FALSE),0)</f>
        <v>0</v>
      </c>
      <c r="D11" s="9">
        <f>IFERROR(VLOOKUP(Vaktplan!$A$45,Vaktplan!$AJ$4:$CL$35,89-AG64,FALSE),0)</f>
        <v>0</v>
      </c>
      <c r="E11" s="9">
        <f t="shared" si="16"/>
        <v>0</v>
      </c>
      <c r="F11" s="9">
        <f t="shared" si="2"/>
        <v>24</v>
      </c>
      <c r="G11" s="77">
        <f>IFERROR(VLOOKUP(Vaktplan!$A$45,Vaktplan!$AK$4:$CL$35,86-AH64,FALSE),0)</f>
        <v>0</v>
      </c>
      <c r="H11" s="77">
        <f>IFERROR(VLOOKUP(Vaktplan!$A$45,Vaktplan!$AK$4:$CL$35,86-AG64,FALSE),0)</f>
        <v>0</v>
      </c>
      <c r="I11" s="9">
        <f>IFERROR(VLOOKUP(Vaktplan!$A$45,Vaktplan!$AK$4:$CL$35,89-$AH64,FALSE),0)</f>
        <v>0</v>
      </c>
      <c r="J11" s="9">
        <f t="shared" si="3"/>
        <v>0</v>
      </c>
      <c r="K11" s="9">
        <f t="shared" si="4"/>
        <v>24</v>
      </c>
      <c r="L11" s="77">
        <f>IFERROR(VLOOKUP(Vaktplan!$A$45,Vaktplan!$AL$4:$CL$35,86-AI64,FALSE),0)</f>
        <v>0</v>
      </c>
      <c r="M11" s="77">
        <f>IFERROR(VLOOKUP(Vaktplan!$A$45,Vaktplan!$AL$4:$CL$35,86-AH64,FALSE),0)</f>
        <v>0</v>
      </c>
      <c r="N11" s="9">
        <f>IFERROR(VLOOKUP(Vaktplan!$A$45,Vaktplan!$AL$4:$CL$35,89-$AI64,FALSE),0)</f>
        <v>0</v>
      </c>
      <c r="O11" s="9">
        <f t="shared" si="5"/>
        <v>0</v>
      </c>
      <c r="P11" s="9">
        <f t="shared" si="6"/>
        <v>24</v>
      </c>
      <c r="Q11" s="77">
        <f>IFERROR(VLOOKUP(Vaktplan!$A$45,Vaktplan!$AM$4:$CL$35,86-AJ64,FALSE),0)</f>
        <v>0</v>
      </c>
      <c r="R11" s="77">
        <f>IFERROR(VLOOKUP(Vaktplan!$A$45,Vaktplan!$AM$4:$CL$35,86-AI64,FALSE),0)</f>
        <v>0</v>
      </c>
      <c r="S11" s="9">
        <f>IFERROR(VLOOKUP(Vaktplan!$A$45,Vaktplan!$AM$4:$CL$35,89-$AJ64,FALSE),0)</f>
        <v>0</v>
      </c>
      <c r="T11" s="9">
        <f t="shared" si="0"/>
        <v>0</v>
      </c>
      <c r="U11" s="9">
        <f t="shared" si="7"/>
        <v>24</v>
      </c>
      <c r="V11" s="77">
        <f>IFERROR(VLOOKUP(Vaktplan!$A$45,Vaktplan!$AN$4:$CL$35,86-AK64,FALSE),0)</f>
        <v>0</v>
      </c>
      <c r="W11" s="77">
        <f>IFERROR(VLOOKUP(Vaktplan!$A$45,Vaktplan!$AN$4:$CL$35,86-AJ64,FALSE),0)</f>
        <v>0</v>
      </c>
      <c r="X11" s="9">
        <f>IFERROR(VLOOKUP(Vaktplan!$A$45,Vaktplan!$AN$4:$CL$35,89-$AK64,FALSE),0)</f>
        <v>0</v>
      </c>
      <c r="Y11" s="9">
        <f t="shared" si="8"/>
        <v>0</v>
      </c>
      <c r="Z11" s="9">
        <f t="shared" si="9"/>
        <v>24</v>
      </c>
      <c r="AA11" s="77">
        <f>IFERROR(VLOOKUP(Vaktplan!$A$45,Vaktplan!$AO$4:$CL$35,86-AL64,FALSE),0)</f>
        <v>0</v>
      </c>
      <c r="AB11" s="77">
        <f>IFERROR(VLOOKUP(Vaktplan!$A$45,Vaktplan!$AO$4:$CL$35,86-AK64,FALSE),0)</f>
        <v>0</v>
      </c>
      <c r="AC11" s="9">
        <f>IFERROR(VLOOKUP(Vaktplan!$A$45,Vaktplan!$AO$4:$CL$35,89-$AL64,FALSE),0)</f>
        <v>0</v>
      </c>
      <c r="AD11" s="9">
        <f t="shared" si="10"/>
        <v>0</v>
      </c>
      <c r="AE11" s="9">
        <f t="shared" si="11"/>
        <v>24</v>
      </c>
      <c r="AF11" s="77">
        <f>IFERROR(VLOOKUP(Vaktplan!$A$45,Vaktplan!$AP$4:$CL$35,86-AM64,FALSE),0)</f>
        <v>0</v>
      </c>
      <c r="AG11" s="77">
        <f>IFERROR(VLOOKUP(Vaktplan!$A$45,Vaktplan!$AP$4:$CL$35,86-AL64,FALSE),0)</f>
        <v>0</v>
      </c>
      <c r="AH11" s="9">
        <f>IFERROR(VLOOKUP(Vaktplan!$A$45,Vaktplan!$AP$4:$CL$35,89-$AM64,FALSE),0)</f>
        <v>0</v>
      </c>
      <c r="AI11" s="9">
        <f t="shared" si="12"/>
        <v>0</v>
      </c>
      <c r="AJ11" s="9">
        <f t="shared" si="13"/>
        <v>24</v>
      </c>
      <c r="AK11" s="9">
        <f t="shared" si="1"/>
        <v>0</v>
      </c>
      <c r="AL11" s="10">
        <f t="shared" si="14"/>
        <v>24</v>
      </c>
      <c r="AM11" s="10">
        <f t="shared" si="15"/>
        <v>0</v>
      </c>
    </row>
    <row r="12" spans="1:39" ht="13" x14ac:dyDescent="0.25">
      <c r="A12" s="7">
        <f>IF($M$1&gt;=7,7,0)</f>
        <v>7</v>
      </c>
      <c r="B12" s="77">
        <f>IFERROR(VLOOKUP(Vaktplan!$A$45,Vaktplan!$AQ$4:$CL$35,87-AH65,FALSE),0)</f>
        <v>0</v>
      </c>
      <c r="C12" s="77">
        <f>IFERROR(VLOOKUP(Vaktplan!$A$45,Vaktplan!$AQ$4:$CL$35,87-AG65,FALSE),0)</f>
        <v>0</v>
      </c>
      <c r="D12" s="9">
        <f>IFERROR(VLOOKUP(Vaktplan!$A$45,Vaktplan!$AQ$4:$CL$35,89-AG65,FALSE),0)</f>
        <v>0</v>
      </c>
      <c r="E12" s="9">
        <f t="shared" si="16"/>
        <v>0</v>
      </c>
      <c r="F12" s="9">
        <f t="shared" si="2"/>
        <v>24</v>
      </c>
      <c r="G12" s="77">
        <f>IFERROR(VLOOKUP(Vaktplan!$A$45,Vaktplan!$AR$4:$CL$35,86-AH65,FALSE),0)</f>
        <v>0</v>
      </c>
      <c r="H12" s="77">
        <f>IFERROR(VLOOKUP(Vaktplan!$A$45,Vaktplan!$AR$4:$CL$35,86-AG65,FALSE),0)</f>
        <v>0</v>
      </c>
      <c r="I12" s="9">
        <f>IFERROR(VLOOKUP(Vaktplan!$A$45,Vaktplan!$AR$4:$CL$35,89-$AH65,FALSE),0)</f>
        <v>0</v>
      </c>
      <c r="J12" s="9">
        <f t="shared" si="3"/>
        <v>0</v>
      </c>
      <c r="K12" s="9">
        <f t="shared" si="4"/>
        <v>24</v>
      </c>
      <c r="L12" s="77">
        <f>IFERROR(VLOOKUP(Vaktplan!$A$45,Vaktplan!$AS$4:$CL$35,86-AI65,FALSE),0)</f>
        <v>0</v>
      </c>
      <c r="M12" s="77">
        <f>IFERROR(VLOOKUP(Vaktplan!$A$45,Vaktplan!$AS$4:$CL$35,86-AH65,FALSE),0)</f>
        <v>0</v>
      </c>
      <c r="N12" s="9">
        <f>IFERROR(VLOOKUP(Vaktplan!$A$45,Vaktplan!$AS$4:$CL$35,89-$AI65,FALSE),0)</f>
        <v>0</v>
      </c>
      <c r="O12" s="9">
        <f t="shared" si="5"/>
        <v>0</v>
      </c>
      <c r="P12" s="9">
        <f t="shared" si="6"/>
        <v>24</v>
      </c>
      <c r="Q12" s="77">
        <f>IFERROR(VLOOKUP(Vaktplan!$A$45,Vaktplan!$AT$4:$CL$35,86-AJ65,FALSE),0)</f>
        <v>0</v>
      </c>
      <c r="R12" s="77">
        <f>IFERROR(VLOOKUP(Vaktplan!$A$45,Vaktplan!$AT$4:$CL$35,86-AI65,FALSE),0)</f>
        <v>0</v>
      </c>
      <c r="S12" s="9">
        <f>IFERROR(VLOOKUP(Vaktplan!$A$45,Vaktplan!$AT$4:$CL$35,89-$AJ65,FALSE),0)</f>
        <v>0</v>
      </c>
      <c r="T12" s="9">
        <f t="shared" si="0"/>
        <v>0</v>
      </c>
      <c r="U12" s="9">
        <f t="shared" si="7"/>
        <v>24</v>
      </c>
      <c r="V12" s="77">
        <f>IFERROR(VLOOKUP(Vaktplan!$A$45,Vaktplan!$AU$4:$CL$35,86-AK65,FALSE),0)</f>
        <v>0</v>
      </c>
      <c r="W12" s="77">
        <f>IFERROR(VLOOKUP(Vaktplan!$A$45,Vaktplan!$AU$4:$CL$35,86-AJ65,FALSE),0)</f>
        <v>0</v>
      </c>
      <c r="X12" s="9">
        <f>IFERROR(VLOOKUP(Vaktplan!$A$45,Vaktplan!$AU$4:$CL$35,89-$AK65,FALSE),0)</f>
        <v>0</v>
      </c>
      <c r="Y12" s="9">
        <f t="shared" si="8"/>
        <v>0</v>
      </c>
      <c r="Z12" s="9">
        <f t="shared" si="9"/>
        <v>24</v>
      </c>
      <c r="AA12" s="77">
        <f>IFERROR(VLOOKUP(Vaktplan!$A$45,Vaktplan!$AV$4:$CL$35,86-AL65,FALSE),0)</f>
        <v>0</v>
      </c>
      <c r="AB12" s="77">
        <f>IFERROR(VLOOKUP(Vaktplan!$A$45,Vaktplan!$AV$4:$CL$35,86-AK65,FALSE),0)</f>
        <v>0</v>
      </c>
      <c r="AC12" s="9">
        <f>IFERROR(VLOOKUP(Vaktplan!$A$45,Vaktplan!$AV$4:$CL$35,89-$AL65,FALSE),0)</f>
        <v>0</v>
      </c>
      <c r="AD12" s="9">
        <f t="shared" si="10"/>
        <v>0</v>
      </c>
      <c r="AE12" s="9">
        <f t="shared" si="11"/>
        <v>24</v>
      </c>
      <c r="AF12" s="77">
        <f>IFERROR(VLOOKUP(Vaktplan!$A$45,Vaktplan!$AW$4:$CL$35,86-AM65,FALSE),0)</f>
        <v>0</v>
      </c>
      <c r="AG12" s="77">
        <f>IFERROR(VLOOKUP(Vaktplan!$A$45,Vaktplan!$AW$4:$CL$35,86-AL65,FALSE),0)</f>
        <v>0</v>
      </c>
      <c r="AH12" s="9">
        <f>IFERROR(VLOOKUP(Vaktplan!$A$45,Vaktplan!$AW$4:$CL$35,89-$AM65,FALSE),0)</f>
        <v>0</v>
      </c>
      <c r="AI12" s="9">
        <f t="shared" si="12"/>
        <v>0</v>
      </c>
      <c r="AJ12" s="9">
        <f t="shared" si="13"/>
        <v>24</v>
      </c>
      <c r="AK12" s="9">
        <f t="shared" si="1"/>
        <v>0</v>
      </c>
      <c r="AL12" s="10">
        <f t="shared" si="14"/>
        <v>24</v>
      </c>
      <c r="AM12" s="10">
        <f t="shared" si="15"/>
        <v>0</v>
      </c>
    </row>
    <row r="13" spans="1:39" ht="13" x14ac:dyDescent="0.25">
      <c r="A13" s="7">
        <f>IF($M$1&gt;=8,8,0)</f>
        <v>8</v>
      </c>
      <c r="B13" s="77">
        <f>IFERROR(VLOOKUP(Vaktplan!$A$45,Vaktplan!$AX$4:$CL$35,87-AH66,FALSE),0)</f>
        <v>0</v>
      </c>
      <c r="C13" s="77">
        <f>IFERROR(VLOOKUP(Vaktplan!$A$45,Vaktplan!$AX$4:$CL$35,87-AG66,FALSE),0)</f>
        <v>0</v>
      </c>
      <c r="D13" s="9">
        <f>IFERROR(VLOOKUP(Vaktplan!$A$45,Vaktplan!$AX$4:$CL$35,89-AG66,FALSE),0)</f>
        <v>0</v>
      </c>
      <c r="E13" s="9">
        <f t="shared" si="16"/>
        <v>0</v>
      </c>
      <c r="F13" s="9">
        <f t="shared" si="2"/>
        <v>24</v>
      </c>
      <c r="G13" s="77">
        <f>IFERROR(VLOOKUP(Vaktplan!$A$45,Vaktplan!$AY$4:$CL$35,86-AH66,FALSE),0)</f>
        <v>0</v>
      </c>
      <c r="H13" s="77">
        <f>IFERROR(VLOOKUP(Vaktplan!$A$45,Vaktplan!$AY$4:$CL$35,86-AG66,FALSE),0)</f>
        <v>0</v>
      </c>
      <c r="I13" s="9">
        <f>IFERROR(VLOOKUP(Vaktplan!$A$45,Vaktplan!$AY$4:$CL$35,89-$AH66,FALSE),0)</f>
        <v>0</v>
      </c>
      <c r="J13" s="9">
        <f t="shared" si="3"/>
        <v>0</v>
      </c>
      <c r="K13" s="9">
        <f t="shared" si="4"/>
        <v>24</v>
      </c>
      <c r="L13" s="77">
        <f>IFERROR(VLOOKUP(Vaktplan!$A$45,Vaktplan!$AZ$4:$CL$35,86-AI66,FALSE),0)</f>
        <v>0</v>
      </c>
      <c r="M13" s="77">
        <f>IFERROR(VLOOKUP(Vaktplan!$A$45,Vaktplan!$AZ$4:$CL$35,86-AH66,FALSE),0)</f>
        <v>0</v>
      </c>
      <c r="N13" s="9">
        <f>IFERROR(VLOOKUP(Vaktplan!$A$45,Vaktplan!$AZ$4:$CL$35,89-$AI66,FALSE),0)</f>
        <v>0</v>
      </c>
      <c r="O13" s="9">
        <f t="shared" si="5"/>
        <v>0</v>
      </c>
      <c r="P13" s="9">
        <f t="shared" si="6"/>
        <v>24</v>
      </c>
      <c r="Q13" s="77">
        <f>IFERROR(VLOOKUP(Vaktplan!$A$45,Vaktplan!$BA$4:$CL$35,86-AJ66,FALSE),0)</f>
        <v>0</v>
      </c>
      <c r="R13" s="77">
        <f>IFERROR(VLOOKUP(Vaktplan!$A$45,Vaktplan!$BA$4:$CL$35,86-AI66,FALSE),0)</f>
        <v>0</v>
      </c>
      <c r="S13" s="9">
        <f>IFERROR(VLOOKUP(Vaktplan!$A$45,Vaktplan!$BA$4:$CL$35,89-$AJ66,FALSE),0)</f>
        <v>0</v>
      </c>
      <c r="T13" s="9">
        <f t="shared" si="0"/>
        <v>0</v>
      </c>
      <c r="U13" s="9">
        <f t="shared" si="7"/>
        <v>24</v>
      </c>
      <c r="V13" s="77">
        <f>IFERROR(VLOOKUP(Vaktplan!$A$45,Vaktplan!$BB$4:$CL$35,86-AK66,FALSE),0)</f>
        <v>0</v>
      </c>
      <c r="W13" s="77">
        <f>IFERROR(VLOOKUP(Vaktplan!$A$45,Vaktplan!$BB$4:$CL$35,86-AJ66,FALSE),0)</f>
        <v>0</v>
      </c>
      <c r="X13" s="9">
        <f>IFERROR(VLOOKUP(Vaktplan!$A$45,Vaktplan!$BB$4:$CL$35,89-$AK66,FALSE),0)</f>
        <v>0</v>
      </c>
      <c r="Y13" s="9">
        <f t="shared" si="8"/>
        <v>0</v>
      </c>
      <c r="Z13" s="9">
        <f t="shared" si="9"/>
        <v>24</v>
      </c>
      <c r="AA13" s="77">
        <f>IFERROR(VLOOKUP(Vaktplan!$A$45,Vaktplan!$BC$4:$CL$35,86-AL66,FALSE),0)</f>
        <v>0</v>
      </c>
      <c r="AB13" s="77">
        <f>IFERROR(VLOOKUP(Vaktplan!$A$45,Vaktplan!$BC$4:$CL$35,86-AK66,FALSE),0)</f>
        <v>0</v>
      </c>
      <c r="AC13" s="9">
        <f>IFERROR(VLOOKUP(Vaktplan!$A$45,Vaktplan!$BC$4:$CL$35,89-$AL66,FALSE),0)</f>
        <v>0</v>
      </c>
      <c r="AD13" s="9">
        <f t="shared" si="10"/>
        <v>0</v>
      </c>
      <c r="AE13" s="9">
        <f t="shared" si="11"/>
        <v>24</v>
      </c>
      <c r="AF13" s="77">
        <f>IFERROR(VLOOKUP(Vaktplan!$A$45,Vaktplan!$BD$4:$CL$35,86-AM66,FALSE),0)</f>
        <v>0</v>
      </c>
      <c r="AG13" s="77">
        <f>IFERROR(VLOOKUP(Vaktplan!$A$45,Vaktplan!$BD$4:$CL$35,86-AL66,FALSE),0)</f>
        <v>0</v>
      </c>
      <c r="AH13" s="9">
        <f>IFERROR(VLOOKUP(Vaktplan!$A$45,Vaktplan!$BD$4:$CL$35,89-$AM66,FALSE),0)</f>
        <v>0</v>
      </c>
      <c r="AI13" s="9">
        <f t="shared" si="12"/>
        <v>0</v>
      </c>
      <c r="AJ13" s="9">
        <f t="shared" si="13"/>
        <v>24</v>
      </c>
      <c r="AK13" s="9">
        <f t="shared" si="1"/>
        <v>0</v>
      </c>
      <c r="AL13" s="10">
        <f t="shared" si="14"/>
        <v>24</v>
      </c>
      <c r="AM13" s="10">
        <f t="shared" si="15"/>
        <v>0</v>
      </c>
    </row>
    <row r="14" spans="1:39" ht="13" x14ac:dyDescent="0.25">
      <c r="A14" s="7">
        <v>9</v>
      </c>
      <c r="B14" s="77">
        <f>IFERROR(VLOOKUP(Vaktplan!$A$45,Vaktplan!$BE$4:$CL$35,87-AH67,FALSE),0)</f>
        <v>0</v>
      </c>
      <c r="C14" s="77">
        <f>IFERROR(VLOOKUP(Vaktplan!$A$45,Vaktplan!$BE$4:$CL$35,87-AG67,FALSE),0)</f>
        <v>0</v>
      </c>
      <c r="D14" s="9">
        <f>IFERROR(VLOOKUP(Vaktplan!$A$45,Vaktplan!$BE$4:$CL$35,89-AG67,FALSE),0)</f>
        <v>0</v>
      </c>
      <c r="E14" s="9">
        <f t="shared" si="16"/>
        <v>0</v>
      </c>
      <c r="F14" s="9">
        <f t="shared" si="2"/>
        <v>24</v>
      </c>
      <c r="G14" s="77">
        <f>IFERROR(VLOOKUP(Vaktplan!$A$45,Vaktplan!$BF$4:$CL$35,86-AH67,FALSE),0)</f>
        <v>0</v>
      </c>
      <c r="H14" s="77">
        <f>IFERROR(VLOOKUP(Vaktplan!$A$45,Vaktplan!$BF$4:$CL$35,86-AG67,FALSE),0)</f>
        <v>0</v>
      </c>
      <c r="I14" s="9">
        <f>IFERROR(VLOOKUP(Vaktplan!$A$45,Vaktplan!$BF$4:$CL$35,89-$AH67,FALSE),0)</f>
        <v>0</v>
      </c>
      <c r="J14" s="9">
        <f t="shared" si="3"/>
        <v>0</v>
      </c>
      <c r="K14" s="9">
        <f t="shared" si="4"/>
        <v>24</v>
      </c>
      <c r="L14" s="77">
        <f>IFERROR(VLOOKUP(Vaktplan!$A$45,Vaktplan!$BG$4:$CL$35,86-AI67,FALSE),0)</f>
        <v>0</v>
      </c>
      <c r="M14" s="77">
        <f>IFERROR(VLOOKUP(Vaktplan!$A$45,Vaktplan!$BG$4:$CL$35,86-AH67,FALSE),0)</f>
        <v>0</v>
      </c>
      <c r="N14" s="9">
        <f>IFERROR(VLOOKUP(Vaktplan!$A$45,Vaktplan!$BG$4:$CL$35,89-$AI67,FALSE),0)</f>
        <v>0</v>
      </c>
      <c r="O14" s="9">
        <f t="shared" si="5"/>
        <v>0</v>
      </c>
      <c r="P14" s="9">
        <f t="shared" si="6"/>
        <v>24</v>
      </c>
      <c r="Q14" s="77">
        <f>IFERROR(VLOOKUP(Vaktplan!$A$45,Vaktplan!$BH$4:$CL$35,86-AJ67,FALSE),0)</f>
        <v>0</v>
      </c>
      <c r="R14" s="77">
        <f>IFERROR(VLOOKUP(Vaktplan!$A$45,Vaktplan!$BH$4:$CL$35,86-AI67,FALSE),0)</f>
        <v>0</v>
      </c>
      <c r="S14" s="9">
        <f>IFERROR(VLOOKUP(Vaktplan!$A$45,Vaktplan!$BH$4:$CL$35,89-$AJ67,FALSE),0)</f>
        <v>0</v>
      </c>
      <c r="T14" s="9">
        <f t="shared" si="0"/>
        <v>0</v>
      </c>
      <c r="U14" s="9">
        <f t="shared" si="7"/>
        <v>24</v>
      </c>
      <c r="V14" s="77">
        <f>IFERROR(VLOOKUP(Vaktplan!$A$45,Vaktplan!$BI$4:$CL$35,86-AK67,FALSE),0)</f>
        <v>0</v>
      </c>
      <c r="W14" s="77">
        <f>IFERROR(VLOOKUP(Vaktplan!$A$45,Vaktplan!$BI$4:$CL$35,86-AJ67,FALSE),0)</f>
        <v>0</v>
      </c>
      <c r="X14" s="9">
        <f>IFERROR(VLOOKUP(Vaktplan!$A$45,Vaktplan!$BI$4:$CL$35,89-$AK67,FALSE),0)</f>
        <v>0</v>
      </c>
      <c r="Y14" s="9">
        <f>IF(AND(V14=0,W14=0),0,IF(V14&lt;W14,((W14-V14)*24)-X14,(((1-V14)+W14)*24)-X14))</f>
        <v>0</v>
      </c>
      <c r="Z14" s="9">
        <f t="shared" si="9"/>
        <v>24</v>
      </c>
      <c r="AA14" s="77">
        <f>IFERROR(VLOOKUP(Vaktplan!$A$45,Vaktplan!$BJ$4:$CL$35,86-AL67,FALSE),0)</f>
        <v>0</v>
      </c>
      <c r="AB14" s="77">
        <f>IFERROR(VLOOKUP(Vaktplan!$A$45,Vaktplan!$BJ$4:$CL$35,86-AK67,FALSE),0)</f>
        <v>0</v>
      </c>
      <c r="AC14" s="9">
        <f>IFERROR(VLOOKUP(Vaktplan!$A$45,Vaktplan!$BJ$4:$CL$35,89-$AL67,FALSE),0)</f>
        <v>0</v>
      </c>
      <c r="AD14" s="9">
        <f>IF(AND(AA14=0,AB14=0),0,IF(AA14&lt;AB14,((AB14-AA14)*24)-AC14,(((1-AA14)+AB14)*24)-AC14))</f>
        <v>0</v>
      </c>
      <c r="AE14" s="9">
        <f t="shared" si="11"/>
        <v>24</v>
      </c>
      <c r="AF14" s="77">
        <f>IFERROR(VLOOKUP(Vaktplan!$A$45,Vaktplan!$BK$4:$CL$35,86-AM67,FALSE),0)</f>
        <v>0</v>
      </c>
      <c r="AG14" s="77">
        <f>IFERROR(VLOOKUP(Vaktplan!$A$45,Vaktplan!$BK$4:$CL$35,86-AL67,FALSE),0)</f>
        <v>0</v>
      </c>
      <c r="AH14" s="9">
        <f>IFERROR(VLOOKUP(Vaktplan!$A$45,Vaktplan!$BK$4:$CL$35,89-$AM67,FALSE),0)</f>
        <v>0</v>
      </c>
      <c r="AI14" s="9">
        <f>IF(AND(AF14=0,AG14=0),0,IF(AF14&lt;AG14,((AG14-AF14)*24)-AH14,(((1-AF14)+AG14)*24)-AH14))</f>
        <v>0</v>
      </c>
      <c r="AJ14" s="9">
        <f t="shared" si="13"/>
        <v>24</v>
      </c>
      <c r="AK14" s="9">
        <f t="shared" si="1"/>
        <v>0</v>
      </c>
      <c r="AL14" s="10"/>
      <c r="AM14" s="10"/>
    </row>
    <row r="15" spans="1:39" ht="13" x14ac:dyDescent="0.25">
      <c r="A15" s="7">
        <v>10</v>
      </c>
      <c r="B15" s="77">
        <f>IFERROR(VLOOKUP(Vaktplan!$A$45,Vaktplan!$BL$4:$CL$35,87-AH68,FALSE),0)</f>
        <v>0</v>
      </c>
      <c r="C15" s="77">
        <f>IFERROR(VLOOKUP(Vaktplan!$A$45,Vaktplan!$BL$4:$CL$35,87-AG68,FALSE),0)</f>
        <v>0</v>
      </c>
      <c r="D15" s="9">
        <f>IFERROR(VLOOKUP(Vaktplan!$A$45,Vaktplan!$BL$4:$CL$35,89-AG68,FALSE),0)</f>
        <v>0</v>
      </c>
      <c r="E15" s="9">
        <f t="shared" si="16"/>
        <v>0</v>
      </c>
      <c r="F15" s="9">
        <f t="shared" si="2"/>
        <v>24</v>
      </c>
      <c r="G15" s="77">
        <f>IFERROR(VLOOKUP(Vaktplan!$A$45,Vaktplan!$BM$4:$CL$35,86-AH68,FALSE),0)</f>
        <v>0</v>
      </c>
      <c r="H15" s="77">
        <f>IFERROR(VLOOKUP(Vaktplan!$A$45,Vaktplan!$BM$4:$CL$35,86-AG68,FALSE),0)</f>
        <v>0</v>
      </c>
      <c r="I15" s="9">
        <f>IFERROR(VLOOKUP(Vaktplan!$A$45,Vaktplan!$BM$4:$CL$35,89-$AH68,FALSE),0)</f>
        <v>0</v>
      </c>
      <c r="J15" s="9">
        <f t="shared" si="3"/>
        <v>0</v>
      </c>
      <c r="K15" s="9">
        <f t="shared" si="4"/>
        <v>24</v>
      </c>
      <c r="L15" s="77">
        <f>IFERROR(VLOOKUP(Vaktplan!$A$45,Vaktplan!$BN$4:$CL$35,86-AI68,FALSE),0)</f>
        <v>0</v>
      </c>
      <c r="M15" s="77">
        <f>IFERROR(VLOOKUP(Vaktplan!$A$45,Vaktplan!$BN$4:$CL$35,86-AH68,FALSE),0)</f>
        <v>0</v>
      </c>
      <c r="N15" s="9">
        <f>IFERROR(VLOOKUP(Vaktplan!$A$45,Vaktplan!$BN$4:$CL$35,89-$AI68,FALSE),0)</f>
        <v>0</v>
      </c>
      <c r="O15" s="9">
        <f t="shared" si="5"/>
        <v>0</v>
      </c>
      <c r="P15" s="9">
        <f t="shared" si="6"/>
        <v>24</v>
      </c>
      <c r="Q15" s="77">
        <f>IFERROR(VLOOKUP(Vaktplan!$A$45,Vaktplan!$BO$4:$CL$35,86-AJ68,FALSE),0)</f>
        <v>0</v>
      </c>
      <c r="R15" s="77">
        <f>IFERROR(VLOOKUP(Vaktplan!$A$45,Vaktplan!$BO$4:$CL$35,86-AI68,FALSE),0)</f>
        <v>0</v>
      </c>
      <c r="S15" s="9">
        <f>IFERROR(VLOOKUP(Vaktplan!$A$45,Vaktplan!$BO$4:$CL$35,89-$AJ68,FALSE),0)</f>
        <v>0</v>
      </c>
      <c r="T15" s="9">
        <f t="shared" si="0"/>
        <v>0</v>
      </c>
      <c r="U15" s="9">
        <f t="shared" si="7"/>
        <v>24</v>
      </c>
      <c r="V15" s="77">
        <f>IFERROR(VLOOKUP(Vaktplan!$A$45,Vaktplan!$BP$4:$CL$35,86-AK68,FALSE),0)</f>
        <v>0</v>
      </c>
      <c r="W15" s="77">
        <f>IFERROR(VLOOKUP(Vaktplan!$A$45,Vaktplan!$BP$4:$CL$35,86-AJ68,FALSE),0)</f>
        <v>0</v>
      </c>
      <c r="X15" s="9">
        <f>IFERROR(VLOOKUP(Vaktplan!$A$45,Vaktplan!$BP$4:$CL$35,89-$AK68,FALSE),0)</f>
        <v>0</v>
      </c>
      <c r="Y15" s="9">
        <f>IF(AND(V15=0,W15=0),0,IF(V15&lt;W15,((W15-V15)*24)-X15,(((1-V15)+W15)*24)-X15))</f>
        <v>0</v>
      </c>
      <c r="Z15" s="9">
        <f t="shared" si="9"/>
        <v>24</v>
      </c>
      <c r="AA15" s="77">
        <f>IFERROR(VLOOKUP(Vaktplan!$A$45,Vaktplan!$BQ$4:$CL$35,86-AL68,FALSE),0)</f>
        <v>0</v>
      </c>
      <c r="AB15" s="77">
        <f>IFERROR(VLOOKUP(Vaktplan!$A$45,Vaktplan!$BQ$4:$CL$35,86-AK68,FALSE),0)</f>
        <v>0</v>
      </c>
      <c r="AC15" s="9">
        <f>IFERROR(VLOOKUP(Vaktplan!$A$45,Vaktplan!$BQ$4:$CL$35,89-$AL68,FALSE),0)</f>
        <v>0</v>
      </c>
      <c r="AD15" s="9">
        <f>IF(AND(AA15=0,AB15=0),0,IF(AA15&lt;AB15,((AB15-AA15)*24)-AC15,(((1-AA15)+AB15)*24)-AC15))</f>
        <v>0</v>
      </c>
      <c r="AE15" s="9">
        <f t="shared" si="11"/>
        <v>24</v>
      </c>
      <c r="AF15" s="77">
        <f>IFERROR(VLOOKUP(Vaktplan!$A$45,Vaktplan!$BR$4:$CL$35,86-AM68,FALSE),0)</f>
        <v>0</v>
      </c>
      <c r="AG15" s="77">
        <f>IFERROR(VLOOKUP(Vaktplan!$A$45,Vaktplan!$BR$4:$CL$35,86-AL68,FALSE),0)</f>
        <v>0</v>
      </c>
      <c r="AH15" s="9">
        <f>IFERROR(VLOOKUP(Vaktplan!$A$45,Vaktplan!$BR$4:$CL$35,89-$AM68,FALSE),0)</f>
        <v>0</v>
      </c>
      <c r="AI15" s="9">
        <f>IF(AND(AF15=0,AG15=0),0,IF(AF15&lt;AG15,((AG15-AF15)*24)-AH15,(((1-AF15)+AG15)*24)-AH15))</f>
        <v>0</v>
      </c>
      <c r="AJ15" s="9">
        <f t="shared" si="13"/>
        <v>24</v>
      </c>
      <c r="AK15" s="9">
        <f t="shared" si="1"/>
        <v>0</v>
      </c>
      <c r="AL15" s="10"/>
      <c r="AM15" s="10"/>
    </row>
    <row r="16" spans="1:39" ht="13" x14ac:dyDescent="0.25">
      <c r="A16" s="7">
        <v>11</v>
      </c>
      <c r="B16" s="77">
        <f>IFERROR(VLOOKUP(Vaktplan!$A$45,Vaktplan!$BS$4:$CL$35,87-AH69,FALSE),0)</f>
        <v>0</v>
      </c>
      <c r="C16" s="77">
        <f>IFERROR(VLOOKUP(Vaktplan!$A$45,Vaktplan!$BS$4:$CL$35,87-AG69,FALSE),0)</f>
        <v>0</v>
      </c>
      <c r="D16" s="9">
        <f>IFERROR(VLOOKUP(Vaktplan!$A$45,Vaktplan!$BS$4:$CL$35,89-AG69,FALSE),0)</f>
        <v>0</v>
      </c>
      <c r="E16" s="9">
        <f t="shared" si="16"/>
        <v>0</v>
      </c>
      <c r="F16" s="9">
        <f t="shared" si="2"/>
        <v>24</v>
      </c>
      <c r="G16" s="77">
        <f>IFERROR(VLOOKUP(Vaktplan!$A$45,Vaktplan!$BT$4:$CL$35,86-AH69,FALSE),0)</f>
        <v>0</v>
      </c>
      <c r="H16" s="77">
        <f>IFERROR(VLOOKUP(Vaktplan!$A$45,Vaktplan!$BT$4:$CL$35,86-AG69,FALSE),0)</f>
        <v>0</v>
      </c>
      <c r="I16" s="9">
        <f>IFERROR(VLOOKUP(Vaktplan!$A$45,Vaktplan!$BT$4:$CL$35,89-$AH69,FALSE),0)</f>
        <v>0</v>
      </c>
      <c r="J16" s="9">
        <f t="shared" si="3"/>
        <v>0</v>
      </c>
      <c r="K16" s="9">
        <f t="shared" si="4"/>
        <v>24</v>
      </c>
      <c r="L16" s="77">
        <f>IFERROR(VLOOKUP(Vaktplan!$A$45,Vaktplan!$BU$4:$CL$35,86-AI69,FALSE),0)</f>
        <v>0</v>
      </c>
      <c r="M16" s="77">
        <f>IFERROR(VLOOKUP(Vaktplan!$A$45,Vaktplan!$BU$4:$CL$35,86-AH69,FALSE),0)</f>
        <v>0</v>
      </c>
      <c r="N16" s="9">
        <f>IFERROR(VLOOKUP(Vaktplan!$A$45,Vaktplan!$BU$4:$CL$35,89-$AI69,FALSE),0)</f>
        <v>0</v>
      </c>
      <c r="O16" s="9">
        <f t="shared" si="5"/>
        <v>0</v>
      </c>
      <c r="P16" s="9">
        <f t="shared" si="6"/>
        <v>24</v>
      </c>
      <c r="Q16" s="77">
        <f>IFERROR(VLOOKUP(Vaktplan!$A$45,Vaktplan!$BV$4:$CL$35,86-AJ69,FALSE),0)</f>
        <v>0</v>
      </c>
      <c r="R16" s="77">
        <f>IFERROR(VLOOKUP(Vaktplan!$A$45,Vaktplan!$BV$4:$CL$35,86-AI69,FALSE),0)</f>
        <v>0</v>
      </c>
      <c r="S16" s="9">
        <f>IFERROR(VLOOKUP(Vaktplan!$A$45,Vaktplan!$BV$4:$CL$35,89-$AJ69,FALSE),0)</f>
        <v>0</v>
      </c>
      <c r="T16" s="9">
        <f t="shared" si="0"/>
        <v>0</v>
      </c>
      <c r="U16" s="9">
        <f t="shared" si="7"/>
        <v>24</v>
      </c>
      <c r="V16" s="77">
        <f>IFERROR(VLOOKUP(Vaktplan!$A$45,Vaktplan!$BW$4:$CL$35,86-AK69,FALSE),0)</f>
        <v>0</v>
      </c>
      <c r="W16" s="77">
        <f>IFERROR(VLOOKUP(Vaktplan!$A$45,Vaktplan!$BW$4:$CL$35,86-AJ69,FALSE),0)</f>
        <v>0</v>
      </c>
      <c r="X16" s="9">
        <f>IFERROR(VLOOKUP(Vaktplan!$A$45,Vaktplan!$BW$4:$CL$35,89-$AK69,FALSE),0)</f>
        <v>0</v>
      </c>
      <c r="Y16" s="9">
        <f>IF(AND(V16=0,W16=0),0,IF(V16&lt;W16,((W16-V16)*24)-X16,(((1-V16)+W16)*24)-X16))</f>
        <v>0</v>
      </c>
      <c r="Z16" s="9">
        <f t="shared" si="9"/>
        <v>24</v>
      </c>
      <c r="AA16" s="77">
        <f>IFERROR(VLOOKUP(Vaktplan!$A$45,Vaktplan!$BX$4:$CL$35,86-AL69,FALSE),0)</f>
        <v>0</v>
      </c>
      <c r="AB16" s="77">
        <f>IFERROR(VLOOKUP(Vaktplan!$A$45,Vaktplan!$BX$4:$CL$35,86-AK69,FALSE),0)</f>
        <v>0</v>
      </c>
      <c r="AC16" s="9">
        <f>IFERROR(VLOOKUP(Vaktplan!$A$45,Vaktplan!$BX$4:$CL$35,89-$AL69,FALSE),0)</f>
        <v>0</v>
      </c>
      <c r="AD16" s="9">
        <f>IF(AND(AA16=0,AB16=0),0,IF(AA16&lt;AB16,((AB16-AA16)*24)-AC16,(((1-AA16)+AB16)*24)-AC16))</f>
        <v>0</v>
      </c>
      <c r="AE16" s="9">
        <f t="shared" si="11"/>
        <v>24</v>
      </c>
      <c r="AF16" s="77">
        <f>IFERROR(VLOOKUP(Vaktplan!$A$45,Vaktplan!$BY$4:$CL$35,86-AM69,FALSE),0)</f>
        <v>0</v>
      </c>
      <c r="AG16" s="77">
        <f>IFERROR(VLOOKUP(Vaktplan!$A$45,Vaktplan!$BY$4:$CL$35,86-AL69,FALSE),0)</f>
        <v>0</v>
      </c>
      <c r="AH16" s="9">
        <f>IFERROR(VLOOKUP(Vaktplan!$A$45,Vaktplan!$BY$4:$CL$35,89-$AM69,FALSE),0)</f>
        <v>0</v>
      </c>
      <c r="AI16" s="9">
        <f>IF(AND(AF16=0,AG16=0),0,IF(AF16&lt;AG16,((AG16-AF16)*24)-AH16,(((1-AF16)+AG16)*24)-AH16))</f>
        <v>0</v>
      </c>
      <c r="AJ16" s="9">
        <f t="shared" si="13"/>
        <v>24</v>
      </c>
      <c r="AK16" s="9">
        <f t="shared" si="1"/>
        <v>0</v>
      </c>
      <c r="AL16" s="10"/>
      <c r="AM16" s="10"/>
    </row>
    <row r="17" spans="1:43" ht="13" x14ac:dyDescent="0.25">
      <c r="A17" s="7">
        <v>12</v>
      </c>
      <c r="B17" s="77">
        <f>IFERROR(VLOOKUP(Vaktplan!$A$45,Vaktplan!$BZ$4:$CL$35,87-AH70,FALSE),0)</f>
        <v>0</v>
      </c>
      <c r="C17" s="77">
        <f>IFERROR(VLOOKUP(Vaktplan!$A$45,Vaktplan!$BZ$4:$CL$35,87-AG70,FALSE),0)</f>
        <v>0</v>
      </c>
      <c r="D17" s="9">
        <f>IFERROR(VLOOKUP(Vaktplan!$A$45,Vaktplan!$BZ$4:$CL$35,89-AG70,FALSE),0)</f>
        <v>0</v>
      </c>
      <c r="E17" s="9">
        <f t="shared" si="16"/>
        <v>0</v>
      </c>
      <c r="F17" s="9">
        <f t="shared" si="2"/>
        <v>24</v>
      </c>
      <c r="G17" s="77">
        <f>IFERROR(VLOOKUP(Vaktplan!$A$45,Vaktplan!$CA$4:$CL$35,86-AH70,FALSE),0)</f>
        <v>0</v>
      </c>
      <c r="H17" s="77">
        <f>IFERROR(VLOOKUP(Vaktplan!$A$45,Vaktplan!$CA$4:$CL$35,86-AG70,FALSE),0)</f>
        <v>0</v>
      </c>
      <c r="I17" s="9">
        <f>IFERROR(VLOOKUP(Vaktplan!$A$45,Vaktplan!$CA$4:$CL$35,89-$AH70,FALSE),0)</f>
        <v>0</v>
      </c>
      <c r="J17" s="9">
        <f t="shared" si="3"/>
        <v>0</v>
      </c>
      <c r="K17" s="9">
        <f t="shared" si="4"/>
        <v>24</v>
      </c>
      <c r="L17" s="77">
        <f>IFERROR(VLOOKUP(Vaktplan!$A$45,Vaktplan!$CB$4:$CL$35,86-AI70,FALSE),0)</f>
        <v>0</v>
      </c>
      <c r="M17" s="77">
        <f>IFERROR(VLOOKUP(Vaktplan!$A$45,Vaktplan!$CB$4:$CL$35,86-AH70,FALSE),0)</f>
        <v>0</v>
      </c>
      <c r="N17" s="9">
        <f>IFERROR(VLOOKUP(Vaktplan!$A$45,Vaktplan!$CB$4:$CL$35,89-$AI70,FALSE),0)</f>
        <v>0</v>
      </c>
      <c r="O17" s="9">
        <f t="shared" si="5"/>
        <v>0</v>
      </c>
      <c r="P17" s="9">
        <f t="shared" si="6"/>
        <v>24</v>
      </c>
      <c r="Q17" s="77">
        <f>IFERROR(VLOOKUP(Vaktplan!$A$45,Vaktplan!$CC$4:$CL$35,86-AJ70,FALSE),0)</f>
        <v>0</v>
      </c>
      <c r="R17" s="77">
        <f>IFERROR(VLOOKUP(Vaktplan!$A$45,Vaktplan!$CC$4:$CL$35,86-AI70,FALSE),0)</f>
        <v>0</v>
      </c>
      <c r="S17" s="9">
        <f>IFERROR(VLOOKUP(Vaktplan!$A$45,Vaktplan!$CC$4:$CL$35,89-$AJ70,FALSE),0)</f>
        <v>0</v>
      </c>
      <c r="T17" s="9">
        <f t="shared" si="0"/>
        <v>0</v>
      </c>
      <c r="U17" s="9">
        <f t="shared" si="7"/>
        <v>24</v>
      </c>
      <c r="V17" s="77">
        <f>IFERROR(VLOOKUP(Vaktplan!$A$45,Vaktplan!$CD$4:$CL$35,86-AK70,FALSE),0)</f>
        <v>0</v>
      </c>
      <c r="W17" s="77">
        <f>IFERROR(VLOOKUP(Vaktplan!$A$45,Vaktplan!$CD$4:$CL$35,86-AJ70,FALSE),0)</f>
        <v>0</v>
      </c>
      <c r="X17" s="9">
        <f>IFERROR(VLOOKUP(Vaktplan!$A$45,Vaktplan!$CD$4:$CL$35,89-$AK70,FALSE),0)</f>
        <v>0</v>
      </c>
      <c r="Y17" s="9">
        <f>IF(AND(V17=0,W17=0),0,IF(V17&lt;W17,((W17-V17)*24)-X17,(((1-V17)+W17)*24)-X17))</f>
        <v>0</v>
      </c>
      <c r="Z17" s="9">
        <f t="shared" si="9"/>
        <v>24</v>
      </c>
      <c r="AA17" s="77">
        <f>IFERROR(VLOOKUP(Vaktplan!$A$45,Vaktplan!$CE$4:$CL$35,86-AL70,FALSE),0)</f>
        <v>0</v>
      </c>
      <c r="AB17" s="77">
        <f>IFERROR(VLOOKUP(Vaktplan!$A$45,Vaktplan!$CE$4:$CL$35,86-AK70,FALSE),0)</f>
        <v>0</v>
      </c>
      <c r="AC17" s="9">
        <f>IFERROR(VLOOKUP(Vaktplan!$A$45,Vaktplan!$CE$4:$FCE$35,89-$AL70,FALSE),0)</f>
        <v>0</v>
      </c>
      <c r="AD17" s="9">
        <f>IF(AND(AA17=0,AB17=0),0,IF(AA17&lt;AB17,((AB17-AA17)*24)-AC17,(((1-AA17)+AB17)*24)-AC17))</f>
        <v>0</v>
      </c>
      <c r="AE17" s="9">
        <f t="shared" si="11"/>
        <v>24</v>
      </c>
      <c r="AF17" s="77">
        <f>IFERROR(VLOOKUP(Vaktplan!$A$45,Vaktplan!$CF$4:$CL$35,86-AM70,FALSE),0)</f>
        <v>0</v>
      </c>
      <c r="AG17" s="77">
        <f>IFERROR(VLOOKUP(Vaktplan!$A$45,Vaktplan!$CF$4:$CL$35,86-AL70,FALSE),0)</f>
        <v>0</v>
      </c>
      <c r="AH17" s="9">
        <f>IFERROR(VLOOKUP(Vaktplan!$A$45,Vaktplan!$CF$4:$CL$35,89-$AM70,FALSE),0)</f>
        <v>0</v>
      </c>
      <c r="AI17" s="9">
        <f>IF(AND(AF17=0,AG17=0),0,IF(AF17&lt;AG17,((AG17-AF17)*24)-AH17,(((1-AF17)+AG17)*24)-AH17))</f>
        <v>0</v>
      </c>
      <c r="AJ17" s="9">
        <f t="shared" si="13"/>
        <v>24</v>
      </c>
      <c r="AK17" s="9">
        <f t="shared" si="1"/>
        <v>0</v>
      </c>
      <c r="AL17" s="10"/>
      <c r="AM17" s="10"/>
    </row>
    <row r="19" spans="1:43" ht="13" x14ac:dyDescent="0.3">
      <c r="A19" s="4" t="s">
        <v>76</v>
      </c>
    </row>
    <row r="20" spans="1:43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3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3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3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3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6" spans="1:43" ht="13" x14ac:dyDescent="0.3">
      <c r="A26" s="4" t="s">
        <v>77</v>
      </c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</row>
    <row r="27" spans="1:43" ht="13" x14ac:dyDescent="0.3">
      <c r="A27" s="3" t="s">
        <v>78</v>
      </c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80" t="s">
        <v>79</v>
      </c>
      <c r="AM27" s="78"/>
      <c r="AN27" s="78"/>
      <c r="AO27" s="78"/>
    </row>
    <row r="28" spans="1:43" ht="13" x14ac:dyDescent="0.3">
      <c r="A28" s="98" t="s">
        <v>36</v>
      </c>
      <c r="B28" s="98"/>
      <c r="C28" s="98"/>
      <c r="D28" s="88"/>
      <c r="E28" s="8">
        <f>E2</f>
        <v>0</v>
      </c>
      <c r="F28" s="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>
        <v>1</v>
      </c>
      <c r="AM28" s="78"/>
      <c r="AN28" s="78"/>
      <c r="AO28" s="78"/>
    </row>
    <row r="29" spans="1:43" ht="13" x14ac:dyDescent="0.3">
      <c r="A29" s="98" t="s">
        <v>80</v>
      </c>
      <c r="B29" s="98"/>
      <c r="C29" s="98"/>
      <c r="D29" s="88"/>
      <c r="E29" s="5">
        <f>E3</f>
        <v>0</v>
      </c>
      <c r="F29" s="5"/>
      <c r="T29" s="10"/>
      <c r="U29" s="10"/>
      <c r="V29" s="10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80" t="s">
        <v>81</v>
      </c>
      <c r="AH29" s="80"/>
      <c r="AI29" s="78"/>
      <c r="AJ29" s="78"/>
      <c r="AK29" s="78"/>
      <c r="AL29" s="78">
        <v>2</v>
      </c>
      <c r="AM29" s="78"/>
      <c r="AN29" s="78"/>
      <c r="AO29" s="78"/>
      <c r="AP29" s="10"/>
      <c r="AQ29" s="10"/>
    </row>
    <row r="30" spans="1:43" ht="13" x14ac:dyDescent="0.3">
      <c r="A30" s="98" t="s">
        <v>82</v>
      </c>
      <c r="B30" s="98"/>
      <c r="C30" s="98"/>
      <c r="D30" s="88"/>
      <c r="T30" s="10"/>
      <c r="U30" s="10"/>
      <c r="V30" s="10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>
        <v>3</v>
      </c>
      <c r="AM30" s="78"/>
      <c r="AN30" s="78"/>
      <c r="AO30" s="78"/>
      <c r="AP30" s="10"/>
      <c r="AQ30" s="10"/>
    </row>
    <row r="31" spans="1:43" ht="13" x14ac:dyDescent="0.3">
      <c r="A31" s="4" t="s">
        <v>83</v>
      </c>
      <c r="B31" s="4" t="s">
        <v>84</v>
      </c>
      <c r="C31" s="4" t="s">
        <v>85</v>
      </c>
      <c r="D31" s="98" t="s">
        <v>86</v>
      </c>
      <c r="E31" s="98"/>
      <c r="F31" s="4" t="s">
        <v>87</v>
      </c>
      <c r="G31" s="4" t="s">
        <v>88</v>
      </c>
      <c r="H31" s="98" t="s">
        <v>27</v>
      </c>
      <c r="I31" s="98"/>
      <c r="J31" s="4" t="s">
        <v>28</v>
      </c>
      <c r="K31" s="4" t="s">
        <v>29</v>
      </c>
      <c r="L31" s="4" t="s">
        <v>30</v>
      </c>
      <c r="M31" s="4" t="s">
        <v>31</v>
      </c>
      <c r="N31" s="98" t="s">
        <v>32</v>
      </c>
      <c r="O31" s="98"/>
      <c r="T31" s="10"/>
      <c r="U31" s="10"/>
      <c r="V31" s="10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80" t="s">
        <v>9</v>
      </c>
      <c r="AH31" s="80"/>
      <c r="AI31" s="78"/>
      <c r="AJ31" s="78"/>
      <c r="AK31" s="78"/>
      <c r="AL31" s="78">
        <v>4</v>
      </c>
      <c r="AM31" s="78"/>
      <c r="AN31" s="78"/>
      <c r="AO31" s="78"/>
      <c r="AP31" s="10"/>
      <c r="AQ31" s="10"/>
    </row>
    <row r="32" spans="1:43" ht="13" x14ac:dyDescent="0.3">
      <c r="A32" s="3">
        <f>AK6</f>
        <v>0</v>
      </c>
      <c r="B32" s="3">
        <f>AK7</f>
        <v>0</v>
      </c>
      <c r="C32" s="3">
        <f>AK8</f>
        <v>0</v>
      </c>
      <c r="D32" s="101">
        <f>AK9</f>
        <v>0</v>
      </c>
      <c r="E32" s="101"/>
      <c r="F32" s="3">
        <f>AK10</f>
        <v>0</v>
      </c>
      <c r="G32" s="3">
        <f>AK11</f>
        <v>0</v>
      </c>
      <c r="H32" s="101">
        <f>AK12</f>
        <v>0</v>
      </c>
      <c r="I32" s="101"/>
      <c r="J32" s="3">
        <f>AK13</f>
        <v>0</v>
      </c>
      <c r="K32" s="3">
        <f>AK14</f>
        <v>0</v>
      </c>
      <c r="L32" s="3">
        <f>AK15</f>
        <v>0</v>
      </c>
      <c r="M32" s="3">
        <f>AK16</f>
        <v>0</v>
      </c>
      <c r="N32" s="101">
        <f>AK17</f>
        <v>0</v>
      </c>
      <c r="O32" s="101"/>
      <c r="T32" s="11" t="s">
        <v>70</v>
      </c>
      <c r="U32" s="10" t="s">
        <v>89</v>
      </c>
      <c r="V32" s="10" t="s">
        <v>90</v>
      </c>
      <c r="W32" s="78" t="s">
        <v>91</v>
      </c>
      <c r="X32" s="78" t="s">
        <v>92</v>
      </c>
      <c r="Y32" s="78" t="s">
        <v>93</v>
      </c>
      <c r="Z32" s="78" t="s">
        <v>94</v>
      </c>
      <c r="AA32" s="78"/>
      <c r="AB32" s="78"/>
      <c r="AC32" s="78"/>
      <c r="AD32" s="78"/>
      <c r="AE32" s="78"/>
      <c r="AF32" s="78"/>
      <c r="AG32" s="78" t="s">
        <v>10</v>
      </c>
      <c r="AH32" s="78"/>
      <c r="AI32" s="79">
        <v>42177</v>
      </c>
      <c r="AJ32" s="79"/>
      <c r="AK32" s="78"/>
      <c r="AL32" s="78">
        <v>5</v>
      </c>
      <c r="AM32" s="78"/>
      <c r="AN32" s="78"/>
      <c r="AO32" s="78"/>
      <c r="AP32" s="10"/>
      <c r="AQ32" s="10"/>
    </row>
    <row r="33" spans="1:43" ht="13" x14ac:dyDescent="0.3">
      <c r="A33" s="98" t="s">
        <v>95</v>
      </c>
      <c r="B33" s="98"/>
      <c r="C33" s="98"/>
      <c r="D33" s="88"/>
      <c r="G33" s="101"/>
      <c r="H33" s="101"/>
      <c r="I33" s="90"/>
      <c r="T33" s="10">
        <v>1</v>
      </c>
      <c r="U33" s="10">
        <f>IF(AND(B6&gt;0,G6&gt;0),0,IF(AND(G6&gt;0),0,F6+K6))</f>
        <v>48</v>
      </c>
      <c r="V33" s="10">
        <f>IF(AND(G6&gt;0,L6&gt;0),0,IF(AND(L6&gt;0),0,K6+P6))</f>
        <v>48</v>
      </c>
      <c r="W33" s="78">
        <f>IF(AND(L6&gt;0,Q6&gt;0),0,IF(AND(Q6&gt;0),0,P6+U6))</f>
        <v>48</v>
      </c>
      <c r="X33" s="78">
        <f>IF(AND(Q6&gt;0,V6&gt;0),0,IF(AND(V6&gt;0),0,U6+Z6))</f>
        <v>48</v>
      </c>
      <c r="Y33" s="78">
        <f>IF(AND(V6&gt;0,AA6&gt;0),0,IF(AND(AA6&gt;0),0,Z6+AE6))</f>
        <v>48</v>
      </c>
      <c r="Z33" s="78">
        <f>IF(AND(AA6&gt;0,AF6&gt;0),0,IF(AND(AF6&gt;0),0,AE6+AJ6))</f>
        <v>48</v>
      </c>
      <c r="AA33" s="78"/>
      <c r="AB33" s="78"/>
      <c r="AC33" s="78"/>
      <c r="AD33" s="78"/>
      <c r="AE33" s="78"/>
      <c r="AF33" s="78"/>
      <c r="AG33" s="78" t="s">
        <v>11</v>
      </c>
      <c r="AH33" s="78"/>
      <c r="AI33" s="79">
        <v>42178</v>
      </c>
      <c r="AJ33" s="79"/>
      <c r="AK33" s="78"/>
      <c r="AL33" s="78">
        <v>6</v>
      </c>
      <c r="AM33" s="78"/>
      <c r="AN33" s="78"/>
      <c r="AO33" s="78"/>
      <c r="AP33" s="10"/>
      <c r="AQ33" s="10"/>
    </row>
    <row r="34" spans="1:43" x14ac:dyDescent="0.25">
      <c r="A34" s="101" t="s">
        <v>96</v>
      </c>
      <c r="B34" s="101"/>
      <c r="C34" s="3">
        <f>(AK6+AK7+AK8+AK9+AK10+AK11+AK12+AK13+AK14+AK15+AK16+AK17)/M1</f>
        <v>0</v>
      </c>
      <c r="T34" s="10">
        <v>2</v>
      </c>
      <c r="U34" s="10">
        <f t="shared" ref="U34:U40" si="17">IF(AND(B7&gt;0,G7&gt;0),0,IF(AND(G7&gt;0),0,F7+K7))</f>
        <v>48</v>
      </c>
      <c r="V34" s="10">
        <f t="shared" ref="V34:V40" si="18">IF(AND(G7&gt;0,L7&gt;0),0,IF(AND(L7&gt;0),0,K7+P7))</f>
        <v>48</v>
      </c>
      <c r="W34" s="78">
        <f t="shared" ref="W34:W44" si="19">IF(AND(L7&gt;0,Q7&gt;0),0,IF(AND(Q7&gt;0),0,P7+U7))</f>
        <v>48</v>
      </c>
      <c r="X34" s="78">
        <f t="shared" ref="X34:X44" si="20">IF(AND(Q7&gt;0,V7&gt;0),0,IF(AND(V7&gt;0),0,U7+Z7))</f>
        <v>48</v>
      </c>
      <c r="Y34" s="78">
        <f t="shared" ref="Y34:Y44" si="21">IF(AND(V7&gt;0,AA7&gt;0),0,IF(AND(AA7&gt;0),0,Z7+AE7))</f>
        <v>48</v>
      </c>
      <c r="Z34" s="78">
        <f t="shared" ref="Z34:Z44" si="22">IF(AND(AA7&gt;0,AF7&gt;0),0,IF(AND(AF7&gt;0),0,AE7+AJ7))</f>
        <v>48</v>
      </c>
      <c r="AA34" s="78"/>
      <c r="AB34" s="78"/>
      <c r="AC34" s="78"/>
      <c r="AD34" s="78"/>
      <c r="AE34" s="78"/>
      <c r="AF34" s="78"/>
      <c r="AG34" s="78" t="s">
        <v>12</v>
      </c>
      <c r="AH34" s="78"/>
      <c r="AI34" s="79">
        <v>42179</v>
      </c>
      <c r="AJ34" s="79"/>
      <c r="AK34" s="78"/>
      <c r="AL34" s="78">
        <v>7</v>
      </c>
      <c r="AM34" s="78"/>
      <c r="AN34" s="78"/>
      <c r="AO34" s="78"/>
      <c r="AP34" s="10"/>
      <c r="AQ34" s="10"/>
    </row>
    <row r="35" spans="1:43" x14ac:dyDescent="0.25">
      <c r="T35" s="10">
        <v>3</v>
      </c>
      <c r="U35" s="10">
        <f t="shared" si="17"/>
        <v>48</v>
      </c>
      <c r="V35" s="10">
        <f t="shared" si="18"/>
        <v>48</v>
      </c>
      <c r="W35" s="78">
        <f t="shared" si="19"/>
        <v>48</v>
      </c>
      <c r="X35" s="78">
        <f t="shared" si="20"/>
        <v>48</v>
      </c>
      <c r="Y35" s="78">
        <f t="shared" si="21"/>
        <v>48</v>
      </c>
      <c r="Z35" s="78">
        <f t="shared" si="22"/>
        <v>48</v>
      </c>
      <c r="AA35" s="78"/>
      <c r="AB35" s="78"/>
      <c r="AC35" s="78"/>
      <c r="AD35" s="78"/>
      <c r="AE35" s="78"/>
      <c r="AF35" s="78"/>
      <c r="AG35" s="78" t="s">
        <v>13</v>
      </c>
      <c r="AH35" s="78"/>
      <c r="AI35" s="79">
        <v>42180</v>
      </c>
      <c r="AJ35" s="79"/>
      <c r="AK35" s="78"/>
      <c r="AL35" s="78">
        <v>8</v>
      </c>
      <c r="AM35" s="78"/>
      <c r="AN35" s="78"/>
      <c r="AO35" s="78"/>
      <c r="AP35" s="78"/>
      <c r="AQ35" s="10"/>
    </row>
    <row r="36" spans="1:43" ht="13" x14ac:dyDescent="0.3">
      <c r="A36" s="98" t="s">
        <v>97</v>
      </c>
      <c r="B36" s="98"/>
      <c r="C36" s="98"/>
      <c r="D36" s="98"/>
      <c r="E36" s="98"/>
      <c r="F36" s="88"/>
      <c r="T36" s="10">
        <v>4</v>
      </c>
      <c r="U36" s="10">
        <f t="shared" si="17"/>
        <v>48</v>
      </c>
      <c r="V36" s="10">
        <f t="shared" si="18"/>
        <v>48</v>
      </c>
      <c r="W36" s="78">
        <f t="shared" si="19"/>
        <v>48</v>
      </c>
      <c r="X36" s="78">
        <f t="shared" si="20"/>
        <v>48</v>
      </c>
      <c r="Y36" s="78">
        <f t="shared" si="21"/>
        <v>48</v>
      </c>
      <c r="Z36" s="78">
        <f t="shared" si="22"/>
        <v>48</v>
      </c>
      <c r="AA36" s="78"/>
      <c r="AB36" s="78"/>
      <c r="AC36" s="78"/>
      <c r="AD36" s="78"/>
      <c r="AE36" s="78"/>
      <c r="AF36" s="78"/>
      <c r="AG36" s="78" t="s">
        <v>14</v>
      </c>
      <c r="AH36" s="78"/>
      <c r="AI36" s="79">
        <v>42181</v>
      </c>
      <c r="AJ36" s="79"/>
      <c r="AK36" s="78"/>
      <c r="AL36" s="3">
        <v>9</v>
      </c>
      <c r="AM36" s="78"/>
      <c r="AN36" s="78"/>
      <c r="AO36" s="78"/>
      <c r="AP36" s="78"/>
      <c r="AQ36" s="10"/>
    </row>
    <row r="37" spans="1:43" x14ac:dyDescent="0.25">
      <c r="A37" s="99" t="e">
        <f>C34/E3</f>
        <v>#DIV/0!</v>
      </c>
      <c r="B37" s="99"/>
      <c r="C37" s="99"/>
      <c r="T37" s="10">
        <v>5</v>
      </c>
      <c r="U37" s="10">
        <f t="shared" si="17"/>
        <v>48</v>
      </c>
      <c r="V37" s="10">
        <f t="shared" si="18"/>
        <v>48</v>
      </c>
      <c r="W37" s="78">
        <f t="shared" si="19"/>
        <v>48</v>
      </c>
      <c r="X37" s="78">
        <f t="shared" si="20"/>
        <v>48</v>
      </c>
      <c r="Y37" s="78">
        <f t="shared" si="21"/>
        <v>48</v>
      </c>
      <c r="Z37" s="78">
        <f t="shared" si="22"/>
        <v>48</v>
      </c>
      <c r="AA37" s="78"/>
      <c r="AB37" s="78"/>
      <c r="AC37" s="78"/>
      <c r="AD37" s="78"/>
      <c r="AE37" s="78"/>
      <c r="AF37" s="78"/>
      <c r="AG37" s="78" t="s">
        <v>15</v>
      </c>
      <c r="AH37" s="78"/>
      <c r="AI37" s="79">
        <v>42182</v>
      </c>
      <c r="AJ37" s="79"/>
      <c r="AK37" s="78"/>
      <c r="AL37" s="3">
        <v>10</v>
      </c>
      <c r="AM37" s="78"/>
      <c r="AN37" s="78"/>
      <c r="AO37" s="78"/>
      <c r="AP37" s="78"/>
      <c r="AQ37" s="10"/>
    </row>
    <row r="38" spans="1:43" x14ac:dyDescent="0.25">
      <c r="T38" s="10">
        <v>6</v>
      </c>
      <c r="U38" s="10">
        <f t="shared" si="17"/>
        <v>48</v>
      </c>
      <c r="V38" s="10">
        <f t="shared" si="18"/>
        <v>48</v>
      </c>
      <c r="W38" s="78">
        <f t="shared" si="19"/>
        <v>48</v>
      </c>
      <c r="X38" s="78">
        <f t="shared" si="20"/>
        <v>48</v>
      </c>
      <c r="Y38" s="78">
        <f t="shared" si="21"/>
        <v>48</v>
      </c>
      <c r="Z38" s="78">
        <f t="shared" si="22"/>
        <v>48</v>
      </c>
      <c r="AA38" s="78"/>
      <c r="AB38" s="78"/>
      <c r="AC38" s="78"/>
      <c r="AD38" s="78"/>
      <c r="AE38" s="78"/>
      <c r="AF38" s="78"/>
      <c r="AG38" s="78" t="s">
        <v>16</v>
      </c>
      <c r="AH38" s="78"/>
      <c r="AI38" s="79">
        <v>42183</v>
      </c>
      <c r="AJ38" s="79"/>
      <c r="AK38" s="78"/>
      <c r="AL38" s="3">
        <v>11</v>
      </c>
      <c r="AM38" s="78"/>
      <c r="AN38" s="78"/>
      <c r="AO38" s="78"/>
      <c r="AP38" s="78"/>
      <c r="AQ38" s="10"/>
    </row>
    <row r="39" spans="1:43" x14ac:dyDescent="0.25">
      <c r="T39" s="10">
        <v>7</v>
      </c>
      <c r="U39" s="10">
        <f t="shared" si="17"/>
        <v>48</v>
      </c>
      <c r="V39" s="10">
        <f t="shared" si="18"/>
        <v>48</v>
      </c>
      <c r="W39" s="78">
        <f t="shared" si="19"/>
        <v>48</v>
      </c>
      <c r="X39" s="78">
        <f t="shared" si="20"/>
        <v>48</v>
      </c>
      <c r="Y39" s="78">
        <f t="shared" si="21"/>
        <v>48</v>
      </c>
      <c r="Z39" s="78">
        <f t="shared" si="22"/>
        <v>48</v>
      </c>
      <c r="AA39" s="78"/>
      <c r="AB39" s="78"/>
      <c r="AC39" s="78"/>
      <c r="AD39" s="78"/>
      <c r="AE39" s="78"/>
      <c r="AF39" s="78"/>
      <c r="AG39" s="100">
        <f>IF(E1=AG32,AI32,IF(E1=AG33,AI33,IF(E1=AG34,AI34,IF(E1=AG35,AI35,IF(E1=AG36,AI36,IF(E1=AG37,AI37,IF(E1=AG38,AI38,AI32)))))))</f>
        <v>42177</v>
      </c>
      <c r="AH39" s="100"/>
      <c r="AI39" s="100"/>
      <c r="AJ39" s="100"/>
      <c r="AK39" s="100"/>
      <c r="AL39" s="3">
        <v>12</v>
      </c>
      <c r="AM39" s="78"/>
      <c r="AN39" s="78"/>
      <c r="AO39" s="78"/>
      <c r="AP39" s="78"/>
      <c r="AQ39" s="10"/>
    </row>
    <row r="40" spans="1:43" ht="13" x14ac:dyDescent="0.3">
      <c r="A40" s="4" t="s">
        <v>98</v>
      </c>
      <c r="T40" s="10">
        <v>8</v>
      </c>
      <c r="U40" s="10">
        <f t="shared" si="17"/>
        <v>48</v>
      </c>
      <c r="V40" s="10">
        <f t="shared" si="18"/>
        <v>48</v>
      </c>
      <c r="W40" s="78">
        <f t="shared" si="19"/>
        <v>48</v>
      </c>
      <c r="X40" s="78">
        <f t="shared" si="20"/>
        <v>48</v>
      </c>
      <c r="Y40" s="78">
        <f t="shared" si="21"/>
        <v>48</v>
      </c>
      <c r="Z40" s="78">
        <f t="shared" si="22"/>
        <v>48</v>
      </c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10"/>
    </row>
    <row r="41" spans="1:43" x14ac:dyDescent="0.25">
      <c r="A41" s="3" t="s">
        <v>99</v>
      </c>
      <c r="T41" s="10"/>
      <c r="U41" s="10"/>
      <c r="V41" s="10"/>
      <c r="W41" s="78">
        <f t="shared" si="19"/>
        <v>48</v>
      </c>
      <c r="X41" s="78">
        <f t="shared" si="20"/>
        <v>48</v>
      </c>
      <c r="Y41" s="78">
        <f t="shared" si="21"/>
        <v>48</v>
      </c>
      <c r="Z41" s="78">
        <f t="shared" si="22"/>
        <v>48</v>
      </c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10"/>
    </row>
    <row r="42" spans="1:43" ht="13" x14ac:dyDescent="0.3">
      <c r="A42" s="3" t="s">
        <v>100</v>
      </c>
      <c r="O42" s="81">
        <v>0.29166666666666669</v>
      </c>
      <c r="P42" s="81">
        <v>0.33333333333333331</v>
      </c>
      <c r="Q42" s="3">
        <f>(P42-O42)*24</f>
        <v>0.99999999999999911</v>
      </c>
      <c r="T42" s="10"/>
      <c r="U42" s="10"/>
      <c r="V42" s="10"/>
      <c r="W42" s="78">
        <f t="shared" si="19"/>
        <v>48</v>
      </c>
      <c r="X42" s="78">
        <f t="shared" si="20"/>
        <v>48</v>
      </c>
      <c r="Y42" s="78">
        <f t="shared" si="21"/>
        <v>48</v>
      </c>
      <c r="Z42" s="78">
        <f t="shared" si="22"/>
        <v>48</v>
      </c>
      <c r="AA42" s="78"/>
      <c r="AB42" s="78"/>
      <c r="AC42" s="78"/>
      <c r="AD42" s="78"/>
      <c r="AE42" s="78"/>
      <c r="AF42" s="78"/>
      <c r="AG42" s="80" t="s">
        <v>101</v>
      </c>
      <c r="AH42" s="80"/>
      <c r="AI42" s="78"/>
      <c r="AJ42" s="78"/>
      <c r="AK42" s="78"/>
      <c r="AL42" s="80" t="s">
        <v>102</v>
      </c>
      <c r="AM42" s="78"/>
      <c r="AN42" s="78"/>
      <c r="AO42" s="78"/>
      <c r="AP42" s="78"/>
      <c r="AQ42" s="10"/>
    </row>
    <row r="43" spans="1:43" x14ac:dyDescent="0.25">
      <c r="T43" s="10"/>
      <c r="U43" s="10"/>
      <c r="V43" s="10"/>
      <c r="W43" s="78">
        <f t="shared" si="19"/>
        <v>48</v>
      </c>
      <c r="X43" s="78">
        <f t="shared" si="20"/>
        <v>48</v>
      </c>
      <c r="Y43" s="78">
        <f t="shared" si="21"/>
        <v>48</v>
      </c>
      <c r="Z43" s="78">
        <f t="shared" si="22"/>
        <v>48</v>
      </c>
      <c r="AA43" s="78"/>
      <c r="AB43" s="78"/>
      <c r="AC43" s="78"/>
      <c r="AD43" s="78"/>
      <c r="AE43" s="78"/>
      <c r="AF43" s="78"/>
      <c r="AG43" s="78">
        <v>33.6</v>
      </c>
      <c r="AH43" s="78"/>
      <c r="AI43" s="78"/>
      <c r="AJ43" s="78"/>
      <c r="AK43" s="78"/>
      <c r="AL43" s="78" t="s">
        <v>103</v>
      </c>
      <c r="AM43" s="78"/>
      <c r="AN43" s="78"/>
      <c r="AO43" s="78"/>
      <c r="AP43" s="78"/>
      <c r="AQ43" s="10"/>
    </row>
    <row r="44" spans="1:43" x14ac:dyDescent="0.25">
      <c r="A44" s="3" t="s">
        <v>104</v>
      </c>
      <c r="T44" s="10"/>
      <c r="U44" s="10"/>
      <c r="V44" s="10"/>
      <c r="W44" s="78">
        <f t="shared" si="19"/>
        <v>48</v>
      </c>
      <c r="X44" s="78">
        <f t="shared" si="20"/>
        <v>48</v>
      </c>
      <c r="Y44" s="78">
        <f t="shared" si="21"/>
        <v>48</v>
      </c>
      <c r="Z44" s="78">
        <f t="shared" si="22"/>
        <v>48</v>
      </c>
      <c r="AA44" s="78"/>
      <c r="AB44" s="78"/>
      <c r="AC44" s="78"/>
      <c r="AD44" s="78"/>
      <c r="AE44" s="78"/>
      <c r="AF44" s="78"/>
      <c r="AG44" s="78">
        <v>35.5</v>
      </c>
      <c r="AH44" s="78"/>
      <c r="AI44" s="78"/>
      <c r="AJ44" s="78"/>
      <c r="AK44" s="78"/>
      <c r="AL44" s="78" t="s">
        <v>105</v>
      </c>
      <c r="AM44" s="78"/>
      <c r="AN44" s="78"/>
      <c r="AO44" s="78"/>
      <c r="AP44" s="78"/>
      <c r="AQ44" s="10"/>
    </row>
    <row r="45" spans="1:43" x14ac:dyDescent="0.25">
      <c r="A45" s="1">
        <v>11</v>
      </c>
      <c r="B45" s="5">
        <f>COUNTIF($F$6:$F$13,"&lt;" &amp; A45)+COUNTIF($K$6:$K$13,"&lt;" &amp; A45)+COUNTIF($P$6:$P$13,"&lt;" &amp; A45)+COUNTIF($U$6:$U$13,"&lt;" &amp; A45)+COUNTIF($Z$6:$Z$13,"&lt;" &amp; A45)+COUNTIF($AE$6:$AE$13,"&lt;" &amp; A45)+COUNTIF($AJ$6:$AJ$13,"&lt;" &amp; A45)</f>
        <v>0</v>
      </c>
      <c r="T45" s="10"/>
      <c r="U45" s="10"/>
      <c r="V45" s="10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>
        <v>37.5</v>
      </c>
      <c r="AH45" s="78"/>
      <c r="AI45" s="78"/>
      <c r="AJ45" s="78"/>
      <c r="AK45" s="78"/>
      <c r="AL45" s="78"/>
      <c r="AM45" s="78"/>
      <c r="AN45" s="78"/>
      <c r="AO45" s="78"/>
      <c r="AP45" s="78"/>
      <c r="AQ45" s="10"/>
    </row>
    <row r="46" spans="1:43" x14ac:dyDescent="0.25">
      <c r="T46" s="10"/>
      <c r="U46" s="10"/>
      <c r="V46" s="10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78"/>
      <c r="AQ46" s="10"/>
    </row>
    <row r="47" spans="1:43" x14ac:dyDescent="0.25">
      <c r="T47" s="10"/>
      <c r="U47" s="10"/>
      <c r="V47" s="10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10"/>
    </row>
    <row r="48" spans="1:43" x14ac:dyDescent="0.25">
      <c r="T48" s="10"/>
      <c r="U48" s="10"/>
      <c r="V48" s="10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78"/>
      <c r="AO48" s="78"/>
      <c r="AP48" s="78"/>
      <c r="AQ48" s="10"/>
    </row>
    <row r="49" spans="1:43" ht="13" x14ac:dyDescent="0.3">
      <c r="A49" s="4" t="s">
        <v>106</v>
      </c>
      <c r="T49" s="10"/>
      <c r="U49" s="10"/>
      <c r="V49" s="10"/>
      <c r="W49" s="78"/>
      <c r="X49" s="78"/>
      <c r="Y49" s="78"/>
      <c r="Z49" s="78"/>
      <c r="AA49" s="78"/>
      <c r="AB49" s="80" t="s">
        <v>107</v>
      </c>
      <c r="AC49" s="80"/>
      <c r="AD49" s="78"/>
      <c r="AE49" s="78"/>
      <c r="AF49" s="78"/>
      <c r="AG49" s="78"/>
      <c r="AH49" s="78"/>
      <c r="AI49" s="78"/>
      <c r="AJ49" s="78"/>
      <c r="AK49" s="78"/>
      <c r="AL49" s="78"/>
      <c r="AM49" s="78"/>
      <c r="AN49" s="78"/>
      <c r="AO49" s="78"/>
      <c r="AP49" s="78"/>
      <c r="AQ49" s="10"/>
    </row>
    <row r="50" spans="1:43" x14ac:dyDescent="0.25">
      <c r="A50" s="3" t="s">
        <v>108</v>
      </c>
      <c r="T50" s="10"/>
      <c r="U50" s="10"/>
      <c r="V50" s="10"/>
      <c r="W50" s="78"/>
      <c r="X50" s="78"/>
      <c r="Y50" s="78"/>
      <c r="Z50" s="78"/>
      <c r="AA50" s="78"/>
      <c r="AB50" s="78" t="s">
        <v>109</v>
      </c>
      <c r="AC50" s="78"/>
      <c r="AD50" s="78"/>
      <c r="AE50" s="78"/>
      <c r="AF50" s="78"/>
      <c r="AG50" s="78"/>
      <c r="AH50" s="78"/>
      <c r="AI50" s="78"/>
      <c r="AJ50" s="78"/>
      <c r="AK50" s="78"/>
      <c r="AL50" s="78"/>
      <c r="AM50" s="78"/>
      <c r="AN50" s="78"/>
      <c r="AO50" s="78"/>
      <c r="AP50" s="78"/>
      <c r="AQ50" s="10"/>
    </row>
    <row r="51" spans="1:43" ht="13" x14ac:dyDescent="0.3">
      <c r="A51" s="4" t="s">
        <v>110</v>
      </c>
      <c r="T51" s="10"/>
      <c r="U51" s="10"/>
      <c r="V51" s="10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  <c r="AN51" s="78"/>
      <c r="AO51" s="78"/>
      <c r="AP51" s="78"/>
      <c r="AQ51" s="10"/>
    </row>
    <row r="52" spans="1:43" x14ac:dyDescent="0.25">
      <c r="A52" s="3" t="s">
        <v>111</v>
      </c>
      <c r="T52" s="10"/>
      <c r="U52" s="10"/>
      <c r="V52" s="10"/>
      <c r="W52" s="78"/>
      <c r="X52" s="78"/>
      <c r="Y52" s="78"/>
      <c r="Z52" s="78"/>
      <c r="AA52" s="78"/>
      <c r="AB52" s="78" t="s">
        <v>112</v>
      </c>
      <c r="AC52" s="78"/>
      <c r="AD52" s="78"/>
      <c r="AE52" s="78"/>
      <c r="AF52" s="78"/>
      <c r="AG52" s="78"/>
      <c r="AH52" s="78"/>
      <c r="AI52" s="78"/>
      <c r="AJ52" s="78"/>
      <c r="AK52" s="78"/>
      <c r="AL52" s="78"/>
      <c r="AM52" s="78"/>
      <c r="AN52" s="78"/>
      <c r="AO52" s="78"/>
      <c r="AP52" s="78"/>
      <c r="AQ52" s="10"/>
    </row>
    <row r="53" spans="1:43" x14ac:dyDescent="0.25">
      <c r="A53" s="3" t="s">
        <v>113</v>
      </c>
      <c r="T53" s="10"/>
      <c r="U53" s="10"/>
      <c r="V53" s="10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78"/>
      <c r="AO53" s="78"/>
      <c r="AP53" s="78"/>
      <c r="AQ53" s="10"/>
    </row>
    <row r="54" spans="1:43" x14ac:dyDescent="0.25">
      <c r="A54" s="3" t="s">
        <v>114</v>
      </c>
      <c r="T54" s="10"/>
      <c r="U54" s="10"/>
      <c r="V54" s="10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78"/>
      <c r="AL54" s="78"/>
      <c r="AM54" s="78"/>
      <c r="AN54" s="78"/>
      <c r="AO54" s="78"/>
      <c r="AP54" s="78"/>
      <c r="AQ54" s="10"/>
    </row>
    <row r="55" spans="1:43" x14ac:dyDescent="0.25">
      <c r="T55" s="10"/>
      <c r="U55" s="10"/>
      <c r="V55" s="10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10"/>
    </row>
    <row r="56" spans="1:43" ht="13" x14ac:dyDescent="0.3">
      <c r="A56" s="4" t="s">
        <v>115</v>
      </c>
      <c r="T56" s="10"/>
      <c r="U56" s="10"/>
      <c r="V56" s="10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78"/>
      <c r="AO56" s="78"/>
      <c r="AP56" s="78"/>
      <c r="AQ56" s="10"/>
    </row>
    <row r="57" spans="1:43" x14ac:dyDescent="0.25">
      <c r="A57" s="3" t="s">
        <v>116</v>
      </c>
      <c r="T57" s="10"/>
      <c r="U57" s="10"/>
      <c r="V57" s="10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/>
      <c r="AO57" s="78"/>
      <c r="AP57" s="78"/>
      <c r="AQ57" s="10"/>
    </row>
    <row r="58" spans="1:43" ht="13" x14ac:dyDescent="0.3">
      <c r="A58" s="4" t="s">
        <v>110</v>
      </c>
      <c r="T58" s="10"/>
      <c r="U58" s="10"/>
      <c r="V58" s="10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 t="s">
        <v>117</v>
      </c>
      <c r="AH58" s="78"/>
      <c r="AI58" s="78"/>
      <c r="AJ58" s="78"/>
      <c r="AK58" s="78"/>
      <c r="AL58" s="78"/>
      <c r="AM58" s="78"/>
      <c r="AN58" s="78"/>
      <c r="AO58" s="78"/>
      <c r="AP58" s="78"/>
      <c r="AQ58" s="10"/>
    </row>
    <row r="59" spans="1:43" x14ac:dyDescent="0.25">
      <c r="A59" s="3" t="s">
        <v>111</v>
      </c>
      <c r="T59" s="10"/>
      <c r="U59" s="10"/>
      <c r="V59" s="10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>
        <v>0</v>
      </c>
      <c r="AH59" s="78">
        <v>1</v>
      </c>
      <c r="AI59" s="78">
        <v>2</v>
      </c>
      <c r="AJ59" s="78">
        <v>3</v>
      </c>
      <c r="AK59" s="78">
        <v>4</v>
      </c>
      <c r="AL59" s="78">
        <v>5</v>
      </c>
      <c r="AM59" s="78">
        <v>6</v>
      </c>
      <c r="AN59" s="78"/>
      <c r="AO59" s="78"/>
      <c r="AP59" s="78"/>
      <c r="AQ59" s="10"/>
    </row>
    <row r="60" spans="1:43" x14ac:dyDescent="0.25">
      <c r="A60" s="3" t="s">
        <v>113</v>
      </c>
      <c r="T60" s="10"/>
      <c r="U60" s="10"/>
      <c r="V60" s="10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>
        <v>7</v>
      </c>
      <c r="AH60" s="78">
        <v>8</v>
      </c>
      <c r="AI60" s="78">
        <v>9</v>
      </c>
      <c r="AJ60" s="78">
        <v>10</v>
      </c>
      <c r="AK60" s="78">
        <v>11</v>
      </c>
      <c r="AL60" s="78">
        <v>12</v>
      </c>
      <c r="AM60" s="78">
        <v>13</v>
      </c>
      <c r="AN60" s="78"/>
      <c r="AO60" s="78"/>
      <c r="AP60" s="78"/>
      <c r="AQ60" s="10"/>
    </row>
    <row r="61" spans="1:43" x14ac:dyDescent="0.25">
      <c r="T61" s="10"/>
      <c r="U61" s="10"/>
      <c r="V61" s="10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>
        <v>14</v>
      </c>
      <c r="AH61" s="78">
        <v>15</v>
      </c>
      <c r="AI61" s="78">
        <v>16</v>
      </c>
      <c r="AJ61" s="78">
        <v>17</v>
      </c>
      <c r="AK61" s="78">
        <v>18</v>
      </c>
      <c r="AL61" s="78">
        <v>19</v>
      </c>
      <c r="AM61" s="78">
        <v>20</v>
      </c>
      <c r="AN61" s="78"/>
      <c r="AO61" s="78"/>
      <c r="AP61" s="78"/>
      <c r="AQ61" s="10"/>
    </row>
    <row r="62" spans="1:43" ht="13" x14ac:dyDescent="0.3">
      <c r="A62" s="4" t="s">
        <v>118</v>
      </c>
      <c r="T62" s="10"/>
      <c r="U62" s="10"/>
      <c r="V62" s="10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>
        <v>21</v>
      </c>
      <c r="AH62" s="78">
        <v>22</v>
      </c>
      <c r="AI62" s="78">
        <v>23</v>
      </c>
      <c r="AJ62" s="78">
        <v>24</v>
      </c>
      <c r="AK62" s="78">
        <v>25</v>
      </c>
      <c r="AL62" s="78">
        <v>26</v>
      </c>
      <c r="AM62" s="78">
        <v>27</v>
      </c>
      <c r="AN62" s="78"/>
      <c r="AO62" s="78"/>
      <c r="AP62" s="78"/>
      <c r="AQ62" s="10"/>
    </row>
    <row r="63" spans="1:43" x14ac:dyDescent="0.25">
      <c r="A63" s="3" t="s">
        <v>119</v>
      </c>
      <c r="T63" s="10"/>
      <c r="U63" s="10"/>
      <c r="V63" s="10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>
        <v>28</v>
      </c>
      <c r="AH63" s="78">
        <v>29</v>
      </c>
      <c r="AI63" s="78">
        <v>30</v>
      </c>
      <c r="AJ63" s="78">
        <v>31</v>
      </c>
      <c r="AK63" s="78">
        <v>32</v>
      </c>
      <c r="AL63" s="78">
        <v>33</v>
      </c>
      <c r="AM63" s="78">
        <v>34</v>
      </c>
      <c r="AN63" s="78"/>
      <c r="AO63" s="78"/>
      <c r="AP63" s="78"/>
      <c r="AQ63" s="10"/>
    </row>
    <row r="64" spans="1:43" x14ac:dyDescent="0.25">
      <c r="A64" s="3" t="s">
        <v>120</v>
      </c>
      <c r="T64" s="10"/>
      <c r="U64" s="10"/>
      <c r="V64" s="10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>
        <v>35</v>
      </c>
      <c r="AH64" s="78">
        <v>36</v>
      </c>
      <c r="AI64" s="78">
        <v>37</v>
      </c>
      <c r="AJ64" s="78">
        <v>38</v>
      </c>
      <c r="AK64" s="78">
        <v>39</v>
      </c>
      <c r="AL64" s="78">
        <v>40</v>
      </c>
      <c r="AM64" s="78">
        <v>41</v>
      </c>
      <c r="AN64" s="78"/>
      <c r="AO64" s="78"/>
      <c r="AP64" s="78"/>
      <c r="AQ64" s="10"/>
    </row>
    <row r="65" spans="1:43" x14ac:dyDescent="0.25">
      <c r="T65" s="10"/>
      <c r="U65" s="10"/>
      <c r="V65" s="10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>
        <v>42</v>
      </c>
      <c r="AH65" s="78">
        <v>43</v>
      </c>
      <c r="AI65" s="78">
        <v>44</v>
      </c>
      <c r="AJ65" s="78">
        <v>45</v>
      </c>
      <c r="AK65" s="78">
        <v>46</v>
      </c>
      <c r="AL65" s="78">
        <v>47</v>
      </c>
      <c r="AM65" s="78">
        <v>48</v>
      </c>
      <c r="AN65" s="78"/>
      <c r="AO65" s="78"/>
      <c r="AP65" s="78"/>
      <c r="AQ65" s="10"/>
    </row>
    <row r="66" spans="1:43" ht="13" x14ac:dyDescent="0.3">
      <c r="A66" s="3" t="s">
        <v>121</v>
      </c>
      <c r="B66" s="4"/>
      <c r="T66" s="10"/>
      <c r="U66" s="10"/>
      <c r="V66" s="10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>
        <v>49</v>
      </c>
      <c r="AH66" s="78">
        <v>50</v>
      </c>
      <c r="AI66" s="78">
        <v>51</v>
      </c>
      <c r="AJ66" s="78">
        <v>52</v>
      </c>
      <c r="AK66" s="78">
        <v>53</v>
      </c>
      <c r="AL66" s="78">
        <v>54</v>
      </c>
      <c r="AM66" s="78">
        <v>55</v>
      </c>
      <c r="AN66" s="78"/>
      <c r="AO66" s="78"/>
      <c r="AP66" s="78"/>
      <c r="AQ66" s="10"/>
    </row>
    <row r="67" spans="1:43" ht="13" x14ac:dyDescent="0.3">
      <c r="A67" s="1">
        <v>9</v>
      </c>
      <c r="B67" s="5">
        <f>COUNTIF($E$6:$E$13,"&gt;" &amp; A67)+COUNTIF($J$6:$J$13,"&gt;" &amp; A67)+COUNTIF($O$6:$O$13,"&gt;" &amp; A67)+COUNTIF($T$6:$T$13,"&gt;" &amp; A67)+COUNTIF($Y$6:$Y$13,"&gt;" &amp; A67)+COUNTIF($AD$6:$AD$13,"&gt;" &amp; A67)+COUNTIF($AI$6:$AI$13,"&gt;" &amp; A67)</f>
        <v>0</v>
      </c>
      <c r="C67" s="3" t="s">
        <v>122</v>
      </c>
      <c r="E67" s="3" t="s">
        <v>123</v>
      </c>
      <c r="H67" s="1" t="s">
        <v>124</v>
      </c>
      <c r="L67" s="3" t="s">
        <v>125</v>
      </c>
      <c r="T67" s="10"/>
      <c r="U67" s="10"/>
      <c r="V67" s="10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>
        <v>56</v>
      </c>
      <c r="AH67" s="78">
        <v>57</v>
      </c>
      <c r="AI67" s="78">
        <v>58</v>
      </c>
      <c r="AJ67" s="78">
        <v>59</v>
      </c>
      <c r="AK67" s="78">
        <v>60</v>
      </c>
      <c r="AL67" s="78">
        <v>61</v>
      </c>
      <c r="AM67" s="78">
        <v>62</v>
      </c>
      <c r="AN67" s="78"/>
      <c r="AO67" s="78"/>
      <c r="AP67" s="78"/>
      <c r="AQ67" s="10"/>
    </row>
    <row r="68" spans="1:43" x14ac:dyDescent="0.25">
      <c r="T68" s="10"/>
      <c r="U68" s="10"/>
      <c r="V68" s="10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>
        <v>63</v>
      </c>
      <c r="AH68" s="78">
        <v>64</v>
      </c>
      <c r="AI68" s="78">
        <v>65</v>
      </c>
      <c r="AJ68" s="78">
        <v>66</v>
      </c>
      <c r="AK68" s="78">
        <v>67</v>
      </c>
      <c r="AL68" s="78">
        <v>68</v>
      </c>
      <c r="AM68" s="78">
        <v>69</v>
      </c>
      <c r="AN68" s="78"/>
      <c r="AO68" s="78"/>
      <c r="AP68" s="78"/>
      <c r="AQ68" s="10"/>
    </row>
    <row r="69" spans="1:43" x14ac:dyDescent="0.25">
      <c r="A69" s="3" t="s">
        <v>126</v>
      </c>
      <c r="T69" s="10"/>
      <c r="U69" s="10"/>
      <c r="V69" s="10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>
        <v>70</v>
      </c>
      <c r="AH69" s="78">
        <v>71</v>
      </c>
      <c r="AI69" s="78">
        <v>72</v>
      </c>
      <c r="AJ69" s="78">
        <v>73</v>
      </c>
      <c r="AK69" s="78">
        <v>74</v>
      </c>
      <c r="AL69" s="78">
        <v>75</v>
      </c>
      <c r="AM69" s="78">
        <v>76</v>
      </c>
      <c r="AN69" s="78"/>
      <c r="AO69" s="78"/>
      <c r="AP69" s="78"/>
      <c r="AQ69" s="10"/>
    </row>
    <row r="70" spans="1:43" x14ac:dyDescent="0.25">
      <c r="A70" s="1">
        <v>20</v>
      </c>
      <c r="B70" s="5">
        <f>COUNTIF($AK$6:$AK$13,"&gt;" &amp; A70)</f>
        <v>0</v>
      </c>
      <c r="C70" s="3" t="s">
        <v>127</v>
      </c>
      <c r="E70" s="3" t="s">
        <v>128</v>
      </c>
      <c r="H70" s="1" t="s">
        <v>124</v>
      </c>
      <c r="T70" s="10"/>
      <c r="U70" s="10"/>
      <c r="V70" s="10"/>
      <c r="W70" s="78"/>
      <c r="X70" s="78"/>
      <c r="Y70" s="78"/>
      <c r="Z70" s="78"/>
      <c r="AA70" s="78"/>
      <c r="AB70" s="78"/>
      <c r="AC70" s="78"/>
      <c r="AD70" s="78"/>
      <c r="AE70" s="78"/>
      <c r="AF70" s="78"/>
      <c r="AG70" s="78">
        <v>77</v>
      </c>
      <c r="AH70" s="78">
        <v>78</v>
      </c>
      <c r="AI70" s="78">
        <v>79</v>
      </c>
      <c r="AJ70" s="78">
        <v>80</v>
      </c>
      <c r="AK70" s="78">
        <v>81</v>
      </c>
      <c r="AL70" s="78">
        <v>82</v>
      </c>
      <c r="AM70" s="78">
        <v>83</v>
      </c>
      <c r="AN70" s="78"/>
      <c r="AO70" s="78"/>
      <c r="AP70" s="78"/>
      <c r="AQ70" s="10"/>
    </row>
    <row r="71" spans="1:43" x14ac:dyDescent="0.25">
      <c r="W71" s="78"/>
      <c r="X71" s="78"/>
      <c r="Y71" s="78"/>
      <c r="Z71" s="78"/>
      <c r="AA71" s="78"/>
      <c r="AB71" s="78"/>
      <c r="AC71" s="78"/>
      <c r="AD71" s="78"/>
      <c r="AE71" s="78"/>
      <c r="AF71" s="78"/>
      <c r="AG71" s="78">
        <v>84</v>
      </c>
      <c r="AH71" s="78">
        <v>85</v>
      </c>
      <c r="AI71" s="78">
        <v>86</v>
      </c>
      <c r="AJ71" s="78">
        <v>87</v>
      </c>
      <c r="AK71" s="78">
        <v>88</v>
      </c>
      <c r="AL71" s="78">
        <v>89</v>
      </c>
      <c r="AM71" s="78">
        <v>90</v>
      </c>
      <c r="AN71" s="78"/>
      <c r="AO71" s="78"/>
      <c r="AP71" s="78"/>
    </row>
    <row r="72" spans="1:43" x14ac:dyDescent="0.25"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  <c r="AL72" s="78"/>
      <c r="AM72" s="78"/>
      <c r="AN72" s="78"/>
      <c r="AO72" s="78"/>
      <c r="AP72" s="78"/>
    </row>
    <row r="73" spans="1:43" x14ac:dyDescent="0.25">
      <c r="W73" s="78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8"/>
      <c r="AK73" s="78"/>
      <c r="AL73" s="78"/>
      <c r="AM73" s="78"/>
      <c r="AN73" s="78"/>
      <c r="AO73" s="78"/>
      <c r="AP73" s="78"/>
    </row>
    <row r="74" spans="1:43" x14ac:dyDescent="0.25"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78"/>
      <c r="AO74" s="78"/>
      <c r="AP74" s="78"/>
    </row>
    <row r="75" spans="1:43" x14ac:dyDescent="0.25"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  <c r="AK75" s="78"/>
      <c r="AL75" s="78"/>
      <c r="AM75" s="78"/>
      <c r="AN75" s="78"/>
      <c r="AO75" s="78"/>
      <c r="AP75" s="78"/>
    </row>
    <row r="76" spans="1:43" x14ac:dyDescent="0.25">
      <c r="W76" s="78"/>
      <c r="X76" s="78"/>
      <c r="Y76" s="78"/>
      <c r="Z76" s="78"/>
      <c r="AA76" s="78"/>
      <c r="AB76" s="78"/>
      <c r="AC76" s="78"/>
      <c r="AD76" s="78"/>
      <c r="AE76" s="78"/>
      <c r="AF76" s="78"/>
      <c r="AG76" s="78"/>
      <c r="AH76" s="78"/>
      <c r="AI76" s="78"/>
      <c r="AJ76" s="78"/>
      <c r="AK76" s="78"/>
      <c r="AL76" s="78"/>
      <c r="AM76" s="78"/>
      <c r="AN76" s="78"/>
      <c r="AO76" s="78"/>
      <c r="AP76" s="78"/>
    </row>
    <row r="77" spans="1:43" x14ac:dyDescent="0.25"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78"/>
      <c r="AK77" s="78"/>
      <c r="AL77" s="78"/>
      <c r="AM77" s="78"/>
      <c r="AN77" s="78"/>
      <c r="AO77" s="78"/>
      <c r="AP77" s="78"/>
    </row>
    <row r="78" spans="1:43" x14ac:dyDescent="0.25">
      <c r="W78" s="78"/>
      <c r="X78" s="78"/>
      <c r="Y78" s="78"/>
      <c r="Z78" s="78"/>
      <c r="AA78" s="78"/>
      <c r="AB78" s="78"/>
      <c r="AC78" s="78"/>
      <c r="AD78" s="78"/>
      <c r="AE78" s="78"/>
      <c r="AF78" s="78"/>
      <c r="AG78" s="78"/>
      <c r="AH78" s="78"/>
      <c r="AI78" s="78"/>
      <c r="AJ78" s="78"/>
      <c r="AK78" s="78"/>
      <c r="AL78" s="78"/>
      <c r="AM78" s="78"/>
      <c r="AN78" s="78"/>
      <c r="AO78" s="78"/>
      <c r="AP78" s="78"/>
    </row>
    <row r="79" spans="1:43" x14ac:dyDescent="0.25">
      <c r="W79" s="78"/>
      <c r="X79" s="78"/>
      <c r="Y79" s="78"/>
      <c r="Z79" s="78"/>
      <c r="AA79" s="78"/>
      <c r="AB79" s="78"/>
      <c r="AC79" s="78"/>
      <c r="AD79" s="78"/>
      <c r="AE79" s="78"/>
      <c r="AF79" s="78"/>
      <c r="AG79" s="78"/>
      <c r="AH79" s="78"/>
      <c r="AI79" s="78"/>
      <c r="AJ79" s="78"/>
      <c r="AK79" s="78"/>
      <c r="AL79" s="78"/>
      <c r="AM79" s="78"/>
      <c r="AN79" s="78"/>
      <c r="AO79" s="78"/>
      <c r="AP79" s="78"/>
    </row>
    <row r="80" spans="1:43" x14ac:dyDescent="0.25">
      <c r="W80" s="78"/>
      <c r="X80" s="78"/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  <c r="AJ80" s="78"/>
      <c r="AK80" s="78"/>
      <c r="AL80" s="78"/>
      <c r="AM80" s="78"/>
      <c r="AN80" s="78"/>
      <c r="AO80" s="78"/>
      <c r="AP80" s="78"/>
    </row>
    <row r="81" spans="1:42" x14ac:dyDescent="0.25"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  <c r="AJ81" s="78"/>
      <c r="AK81" s="78"/>
      <c r="AL81" s="78"/>
      <c r="AM81" s="78"/>
      <c r="AN81" s="78"/>
      <c r="AO81" s="78"/>
      <c r="AP81" s="78"/>
    </row>
    <row r="82" spans="1:42" x14ac:dyDescent="0.25"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8"/>
      <c r="AH82" s="78"/>
      <c r="AI82" s="78"/>
      <c r="AJ82" s="78"/>
      <c r="AK82" s="78"/>
      <c r="AL82" s="78"/>
      <c r="AM82" s="78"/>
      <c r="AN82" s="78"/>
      <c r="AO82" s="78"/>
      <c r="AP82" s="78"/>
    </row>
    <row r="83" spans="1:42" x14ac:dyDescent="0.25"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</row>
    <row r="84" spans="1:42" x14ac:dyDescent="0.25"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</row>
    <row r="85" spans="1:42" x14ac:dyDescent="0.25"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</row>
    <row r="86" spans="1:42" x14ac:dyDescent="0.25"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8"/>
      <c r="AO86" s="78"/>
      <c r="AP86" s="78"/>
    </row>
    <row r="87" spans="1:42" x14ac:dyDescent="0.25"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  <c r="AN87" s="78"/>
      <c r="AO87" s="78"/>
      <c r="AP87" s="78"/>
    </row>
    <row r="95" spans="1:42" ht="13" x14ac:dyDescent="0.3">
      <c r="A95" s="4"/>
    </row>
  </sheetData>
  <sheetProtection algorithmName="SHA-512" hashValue="Dlkvm98tRARuPvLItCAwg8WlPbj74Yv0DEpFDTsSG7Gy2YqGbQ/CyaINjOJClnXij5pJOJNo21xPwNPma7q2VQ==" saltValue="SayqjsFNpY5c/vVteYTM1Q==" spinCount="100000" sheet="1" objects="1" scenarios="1"/>
  <mergeCells count="27">
    <mergeCell ref="A1:C1"/>
    <mergeCell ref="H1:L1"/>
    <mergeCell ref="A2:C2"/>
    <mergeCell ref="A3:C3"/>
    <mergeCell ref="B4:F4"/>
    <mergeCell ref="G4:J4"/>
    <mergeCell ref="L4:O4"/>
    <mergeCell ref="I2:J2"/>
    <mergeCell ref="Q4:T4"/>
    <mergeCell ref="V4:Y4"/>
    <mergeCell ref="AA4:AD4"/>
    <mergeCell ref="AF4:AI4"/>
    <mergeCell ref="AG39:AK39"/>
    <mergeCell ref="A28:C28"/>
    <mergeCell ref="A29:C29"/>
    <mergeCell ref="A30:C30"/>
    <mergeCell ref="D32:E32"/>
    <mergeCell ref="H32:I32"/>
    <mergeCell ref="A37:C37"/>
    <mergeCell ref="D31:E31"/>
    <mergeCell ref="H31:I31"/>
    <mergeCell ref="A36:E36"/>
    <mergeCell ref="N32:O32"/>
    <mergeCell ref="A33:C33"/>
    <mergeCell ref="G33:H33"/>
    <mergeCell ref="A34:B34"/>
    <mergeCell ref="N31:O31"/>
  </mergeCells>
  <conditionalFormatting sqref="A6:A17">
    <cfRule type="cellIs" dxfId="986" priority="373" operator="equal">
      <formula>0</formula>
    </cfRule>
  </conditionalFormatting>
  <conditionalFormatting sqref="A37">
    <cfRule type="cellIs" dxfId="985" priority="253" operator="notEqual">
      <formula>$E$2</formula>
    </cfRule>
    <cfRule type="cellIs" dxfId="984" priority="254" operator="equal">
      <formula>$E$2</formula>
    </cfRule>
  </conditionalFormatting>
  <conditionalFormatting sqref="A32:D32 F32:H32 C34">
    <cfRule type="cellIs" dxfId="983" priority="251" operator="notEqual">
      <formula>$E$3</formula>
    </cfRule>
    <cfRule type="cellIs" dxfId="982" priority="252" operator="equal">
      <formula>$E$3</formula>
    </cfRule>
  </conditionalFormatting>
  <conditionalFormatting sqref="B6:D17">
    <cfRule type="expression" dxfId="981" priority="112">
      <formula>$A6=0</formula>
    </cfRule>
  </conditionalFormatting>
  <conditionalFormatting sqref="E6:E17">
    <cfRule type="expression" dxfId="980" priority="116">
      <formula>AND($H$67="ja",E6&gt;$A$67)</formula>
    </cfRule>
    <cfRule type="cellIs" dxfId="979" priority="117" operator="greaterThanOrEqual">
      <formula>0</formula>
    </cfRule>
  </conditionalFormatting>
  <conditionalFormatting sqref="F6:F17">
    <cfRule type="cellIs" dxfId="978" priority="31" operator="lessThan">
      <formula>$A$45</formula>
    </cfRule>
    <cfRule type="cellIs" dxfId="977" priority="32" operator="equal">
      <formula>0</formula>
    </cfRule>
    <cfRule type="cellIs" dxfId="976" priority="33" operator="notEqual">
      <formula>0</formula>
    </cfRule>
  </conditionalFormatting>
  <conditionalFormatting sqref="G6:I17">
    <cfRule type="expression" dxfId="975" priority="52">
      <formula>$A6=0</formula>
    </cfRule>
  </conditionalFormatting>
  <conditionalFormatting sqref="J6:J17">
    <cfRule type="expression" dxfId="974" priority="104">
      <formula>AND($H$67="ja",J6&gt;$A$67)</formula>
    </cfRule>
    <cfRule type="cellIs" dxfId="973" priority="105" operator="greaterThanOrEqual">
      <formula>0</formula>
    </cfRule>
  </conditionalFormatting>
  <conditionalFormatting sqref="J32:N32">
    <cfRule type="cellIs" dxfId="972" priority="249" operator="notEqual">
      <formula>$E$3</formula>
    </cfRule>
    <cfRule type="cellIs" dxfId="971" priority="250" operator="equal">
      <formula>$E$3</formula>
    </cfRule>
  </conditionalFormatting>
  <conditionalFormatting sqref="K6:K17">
    <cfRule type="cellIs" dxfId="970" priority="28" operator="lessThan">
      <formula>$A$45</formula>
    </cfRule>
    <cfRule type="cellIs" dxfId="969" priority="29" operator="equal">
      <formula>0</formula>
    </cfRule>
    <cfRule type="cellIs" dxfId="968" priority="30" operator="notEqual">
      <formula>0</formula>
    </cfRule>
  </conditionalFormatting>
  <conditionalFormatting sqref="L6:N17">
    <cfRule type="expression" dxfId="967" priority="48">
      <formula>$A6=0</formula>
    </cfRule>
  </conditionalFormatting>
  <conditionalFormatting sqref="O6:O17">
    <cfRule type="cellIs" dxfId="966" priority="97" operator="greaterThanOrEqual">
      <formula>0</formula>
    </cfRule>
    <cfRule type="expression" dxfId="965" priority="96">
      <formula>AND($H$67="ja",O6&gt;$A$67)</formula>
    </cfRule>
  </conditionalFormatting>
  <conditionalFormatting sqref="P6:P17">
    <cfRule type="cellIs" dxfId="964" priority="22" operator="lessThan">
      <formula>$A$45</formula>
    </cfRule>
    <cfRule type="cellIs" dxfId="963" priority="23" operator="equal">
      <formula>0</formula>
    </cfRule>
    <cfRule type="cellIs" dxfId="962" priority="24" operator="notEqual">
      <formula>0</formula>
    </cfRule>
  </conditionalFormatting>
  <conditionalFormatting sqref="Q6:S17">
    <cfRule type="expression" dxfId="961" priority="47">
      <formula>$A6=0</formula>
    </cfRule>
  </conditionalFormatting>
  <conditionalFormatting sqref="T6:T17">
    <cfRule type="cellIs" dxfId="960" priority="89" operator="greaterThanOrEqual">
      <formula>0</formula>
    </cfRule>
    <cfRule type="expression" dxfId="959" priority="88">
      <formula>AND($H$67="ja",T6&gt;$A$67)</formula>
    </cfRule>
  </conditionalFormatting>
  <conditionalFormatting sqref="U6:U17">
    <cfRule type="cellIs" dxfId="958" priority="17" operator="equal">
      <formula>0</formula>
    </cfRule>
    <cfRule type="cellIs" dxfId="957" priority="16" operator="lessThan">
      <formula>$A$45</formula>
    </cfRule>
    <cfRule type="cellIs" dxfId="956" priority="18" operator="notEqual">
      <formula>0</formula>
    </cfRule>
  </conditionalFormatting>
  <conditionalFormatting sqref="V6:X17">
    <cfRule type="expression" dxfId="955" priority="46">
      <formula>$A6=0</formula>
    </cfRule>
  </conditionalFormatting>
  <conditionalFormatting sqref="Y6:Y17 AD6:AD17 AI6:AI17">
    <cfRule type="expression" dxfId="954" priority="59">
      <formula>AND($H$67="ja",Y6&gt;$A$67)</formula>
    </cfRule>
    <cfRule type="cellIs" dxfId="953" priority="60" operator="greaterThanOrEqual">
      <formula>0</formula>
    </cfRule>
  </conditionalFormatting>
  <conditionalFormatting sqref="Z6:Z17">
    <cfRule type="cellIs" dxfId="952" priority="11" operator="equal">
      <formula>0</formula>
    </cfRule>
    <cfRule type="cellIs" dxfId="951" priority="10" operator="lessThan">
      <formula>$A$45</formula>
    </cfRule>
    <cfRule type="cellIs" dxfId="950" priority="12" operator="notEqual">
      <formula>0</formula>
    </cfRule>
  </conditionalFormatting>
  <conditionalFormatting sqref="AA6:AC17">
    <cfRule type="expression" dxfId="949" priority="43">
      <formula>$A6=0</formula>
    </cfRule>
  </conditionalFormatting>
  <conditionalFormatting sqref="AE6:AE17">
    <cfRule type="cellIs" dxfId="948" priority="5" operator="equal">
      <formula>0</formula>
    </cfRule>
    <cfRule type="cellIs" dxfId="947" priority="4" operator="lessThan">
      <formula>$A$45</formula>
    </cfRule>
    <cfRule type="cellIs" dxfId="946" priority="6" operator="notEqual">
      <formula>0</formula>
    </cfRule>
  </conditionalFormatting>
  <conditionalFormatting sqref="AF6:AH17">
    <cfRule type="expression" dxfId="945" priority="34">
      <formula>$A6=0</formula>
    </cfRule>
  </conditionalFormatting>
  <conditionalFormatting sqref="AJ6:AJ17">
    <cfRule type="cellIs" dxfId="944" priority="3" operator="notEqual">
      <formula>0</formula>
    </cfRule>
    <cfRule type="cellIs" dxfId="943" priority="2" operator="equal">
      <formula>0</formula>
    </cfRule>
    <cfRule type="cellIs" dxfId="942" priority="1" operator="lessThan">
      <formula>$A$45</formula>
    </cfRule>
  </conditionalFormatting>
  <conditionalFormatting sqref="AK6:AK17">
    <cfRule type="expression" dxfId="941" priority="58">
      <formula>AND($H$70="ja",AK6&gt;$A$70)</formula>
    </cfRule>
    <cfRule type="cellIs" dxfId="940" priority="61" operator="greaterThanOrEqual">
      <formula>0</formula>
    </cfRule>
  </conditionalFormatting>
  <dataValidations count="1">
    <dataValidation type="list" allowBlank="1" showInputMessage="1" showErrorMessage="1" sqref="H67 H70" xr:uid="{00000000-0002-0000-0600-000000000000}">
      <formula1>Ja_og_nei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/>
  <dimension ref="A1:AQ95"/>
  <sheetViews>
    <sheetView zoomScale="85" zoomScaleNormal="85" workbookViewId="0">
      <pane ySplit="24" topLeftCell="A25" activePane="bottomLeft" state="frozen"/>
      <selection pane="bottomLeft" activeCell="B11" sqref="B11"/>
    </sheetView>
  </sheetViews>
  <sheetFormatPr defaultColWidth="9.08984375" defaultRowHeight="12.5" x14ac:dyDescent="0.25"/>
  <cols>
    <col min="1" max="1" width="10.7265625" style="3" customWidth="1"/>
    <col min="2" max="2" width="7.6328125" style="3" customWidth="1"/>
    <col min="3" max="3" width="7.81640625" style="3" customWidth="1"/>
    <col min="4" max="4" width="4.36328125" style="3" bestFit="1" customWidth="1"/>
    <col min="5" max="6" width="10" style="3" customWidth="1"/>
    <col min="7" max="7" width="7" style="3" customWidth="1"/>
    <col min="8" max="8" width="7.6328125" style="3" customWidth="1"/>
    <col min="9" max="9" width="4.36328125" style="3" bestFit="1" customWidth="1"/>
    <col min="10" max="11" width="10" style="3" customWidth="1"/>
    <col min="12" max="12" width="7.26953125" style="3" customWidth="1"/>
    <col min="13" max="13" width="7.7265625" style="3" customWidth="1"/>
    <col min="14" max="14" width="4.36328125" style="3" bestFit="1" customWidth="1"/>
    <col min="15" max="15" width="10.08984375" style="3" bestFit="1" customWidth="1"/>
    <col min="16" max="16" width="10.08984375" style="3" customWidth="1"/>
    <col min="17" max="17" width="7.6328125" style="3" customWidth="1"/>
    <col min="18" max="18" width="7.7265625" style="3" customWidth="1"/>
    <col min="19" max="19" width="4.36328125" style="3" bestFit="1" customWidth="1"/>
    <col min="20" max="20" width="10.08984375" style="3" bestFit="1" customWidth="1"/>
    <col min="21" max="21" width="10.08984375" style="3" customWidth="1"/>
    <col min="22" max="22" width="8.36328125" style="3" customWidth="1"/>
    <col min="23" max="23" width="8.81640625" style="3" customWidth="1"/>
    <col min="24" max="24" width="4.36328125" style="3" bestFit="1" customWidth="1"/>
    <col min="25" max="26" width="10" style="3" customWidth="1"/>
    <col min="27" max="28" width="7.81640625" style="3" customWidth="1"/>
    <col min="29" max="29" width="4.36328125" style="3" bestFit="1" customWidth="1"/>
    <col min="30" max="31" width="9.7265625" style="3" customWidth="1"/>
    <col min="32" max="32" width="6.81640625" style="3" customWidth="1"/>
    <col min="33" max="33" width="7.6328125" style="3" customWidth="1"/>
    <col min="34" max="34" width="4.36328125" style="3" bestFit="1" customWidth="1"/>
    <col min="35" max="36" width="9.6328125" style="3" customWidth="1"/>
    <col min="37" max="37" width="15.6328125" style="3" bestFit="1" customWidth="1"/>
    <col min="38" max="16384" width="9.08984375" style="3"/>
  </cols>
  <sheetData>
    <row r="1" spans="1:39" ht="13" x14ac:dyDescent="0.3">
      <c r="A1" s="98" t="s">
        <v>66</v>
      </c>
      <c r="B1" s="98"/>
      <c r="C1" s="98"/>
      <c r="D1" s="88"/>
      <c r="E1" s="5" t="str">
        <f>Vaktplan!G38</f>
        <v>mandag</v>
      </c>
      <c r="H1" s="98" t="s">
        <v>67</v>
      </c>
      <c r="I1" s="98"/>
      <c r="J1" s="98"/>
      <c r="K1" s="98"/>
      <c r="L1" s="98"/>
      <c r="M1" s="5">
        <f>Vaktplan!AJ46</f>
        <v>12</v>
      </c>
    </row>
    <row r="2" spans="1:39" ht="13" x14ac:dyDescent="0.3">
      <c r="A2" s="98" t="s">
        <v>36</v>
      </c>
      <c r="B2" s="98"/>
      <c r="C2" s="98"/>
      <c r="D2" s="88"/>
      <c r="E2" s="8">
        <f>Vaktplan!AM46</f>
        <v>0</v>
      </c>
      <c r="I2" s="106"/>
      <c r="J2" s="106"/>
    </row>
    <row r="3" spans="1:39" ht="13" x14ac:dyDescent="0.3">
      <c r="A3" s="98" t="s">
        <v>68</v>
      </c>
      <c r="B3" s="98"/>
      <c r="C3" s="98"/>
      <c r="D3" s="88"/>
      <c r="E3" s="5">
        <f>Vaktplan!AQ46</f>
        <v>0</v>
      </c>
      <c r="F3" s="4" t="s">
        <v>69</v>
      </c>
    </row>
    <row r="4" spans="1:39" ht="13" x14ac:dyDescent="0.3">
      <c r="A4" s="89" t="s">
        <v>70</v>
      </c>
      <c r="B4" s="103" t="str">
        <f>TEXT(AG39,"DDDD")</f>
        <v>Monday</v>
      </c>
      <c r="C4" s="104"/>
      <c r="D4" s="104"/>
      <c r="E4" s="104"/>
      <c r="F4" s="105"/>
      <c r="G4" s="102" t="str">
        <f>TEXT($AG$39+1,"DDDD")</f>
        <v>Tuesday</v>
      </c>
      <c r="H4" s="102"/>
      <c r="I4" s="102"/>
      <c r="J4" s="102"/>
      <c r="K4" s="89"/>
      <c r="L4" s="102" t="str">
        <f>TEXT($AG$39+2,"DDDD")</f>
        <v>Wednesday</v>
      </c>
      <c r="M4" s="102"/>
      <c r="N4" s="102"/>
      <c r="O4" s="102"/>
      <c r="P4" s="89"/>
      <c r="Q4" s="102" t="str">
        <f>TEXT($AG$39+3,"DDDD")</f>
        <v>Thursday</v>
      </c>
      <c r="R4" s="102"/>
      <c r="S4" s="102"/>
      <c r="T4" s="102"/>
      <c r="U4" s="89"/>
      <c r="V4" s="102" t="str">
        <f>TEXT($AG$39+4,"DDDD")</f>
        <v>Friday</v>
      </c>
      <c r="W4" s="102"/>
      <c r="X4" s="102"/>
      <c r="Y4" s="102"/>
      <c r="Z4" s="89"/>
      <c r="AA4" s="102" t="str">
        <f>TEXT($AG$39+5,"DDDD")</f>
        <v>Saturday</v>
      </c>
      <c r="AB4" s="102"/>
      <c r="AC4" s="102"/>
      <c r="AD4" s="102"/>
      <c r="AE4" s="89"/>
      <c r="AF4" s="102" t="str">
        <f>TEXT($AG$39+6,"DDDD")</f>
        <v>Sunday</v>
      </c>
      <c r="AG4" s="102"/>
      <c r="AH4" s="102"/>
      <c r="AI4" s="102"/>
      <c r="AJ4" s="89"/>
      <c r="AK4" s="7" t="s">
        <v>71</v>
      </c>
    </row>
    <row r="5" spans="1:39" x14ac:dyDescent="0.25">
      <c r="A5" s="6"/>
      <c r="B5" s="6" t="s">
        <v>72</v>
      </c>
      <c r="C5" s="6" t="s">
        <v>73</v>
      </c>
      <c r="D5" s="6" t="s">
        <v>55</v>
      </c>
      <c r="E5" s="6" t="s">
        <v>74</v>
      </c>
      <c r="F5" s="6" t="s">
        <v>75</v>
      </c>
      <c r="G5" s="6" t="s">
        <v>72</v>
      </c>
      <c r="H5" s="6" t="s">
        <v>73</v>
      </c>
      <c r="I5" s="6" t="s">
        <v>55</v>
      </c>
      <c r="J5" s="6" t="s">
        <v>74</v>
      </c>
      <c r="K5" s="6" t="s">
        <v>75</v>
      </c>
      <c r="L5" s="6" t="s">
        <v>72</v>
      </c>
      <c r="M5" s="6" t="s">
        <v>73</v>
      </c>
      <c r="N5" s="6" t="s">
        <v>55</v>
      </c>
      <c r="O5" s="6" t="s">
        <v>74</v>
      </c>
      <c r="P5" s="6" t="s">
        <v>75</v>
      </c>
      <c r="Q5" s="6" t="s">
        <v>72</v>
      </c>
      <c r="R5" s="6" t="s">
        <v>73</v>
      </c>
      <c r="S5" s="6" t="s">
        <v>55</v>
      </c>
      <c r="T5" s="6" t="s">
        <v>74</v>
      </c>
      <c r="U5" s="6" t="s">
        <v>75</v>
      </c>
      <c r="V5" s="6" t="s">
        <v>72</v>
      </c>
      <c r="W5" s="6" t="s">
        <v>73</v>
      </c>
      <c r="X5" s="6" t="s">
        <v>55</v>
      </c>
      <c r="Y5" s="6" t="s">
        <v>74</v>
      </c>
      <c r="Z5" s="6" t="s">
        <v>75</v>
      </c>
      <c r="AA5" s="6" t="s">
        <v>72</v>
      </c>
      <c r="AB5" s="6" t="s">
        <v>73</v>
      </c>
      <c r="AC5" s="6" t="s">
        <v>55</v>
      </c>
      <c r="AD5" s="6" t="s">
        <v>74</v>
      </c>
      <c r="AE5" s="6" t="s">
        <v>75</v>
      </c>
      <c r="AF5" s="6" t="s">
        <v>72</v>
      </c>
      <c r="AG5" s="6" t="s">
        <v>73</v>
      </c>
      <c r="AH5" s="6" t="s">
        <v>55</v>
      </c>
      <c r="AI5" s="6" t="s">
        <v>74</v>
      </c>
      <c r="AJ5" s="6" t="s">
        <v>75</v>
      </c>
      <c r="AK5" s="6"/>
    </row>
    <row r="6" spans="1:39" ht="13" x14ac:dyDescent="0.25">
      <c r="A6" s="7">
        <f>IF(M1&gt;=1,1,0)</f>
        <v>1</v>
      </c>
      <c r="B6" s="77">
        <f>IFERROR(VLOOKUP(Vaktplan!$A$46,Vaktplan!$A$4:$CL$35,87-AH59,FALSE),0)</f>
        <v>0</v>
      </c>
      <c r="C6" s="77">
        <f>IFERROR(VLOOKUP(Vaktplan!$A$46,Vaktplan!$A$4:$CL$35,87-AG59,FALSE),0)</f>
        <v>0</v>
      </c>
      <c r="D6" s="9">
        <f>IFERROR(VLOOKUP(Vaktplan!$A$46,Vaktplan!$A$4:$CL$35,89-AG59,FALSE),0)</f>
        <v>0</v>
      </c>
      <c r="E6" s="9">
        <f>IF(AND(B6=0,C6=0),0,IF(B6&lt;C6,((C6-B6)*24)-D6,(((1-B6)+C6)*24)-D6))</f>
        <v>0</v>
      </c>
      <c r="F6" s="9">
        <f>IF(AND(C6=0,G6=0),24,IF(C6=0,12+(G6*24),IF(C6&lt;G6,((G6-C6)*24),IF(G6=0,(1-C6+0.5)*24,((1-C6)+G6)*24))))</f>
        <v>24</v>
      </c>
      <c r="G6" s="77">
        <f>IFERROR(VLOOKUP(Vaktplan!$A$46,Vaktplan!$B$4:$CL$35,86-AH59,FALSE),0)</f>
        <v>0</v>
      </c>
      <c r="H6" s="77">
        <f>IFERROR(VLOOKUP(Vaktplan!$A$46,Vaktplan!$B$4:$CL$35,86-AG59,FALSE),0)</f>
        <v>0</v>
      </c>
      <c r="I6" s="9">
        <f>IFERROR(VLOOKUP(Vaktplan!$A$46,Vaktplan!$B$4:$CL$35,89-$AH59,FALSE),0)</f>
        <v>0</v>
      </c>
      <c r="J6" s="9">
        <f>IF(AND(G6=0,H6=0),0,IF(G6&lt;H6,((H6-G6)*24)-I6,(((1-G6)+H6)*24)-I6))</f>
        <v>0</v>
      </c>
      <c r="K6" s="9">
        <f>IF(AND(H6=0,L6=0),24,IF(H6=0,12+(L6*24),IF(H6&lt;L6,((L6-H6)*24),IF(L6=0,(1-H6+0.5)*24,((1-H6)+L6)*24))))</f>
        <v>24</v>
      </c>
      <c r="L6" s="77">
        <f>IFERROR(VLOOKUP(Vaktplan!$A$46,Vaktplan!$C$4:$CL$35,86-AI59,FALSE),0)</f>
        <v>0</v>
      </c>
      <c r="M6" s="77">
        <f>IFERROR(VLOOKUP(Vaktplan!$A$46,Vaktplan!$C$4:$CL$35,86-AH59,FALSE),0)</f>
        <v>0</v>
      </c>
      <c r="N6" s="9">
        <f>IFERROR(VLOOKUP(Vaktplan!$A$46,Vaktplan!$C$4:$CL$35,89-$AI59,FALSE),0)</f>
        <v>0</v>
      </c>
      <c r="O6" s="9">
        <f>IF(AND(L6=0,M6=0),0,IF(L6&lt;M6,((M6-L6)*24)-N6,(((1-L6)+M6)*24)-N6))</f>
        <v>0</v>
      </c>
      <c r="P6" s="9">
        <f>IF(AND(M6=0,Q6=0),24,IF(M6=0,12+(Q6*24),IF(M6&lt;Q6,((Q6-M6)*24),IF(Q6=0,(1-M6+0.5)*24,((1-M6)+Q6)*24))))</f>
        <v>24</v>
      </c>
      <c r="Q6" s="77">
        <f>IFERROR(VLOOKUP(Vaktplan!$A$46,Vaktplan!$D$4:$CL$35,86-AJ59,FALSE),0)</f>
        <v>0</v>
      </c>
      <c r="R6" s="77">
        <f>IFERROR(VLOOKUP(Vaktplan!$A$46,Vaktplan!$D$4:$CL$35,86-AI59,FALSE),0)</f>
        <v>0</v>
      </c>
      <c r="S6" s="9">
        <f>IFERROR(VLOOKUP(Vaktplan!$A$46,Vaktplan!$D$4:$CL$35,89-$AJ59,FALSE),0)</f>
        <v>0</v>
      </c>
      <c r="T6" s="9">
        <f t="shared" ref="T6:T17" si="0">IF(AND(Q6=0,R6=0),0,IF(Q6&lt;R6,((R6-Q6)*24)-S6,(((1-Q6)+R6)*24)-S6))</f>
        <v>0</v>
      </c>
      <c r="U6" s="9">
        <f>IF(AND(R6=0,V6=0),24,IF(R6=0,12+(V6*24),IF(R6&lt;V6,((V6-R6)*24),IF(V6=0,(1-R6+0.5)*24,((1-R6)+V6)*24))))</f>
        <v>24</v>
      </c>
      <c r="V6" s="77">
        <f>IFERROR(VLOOKUP(Vaktplan!$A$46,Vaktplan!$E$4:$CL$35,86-AK59,FALSE),0)</f>
        <v>0</v>
      </c>
      <c r="W6" s="77">
        <f>IFERROR(VLOOKUP(Vaktplan!$A$46,Vaktplan!$E$4:$CL$35,86-AJ59,FALSE),0)</f>
        <v>0</v>
      </c>
      <c r="X6" s="9">
        <f>IFERROR(VLOOKUP(Vaktplan!$A$46,Vaktplan!$E$4:$CL$35,89-$AK59,FALSE),0)</f>
        <v>0</v>
      </c>
      <c r="Y6" s="9">
        <f>IF(AND(V6=0,W6=0),0,IF(V6&lt;W6,((W6-V6)*24)-X6,(((1-V6)+W6)*24)-X6))</f>
        <v>0</v>
      </c>
      <c r="Z6" s="9">
        <f>IF(AND(W6=0,AA6=0),24,IF(W6=0,12+(AA6*24),IF(W6&lt;AA6,((AA6-W6)*24),IF(AA6=0,(1-W6+0.5)*24,((1-W6)+AA6)*24))))</f>
        <v>24</v>
      </c>
      <c r="AA6" s="77">
        <f>IFERROR(VLOOKUP(Vaktplan!$A$46,Vaktplan!$F$4:$CL$35,86-AL59,FALSE),0)</f>
        <v>0</v>
      </c>
      <c r="AB6" s="77">
        <f>IFERROR(VLOOKUP(Vaktplan!$A$46,Vaktplan!$F$4:$CL$35,86-AK59,FALSE),0)</f>
        <v>0</v>
      </c>
      <c r="AC6" s="9">
        <f>IFERROR(VLOOKUP(Vaktplan!$A$46,Vaktplan!$F$4:$CL$35,89-$AL59,FALSE),0)</f>
        <v>0</v>
      </c>
      <c r="AD6" s="9">
        <f>IF(AND(AA6=0,AB6=0),0,IF(AA6&lt;AB6,((AB6-AA6)*24)-AC6,(((1-AA6)+AB6)*24)-AC6))</f>
        <v>0</v>
      </c>
      <c r="AE6" s="9">
        <f>IF(AND(AB6=0,AF6=0),24,IF(AB6=0,12+(AF6*24),IF(AB6&lt;AF6,((AF6-AB6)*24),IF(AF6=0,(1-AB6+0.5)*24,((1-AB6)+AF6)*24))))</f>
        <v>24</v>
      </c>
      <c r="AF6" s="77">
        <f>IFERROR(VLOOKUP(Vaktplan!$A$46,Vaktplan!$G$4:$CL$35,86-AM59,FALSE),0)</f>
        <v>0</v>
      </c>
      <c r="AG6" s="77">
        <f>IFERROR(VLOOKUP(Vaktplan!$A$46,Vaktplan!$G$4:$CL$35,86-AL59,FALSE),0)</f>
        <v>0</v>
      </c>
      <c r="AH6" s="9">
        <f>IFERROR(VLOOKUP(Vaktplan!$A$46,Vaktplan!$G$4:$CL$35,89-$AM59,FALSE),0)</f>
        <v>0</v>
      </c>
      <c r="AI6" s="9">
        <f>IF(AND(AF6=0,AG6=0),0,IF(AF6&lt;AG6,((AG6-AF6)*24)-AH6,(((1-AF6)+AG6)*24)-AH6))</f>
        <v>0</v>
      </c>
      <c r="AJ6" s="9">
        <f>IF($M$1=AL28,IF(AND(AG6=0,B6=0),24,IF(AG6=0,12+($B$6*24),IF(AG6&lt;$B$6,(($B$6-AG6)*24),IF($B$6=0,(1-AG6+1)*24,((1-AG6)+$B$6)*24)))),IF(AND(AG6=0,B7=0),24,IF(AG6=0,12+(B7*24),IF(AG6&lt;B7,((B7-AG6)*24),IF(B7=0,(1-AG6+1)*24,((1-AG6)+B7)*24)))))</f>
        <v>24</v>
      </c>
      <c r="AK6" s="9">
        <f t="shared" ref="AK6:AK17" si="1">E6+J6+O6+T6+Y6+AD6+AI6</f>
        <v>0</v>
      </c>
      <c r="AL6" s="10">
        <f>AJ6</f>
        <v>24</v>
      </c>
      <c r="AM6" s="10">
        <f>AK6</f>
        <v>0</v>
      </c>
    </row>
    <row r="7" spans="1:39" ht="13" x14ac:dyDescent="0.25">
      <c r="A7" s="7">
        <f>IF($M$1&gt;=2,2,0)</f>
        <v>2</v>
      </c>
      <c r="B7" s="77">
        <f>IFERROR(VLOOKUP(Vaktplan!$A$46,Vaktplan!$H$4:$CL$35,87-AH60,FALSE),0)</f>
        <v>0</v>
      </c>
      <c r="C7" s="77">
        <f>IFERROR(VLOOKUP(Vaktplan!$A$46,Vaktplan!$H$4:$CL$35,87-AG60,FALSE),0)</f>
        <v>0</v>
      </c>
      <c r="D7" s="9">
        <f>IFERROR(VLOOKUP(Vaktplan!$A$46,Vaktplan!$H$4:$CL$35,89-AG60,FALSE),0)</f>
        <v>0</v>
      </c>
      <c r="E7" s="9">
        <f>IF(AND(B7=0,C7=0),0,IF(B7&lt;C7,((C7-B7)*24)-D7,(((1-B7)+C7)*24)-D7))</f>
        <v>0</v>
      </c>
      <c r="F7" s="9">
        <f t="shared" ref="F7:F17" si="2">IF(AND(C7=0,G7=0),24,IF(C7=0,12+(G7*24),IF(C7&lt;G7,((G7-C7)*24),IF(G7=0,(1-C7+0.5)*24,((1-C7)+G7)*24))))</f>
        <v>24</v>
      </c>
      <c r="G7" s="77">
        <f>IFERROR(VLOOKUP(Vaktplan!$A$46,Vaktplan!$I$4:$CL$35,86-AH60,FALSE),0)</f>
        <v>0</v>
      </c>
      <c r="H7" s="77">
        <f>IFERROR(VLOOKUP(Vaktplan!$A$46,Vaktplan!$I$4:$CL$35,86-AG60,FALSE),0)</f>
        <v>0</v>
      </c>
      <c r="I7" s="9">
        <f>IFERROR(VLOOKUP(Vaktplan!$A$46,Vaktplan!$I$4:$CL$35,89-$AH60,FALSE),0)</f>
        <v>0</v>
      </c>
      <c r="J7" s="9">
        <f t="shared" ref="J7:J17" si="3">IF(AND(G7=0,H7=0),0,IF(G7&lt;H7,((H7-G7)*24)-I7,(((1-G7)+H7)*24)-I7))</f>
        <v>0</v>
      </c>
      <c r="K7" s="9">
        <f t="shared" ref="K7:K17" si="4">IF(AND(H7=0,L7=0),24,IF(H7=0,12+(L7*24),IF(H7&lt;L7,((L7-H7)*24),IF(L7=0,(1-H7+0.5)*24,((1-H7)+L7)*24))))</f>
        <v>24</v>
      </c>
      <c r="L7" s="77">
        <f>IFERROR(VLOOKUP(Vaktplan!$A$46,Vaktplan!$J$4:$CL$35,86-AI60,FALSE),0)</f>
        <v>0</v>
      </c>
      <c r="M7" s="77">
        <f>IFERROR(VLOOKUP(Vaktplan!$A$46,Vaktplan!$J$4:$CL$35,86-AH60,FALSE),0)</f>
        <v>0</v>
      </c>
      <c r="N7" s="9">
        <f>IFERROR(VLOOKUP(Vaktplan!$A$46,Vaktplan!$J$4:$CL$35,89-$AI60,FALSE),0)</f>
        <v>0</v>
      </c>
      <c r="O7" s="9">
        <f t="shared" ref="O7:O17" si="5">IF(AND(L7=0,M7=0),0,IF(L7&lt;M7,((M7-L7)*24)-N7,(((1-L7)+M7)*24)-N7))</f>
        <v>0</v>
      </c>
      <c r="P7" s="9">
        <f t="shared" ref="P7:P17" si="6">IF(AND(M7=0,Q7=0),24,IF(M7=0,12+(Q7*24),IF(M7&lt;Q7,((Q7-M7)*24),IF(Q7=0,(1-M7+0.5)*24,((1-M7)+Q7)*24))))</f>
        <v>24</v>
      </c>
      <c r="Q7" s="77">
        <f>IFERROR(VLOOKUP(Vaktplan!$A$46,Vaktplan!$K$4:$CL$35,86-AJ60,FALSE),0)</f>
        <v>0</v>
      </c>
      <c r="R7" s="77">
        <f>IFERROR(VLOOKUP(Vaktplan!$A$46,Vaktplan!$K$4:$CL$35,86-AI60,FALSE),0)</f>
        <v>0</v>
      </c>
      <c r="S7" s="9">
        <f>IFERROR(VLOOKUP(Vaktplan!$A$46,Vaktplan!$K$4:$CL$35,89-$AJ60,FALSE),0)</f>
        <v>0</v>
      </c>
      <c r="T7" s="9">
        <f t="shared" si="0"/>
        <v>0</v>
      </c>
      <c r="U7" s="9">
        <f t="shared" ref="U7:U17" si="7">IF(AND(R7=0,V7=0),24,IF(R7=0,12+(V7*24),IF(R7&lt;V7,((V7-R7)*24),IF(V7=0,(1-R7+0.5)*24,((1-R7)+V7)*24))))</f>
        <v>24</v>
      </c>
      <c r="V7" s="77">
        <f>IFERROR(VLOOKUP(Vaktplan!$A$46,Vaktplan!$L$4:$CL$35,86-AK60,FALSE),0)</f>
        <v>0</v>
      </c>
      <c r="W7" s="77">
        <f>IFERROR(VLOOKUP(Vaktplan!$A$46,Vaktplan!$L$4:$CL$35,86-AJ60,FALSE),0)</f>
        <v>0</v>
      </c>
      <c r="X7" s="9">
        <f>IFERROR(VLOOKUP(Vaktplan!$A$46,Vaktplan!$L$4:$CL$35,89-$AK60,FALSE),0)</f>
        <v>0</v>
      </c>
      <c r="Y7" s="9">
        <f t="shared" ref="Y7:Y13" si="8">IF(AND(V7=0,W7=0),0,IF(V7&lt;W7,((W7-V7)*24)-X7,(((1-V7)+W7)*24)-X7))</f>
        <v>0</v>
      </c>
      <c r="Z7" s="9">
        <f t="shared" ref="Z7:Z17" si="9">IF(AND(W7=0,AA7=0),24,IF(W7=0,12+(AA7*24),IF(W7&lt;AA7,((AA7-W7)*24),IF(AA7=0,(1-W7+0.5)*24,((1-W7)+AA7)*24))))</f>
        <v>24</v>
      </c>
      <c r="AA7" s="77">
        <f>IFERROR(VLOOKUP(Vaktplan!$A$46,Vaktplan!$M$4:$CL$35,86-AL60,FALSE),0)</f>
        <v>0</v>
      </c>
      <c r="AB7" s="77">
        <f>IFERROR(VLOOKUP(Vaktplan!$A$46,Vaktplan!$M$4:$CL$35,86-AK60,FALSE),0)</f>
        <v>0</v>
      </c>
      <c r="AC7" s="9">
        <f>IFERROR(VLOOKUP(Vaktplan!$A$46,Vaktplan!$M$4:$CL$35,89-$AL60,FALSE),0)</f>
        <v>0</v>
      </c>
      <c r="AD7" s="9">
        <f t="shared" ref="AD7:AD13" si="10">IF(AND(AA7=0,AB7=0),0,IF(AA7&lt;AB7,((AB7-AA7)*24)-AC7,(((1-AA7)+AB7)*24)-AC7))</f>
        <v>0</v>
      </c>
      <c r="AE7" s="9">
        <f t="shared" ref="AE7:AE17" si="11">IF(AND(AB7=0,AF7=0),24,IF(AB7=0,12+(AF7*24),IF(AB7&lt;AF7,((AF7-AB7)*24),IF(AF7=0,(1-AB7+0.5)*24,((1-AB7)+AF7)*24))))</f>
        <v>24</v>
      </c>
      <c r="AF7" s="77">
        <f>IFERROR(VLOOKUP(Vaktplan!$A$46,Vaktplan!$N$4:$CL$35,86-AM60,FALSE),0)</f>
        <v>0</v>
      </c>
      <c r="AG7" s="77">
        <f>IFERROR(VLOOKUP(Vaktplan!$A$46,Vaktplan!$N$4:$CL$35,86-AL60,FALSE),0)</f>
        <v>0</v>
      </c>
      <c r="AH7" s="9">
        <f>IFERROR(VLOOKUP(Vaktplan!$A$46,Vaktplan!$N$4:$CL$35,89-$AM60,FALSE),0)</f>
        <v>0</v>
      </c>
      <c r="AI7" s="9">
        <f t="shared" ref="AI7:AI13" si="12">IF(AND(AF7=0,AG7=0),0,IF(AF7&lt;AG7,((AG7-AF7)*24)-AH7,(((1-AF7)+AG7)*24)-AH7))</f>
        <v>0</v>
      </c>
      <c r="AJ7" s="9">
        <f t="shared" ref="AJ7:AJ17" si="13">IF($M$1=AL29,IF(AND(AG7=0,B7=0),24,IF(AG7=0,12+($B$6*24),IF(AG7&lt;$B$6,(($B$6-AG7)*24),IF($B$6=0,(1-AG7+1)*24,((1-AG7)+$B$6)*24)))),IF(AND(AG7=0,B8=0),24,IF(AG7=0,12+(B8*24),IF(AG7&lt;B8,((B8-AG7)*24),IF(B8=0,(1-AG7+1)*24,((1-AG7)+B8)*24)))))</f>
        <v>24</v>
      </c>
      <c r="AK7" s="9">
        <f t="shared" si="1"/>
        <v>0</v>
      </c>
      <c r="AL7" s="10">
        <f t="shared" ref="AL7:AL13" si="14">AJ7</f>
        <v>24</v>
      </c>
      <c r="AM7" s="10">
        <f t="shared" ref="AM7:AM13" si="15">AK7</f>
        <v>0</v>
      </c>
    </row>
    <row r="8" spans="1:39" ht="13" x14ac:dyDescent="0.25">
      <c r="A8" s="7">
        <f>IF($M$1&gt;=3,3,0)</f>
        <v>3</v>
      </c>
      <c r="B8" s="77">
        <f>IFERROR(VLOOKUP(Vaktplan!$A$46,Vaktplan!$O$4:$CL$35,87-AH61,FALSE),0)</f>
        <v>0</v>
      </c>
      <c r="C8" s="77">
        <f>IFERROR(VLOOKUP(Vaktplan!$A$46,Vaktplan!$O$4:$CL$35,87-AG61,FALSE),0)</f>
        <v>0</v>
      </c>
      <c r="D8" s="9">
        <f>IFERROR(VLOOKUP(Vaktplan!$A$46,Vaktplan!$O$4:$CL$35,89-AG61,FALSE),0)</f>
        <v>0</v>
      </c>
      <c r="E8" s="9">
        <f t="shared" ref="E8:E17" si="16">IF(AND(B8=0,C8=0),0,IF(B8&lt;C8,((C8-B8)*24)-D8,(((1-B8)+C8)*24)-D8))</f>
        <v>0</v>
      </c>
      <c r="F8" s="9">
        <f t="shared" si="2"/>
        <v>24</v>
      </c>
      <c r="G8" s="77">
        <f>IFERROR(VLOOKUP(Vaktplan!$A$46,Vaktplan!$P$4:$CL$35,86-AH61,FALSE),0)</f>
        <v>0</v>
      </c>
      <c r="H8" s="77">
        <f>IFERROR(VLOOKUP(Vaktplan!$A$46,Vaktplan!$P$4:$CL$35,86-AG61,FALSE),0)</f>
        <v>0</v>
      </c>
      <c r="I8" s="9">
        <f>IFERROR(VLOOKUP(Vaktplan!$A$46,Vaktplan!$P$4:$CL$35,89-$AH61,FALSE),0)</f>
        <v>0</v>
      </c>
      <c r="J8" s="9">
        <f>IF(AND(G8=0,H8=0),0,IF(G8&lt;H8,((H8-G8)*24)-I8,(((1-G8)+H8)*24)-I8))</f>
        <v>0</v>
      </c>
      <c r="K8" s="9">
        <f t="shared" si="4"/>
        <v>24</v>
      </c>
      <c r="L8" s="77">
        <f>IFERROR(VLOOKUP(Vaktplan!$A$46,Vaktplan!$Q$4:$CL$35,86-AI61,FALSE),0)</f>
        <v>0</v>
      </c>
      <c r="M8" s="77">
        <f>IFERROR(VLOOKUP(Vaktplan!$A$46,Vaktplan!$Q$4:$CL$35,86-AH61,FALSE),0)</f>
        <v>0</v>
      </c>
      <c r="N8" s="9">
        <f>IFERROR(VLOOKUP(Vaktplan!$A$46,Vaktplan!$Q$4:$CL$35,89-$AI61,FALSE),0)</f>
        <v>0</v>
      </c>
      <c r="O8" s="9">
        <f t="shared" si="5"/>
        <v>0</v>
      </c>
      <c r="P8" s="9">
        <f t="shared" si="6"/>
        <v>24</v>
      </c>
      <c r="Q8" s="77">
        <f>IFERROR(VLOOKUP(Vaktplan!$A$46,Vaktplan!$R$4:$CL$35,86-AJ61,FALSE),0)</f>
        <v>0</v>
      </c>
      <c r="R8" s="77">
        <f>IFERROR(VLOOKUP(Vaktplan!$A$46,Vaktplan!$R$4:$CL$35,86-AI61,FALSE),0)</f>
        <v>0</v>
      </c>
      <c r="S8" s="9">
        <f>IFERROR(VLOOKUP(Vaktplan!$A$46,Vaktplan!$R$4:$CL$35,89-$AJ61,FALSE),0)</f>
        <v>0</v>
      </c>
      <c r="T8" s="9">
        <f t="shared" si="0"/>
        <v>0</v>
      </c>
      <c r="U8" s="9">
        <f t="shared" si="7"/>
        <v>24</v>
      </c>
      <c r="V8" s="77">
        <f>IFERROR(VLOOKUP(Vaktplan!$A$46,Vaktplan!$S$4:$CL$35,86-AK61,FALSE),0)</f>
        <v>0</v>
      </c>
      <c r="W8" s="77">
        <f>IFERROR(VLOOKUP(Vaktplan!$A$46,Vaktplan!$S$4:$CL$35,86-AJ61,FALSE),0)</f>
        <v>0</v>
      </c>
      <c r="X8" s="9">
        <f>IFERROR(VLOOKUP(Vaktplan!$A$46,Vaktplan!$S$4:$CL$35,89-$AK61,FALSE),0)</f>
        <v>0</v>
      </c>
      <c r="Y8" s="9">
        <f t="shared" si="8"/>
        <v>0</v>
      </c>
      <c r="Z8" s="9">
        <f t="shared" si="9"/>
        <v>24</v>
      </c>
      <c r="AA8" s="77">
        <f>IFERROR(VLOOKUP(Vaktplan!$A$46,Vaktplan!$T$4:$CL$35,86-AL61,FALSE),0)</f>
        <v>0</v>
      </c>
      <c r="AB8" s="77">
        <f>IFERROR(VLOOKUP(Vaktplan!$A$46,Vaktplan!$T$4:$CL$35,86-AK61,FALSE),0)</f>
        <v>0</v>
      </c>
      <c r="AC8" s="9">
        <f>IFERROR(VLOOKUP(Vaktplan!$A$46,Vaktplan!$T$4:$CL$35,89-$AL61,FALSE),0)</f>
        <v>0</v>
      </c>
      <c r="AD8" s="9">
        <f t="shared" si="10"/>
        <v>0</v>
      </c>
      <c r="AE8" s="9">
        <f t="shared" si="11"/>
        <v>24</v>
      </c>
      <c r="AF8" s="77">
        <f>IFERROR(VLOOKUP(Vaktplan!$A$46,Vaktplan!$U$4:$CL$35,86-AM61,FALSE),0)</f>
        <v>0</v>
      </c>
      <c r="AG8" s="77">
        <f>IFERROR(VLOOKUP(Vaktplan!$A$46,Vaktplan!$U$4:$CL$35,86-AL61,FALSE),0)</f>
        <v>0</v>
      </c>
      <c r="AH8" s="9">
        <f>IFERROR(VLOOKUP(Vaktplan!$A$46,Vaktplan!$U$4:$CL$35,89-$AM61,FALSE),0)</f>
        <v>0</v>
      </c>
      <c r="AI8" s="9">
        <f t="shared" si="12"/>
        <v>0</v>
      </c>
      <c r="AJ8" s="9">
        <f t="shared" si="13"/>
        <v>24</v>
      </c>
      <c r="AK8" s="9">
        <f t="shared" si="1"/>
        <v>0</v>
      </c>
      <c r="AL8" s="10">
        <f t="shared" si="14"/>
        <v>24</v>
      </c>
      <c r="AM8" s="10">
        <f t="shared" si="15"/>
        <v>0</v>
      </c>
    </row>
    <row r="9" spans="1:39" ht="13" x14ac:dyDescent="0.25">
      <c r="A9" s="7">
        <f>IF($M$1&gt;=4,4,0)</f>
        <v>4</v>
      </c>
      <c r="B9" s="77">
        <f>IFERROR(VLOOKUP(Vaktplan!$A$46,Vaktplan!$V$4:$CL$35,87-AH62,FALSE),0)</f>
        <v>0</v>
      </c>
      <c r="C9" s="77">
        <f>IFERROR(VLOOKUP(Vaktplan!$A$46,Vaktplan!$V$4:$CL$35,87-AG62,FALSE),0)</f>
        <v>0</v>
      </c>
      <c r="D9" s="9">
        <f>IFERROR(VLOOKUP(Vaktplan!$A$46,Vaktplan!$V$4:$CL$35,89-AG62,FALSE),0)</f>
        <v>0</v>
      </c>
      <c r="E9" s="9">
        <f t="shared" si="16"/>
        <v>0</v>
      </c>
      <c r="F9" s="9">
        <f t="shared" si="2"/>
        <v>24</v>
      </c>
      <c r="G9" s="77">
        <f>IFERROR(VLOOKUP(Vaktplan!$A$46,Vaktplan!$W$4:$CL$35,86-AH62,FALSE),0)</f>
        <v>0</v>
      </c>
      <c r="H9" s="77">
        <f>IFERROR(VLOOKUP(Vaktplan!$A$46,Vaktplan!$W$4:$CL$35,86-AG62,FALSE),0)</f>
        <v>0</v>
      </c>
      <c r="I9" s="9">
        <f>IFERROR(VLOOKUP(Vaktplan!$A$46,Vaktplan!$W$4:$CL$35,89-$AH62,FALSE),0)</f>
        <v>0</v>
      </c>
      <c r="J9" s="9">
        <f t="shared" si="3"/>
        <v>0</v>
      </c>
      <c r="K9" s="9">
        <f t="shared" si="4"/>
        <v>24</v>
      </c>
      <c r="L9" s="77">
        <f>IFERROR(VLOOKUP(Vaktplan!$A$46,Vaktplan!$X$4:$CL$35,86-AI62,FALSE),0)</f>
        <v>0</v>
      </c>
      <c r="M9" s="77">
        <f>IFERROR(VLOOKUP(Vaktplan!$A$46,Vaktplan!$X$4:$CL$35,86-AH62,FALSE),0)</f>
        <v>0</v>
      </c>
      <c r="N9" s="9">
        <f>IFERROR(VLOOKUP(Vaktplan!$A$46,Vaktplan!$X$4:$CL$35,89-$AI62,FALSE),0)</f>
        <v>0</v>
      </c>
      <c r="O9" s="9">
        <f t="shared" si="5"/>
        <v>0</v>
      </c>
      <c r="P9" s="9">
        <f t="shared" si="6"/>
        <v>24</v>
      </c>
      <c r="Q9" s="77">
        <f>IFERROR(VLOOKUP(Vaktplan!$A$46,Vaktplan!$Y$4:$CL$35,86-AJ62,FALSE),0)</f>
        <v>0</v>
      </c>
      <c r="R9" s="77">
        <f>IFERROR(VLOOKUP(Vaktplan!$A$46,Vaktplan!$Y$4:$CL$35,86-AI62,FALSE),0)</f>
        <v>0</v>
      </c>
      <c r="S9" s="9">
        <f>IFERROR(VLOOKUP(Vaktplan!$A$46,Vaktplan!$Y$4:$CL$35,89-$AJ62,FALSE),0)</f>
        <v>0</v>
      </c>
      <c r="T9" s="9">
        <f t="shared" si="0"/>
        <v>0</v>
      </c>
      <c r="U9" s="9">
        <f t="shared" si="7"/>
        <v>24</v>
      </c>
      <c r="V9" s="77">
        <f>IFERROR(VLOOKUP(Vaktplan!$A$46,Vaktplan!$Z$4:$CL$35,86-AK62,FALSE),0)</f>
        <v>0</v>
      </c>
      <c r="W9" s="77">
        <f>IFERROR(VLOOKUP(Vaktplan!$A$46,Vaktplan!$Z$4:$CL$35,86-AJ62,FALSE),0)</f>
        <v>0</v>
      </c>
      <c r="X9" s="9">
        <f>IFERROR(VLOOKUP(Vaktplan!$A$46,Vaktplan!$Z$4:$CL$35,89-$AK62,FALSE),0)</f>
        <v>0</v>
      </c>
      <c r="Y9" s="9">
        <f t="shared" si="8"/>
        <v>0</v>
      </c>
      <c r="Z9" s="9">
        <f t="shared" si="9"/>
        <v>24</v>
      </c>
      <c r="AA9" s="77">
        <f>IFERROR(VLOOKUP(Vaktplan!$A$46,Vaktplan!$AA$4:$CL$35,86-AL62,FALSE),0)</f>
        <v>0</v>
      </c>
      <c r="AB9" s="77">
        <f>IFERROR(VLOOKUP(Vaktplan!$A$46,Vaktplan!$AA$4:$CL$35,86-AK62,FALSE),0)</f>
        <v>0</v>
      </c>
      <c r="AC9" s="9">
        <f>IFERROR(VLOOKUP(Vaktplan!$A$46,Vaktplan!$AA$4:$CL$35,89-$AL62,FALSE),0)</f>
        <v>0</v>
      </c>
      <c r="AD9" s="9">
        <f t="shared" si="10"/>
        <v>0</v>
      </c>
      <c r="AE9" s="9">
        <f t="shared" si="11"/>
        <v>24</v>
      </c>
      <c r="AF9" s="77">
        <f>IFERROR(VLOOKUP(Vaktplan!$A$46,Vaktplan!$AB$4:$CL$35,86-AM62,FALSE),0)</f>
        <v>0</v>
      </c>
      <c r="AG9" s="77">
        <f>IFERROR(VLOOKUP(Vaktplan!$A$46,Vaktplan!$AB$4:$CL$35,86-AL62,FALSE),0)</f>
        <v>0</v>
      </c>
      <c r="AH9" s="9">
        <f>IFERROR(VLOOKUP(Vaktplan!$A$46,Vaktplan!$AB$4:$CL$35,89-$AM62,FALSE),0)</f>
        <v>0</v>
      </c>
      <c r="AI9" s="9">
        <f t="shared" si="12"/>
        <v>0</v>
      </c>
      <c r="AJ9" s="9">
        <f t="shared" si="13"/>
        <v>24</v>
      </c>
      <c r="AK9" s="9">
        <f t="shared" si="1"/>
        <v>0</v>
      </c>
      <c r="AL9" s="10">
        <f t="shared" si="14"/>
        <v>24</v>
      </c>
      <c r="AM9" s="10">
        <f t="shared" si="15"/>
        <v>0</v>
      </c>
    </row>
    <row r="10" spans="1:39" ht="13" x14ac:dyDescent="0.25">
      <c r="A10" s="7">
        <f>IF($M$1&gt;=5,5,0)</f>
        <v>5</v>
      </c>
      <c r="B10" s="77">
        <f>IFERROR(VLOOKUP(Vaktplan!$A$46,Vaktplan!$AC$4:$CL$35,87-AH63,FALSE),0)</f>
        <v>0</v>
      </c>
      <c r="C10" s="77">
        <f>IFERROR(VLOOKUP(Vaktplan!$A$46,Vaktplan!$AC$4:$CL$35,87-AG63,FALSE),0)</f>
        <v>0</v>
      </c>
      <c r="D10" s="9">
        <f>IFERROR(VLOOKUP(Vaktplan!$A$46,Vaktplan!$AC$4:$CL$35,89-AG63,FALSE),0)</f>
        <v>0</v>
      </c>
      <c r="E10" s="9">
        <f t="shared" si="16"/>
        <v>0</v>
      </c>
      <c r="F10" s="9">
        <f t="shared" si="2"/>
        <v>24</v>
      </c>
      <c r="G10" s="77">
        <f>IFERROR(VLOOKUP(Vaktplan!$A$46,Vaktplan!$AD$4:$CL$35,86-AH63,FALSE),0)</f>
        <v>0</v>
      </c>
      <c r="H10" s="77">
        <f>IFERROR(VLOOKUP(Vaktplan!$A$46,Vaktplan!$AD$4:$CL$35,86-AG63,FALSE),0)</f>
        <v>0</v>
      </c>
      <c r="I10" s="9">
        <f>IFERROR(VLOOKUP(Vaktplan!$A$46,Vaktplan!$AD$4:$CL$35,89-$AH63,FALSE),0)</f>
        <v>0</v>
      </c>
      <c r="J10" s="9">
        <f t="shared" si="3"/>
        <v>0</v>
      </c>
      <c r="K10" s="9">
        <f t="shared" si="4"/>
        <v>24</v>
      </c>
      <c r="L10" s="77">
        <f>IFERROR(VLOOKUP(Vaktplan!$A$46,Vaktplan!$AE$4:$CL$35,86-AI63,FALSE),0)</f>
        <v>0</v>
      </c>
      <c r="M10" s="77">
        <f>IFERROR(VLOOKUP(Vaktplan!$A$46,Vaktplan!$AE$4:$CL$35,86-AH63,FALSE),0)</f>
        <v>0</v>
      </c>
      <c r="N10" s="9">
        <f>IFERROR(VLOOKUP(Vaktplan!$A$46,Vaktplan!$AE$4:$CL$35,89-$AI63,FALSE),0)</f>
        <v>0</v>
      </c>
      <c r="O10" s="9">
        <f t="shared" si="5"/>
        <v>0</v>
      </c>
      <c r="P10" s="9">
        <f t="shared" si="6"/>
        <v>24</v>
      </c>
      <c r="Q10" s="77">
        <f>IFERROR(VLOOKUP(Vaktplan!$A$46,Vaktplan!$AF$4:$CL$35,86-AJ63,FALSE),0)</f>
        <v>0</v>
      </c>
      <c r="R10" s="77">
        <f>IFERROR(VLOOKUP(Vaktplan!$A$46,Vaktplan!$AF$4:$CL$35,86-AI63,FALSE),0)</f>
        <v>0</v>
      </c>
      <c r="S10" s="9">
        <f>IFERROR(VLOOKUP(Vaktplan!$A$46,Vaktplan!$AF$4:$CL$35,89-$AJ63,FALSE),0)</f>
        <v>0</v>
      </c>
      <c r="T10" s="9">
        <f t="shared" si="0"/>
        <v>0</v>
      </c>
      <c r="U10" s="9">
        <f t="shared" si="7"/>
        <v>24</v>
      </c>
      <c r="V10" s="77">
        <f>IFERROR(VLOOKUP(Vaktplan!$A$46,Vaktplan!$AG$4:$CL$35,86-AK63,FALSE),0)</f>
        <v>0</v>
      </c>
      <c r="W10" s="77">
        <f>IFERROR(VLOOKUP(Vaktplan!$A$46,Vaktplan!$AG$4:$CL$35,86-AJ63,FALSE),0)</f>
        <v>0</v>
      </c>
      <c r="X10" s="9">
        <f>IFERROR(VLOOKUP(Vaktplan!$A$46,Vaktplan!$AG$4:$CL$35,89-$AK63,FALSE),0)</f>
        <v>0</v>
      </c>
      <c r="Y10" s="9">
        <f t="shared" si="8"/>
        <v>0</v>
      </c>
      <c r="Z10" s="9">
        <f t="shared" si="9"/>
        <v>24</v>
      </c>
      <c r="AA10" s="77">
        <f>IFERROR(VLOOKUP(Vaktplan!$A$46,Vaktplan!$AH$4:$CL$35,86-AL63,FALSE),0)</f>
        <v>0</v>
      </c>
      <c r="AB10" s="77">
        <f>IFERROR(VLOOKUP(Vaktplan!$A$46,Vaktplan!$AH$4:$CL$35,86-AK63,FALSE),0)</f>
        <v>0</v>
      </c>
      <c r="AC10" s="9">
        <f>IFERROR(VLOOKUP(Vaktplan!$A$46,Vaktplan!$AH$4:$CL$35,89-$AL63,FALSE),0)</f>
        <v>0</v>
      </c>
      <c r="AD10" s="9">
        <f t="shared" si="10"/>
        <v>0</v>
      </c>
      <c r="AE10" s="9">
        <f t="shared" si="11"/>
        <v>24</v>
      </c>
      <c r="AF10" s="77">
        <f>IFERROR(VLOOKUP(Vaktplan!$A$46,Vaktplan!$AI$4:$CL$35,86-AM63,FALSE),0)</f>
        <v>0</v>
      </c>
      <c r="AG10" s="77">
        <f>IFERROR(VLOOKUP(Vaktplan!$A$46,Vaktplan!$AI$4:$CL$35,86-AL63,FALSE),0)</f>
        <v>0</v>
      </c>
      <c r="AH10" s="9">
        <f>IFERROR(VLOOKUP(Vaktplan!$A$46,Vaktplan!$AI$4:$CL$35,89-$AM63,FALSE),0)</f>
        <v>0</v>
      </c>
      <c r="AI10" s="9">
        <f t="shared" si="12"/>
        <v>0</v>
      </c>
      <c r="AJ10" s="9">
        <f t="shared" si="13"/>
        <v>24</v>
      </c>
      <c r="AK10" s="9">
        <f t="shared" si="1"/>
        <v>0</v>
      </c>
      <c r="AL10" s="10">
        <f t="shared" si="14"/>
        <v>24</v>
      </c>
      <c r="AM10" s="10">
        <f t="shared" si="15"/>
        <v>0</v>
      </c>
    </row>
    <row r="11" spans="1:39" ht="13" x14ac:dyDescent="0.25">
      <c r="A11" s="7">
        <f>IF($M$1&gt;=6,6,0)</f>
        <v>6</v>
      </c>
      <c r="B11" s="77">
        <f>IFERROR(VLOOKUP(Vaktplan!$A$46,Vaktplan!$AJ$4:$CL$35,87-AH64,FALSE),0)</f>
        <v>0</v>
      </c>
      <c r="C11" s="77">
        <f>IFERROR(VLOOKUP(Vaktplan!$A$46,Vaktplan!$AJ$4:$CL$35,87-AG64,FALSE),0)</f>
        <v>0</v>
      </c>
      <c r="D11" s="9">
        <f>IFERROR(VLOOKUP(Vaktplan!$A$46,Vaktplan!$AJ$4:$CL$35,89-AG64,FALSE),0)</f>
        <v>0</v>
      </c>
      <c r="E11" s="9">
        <f t="shared" si="16"/>
        <v>0</v>
      </c>
      <c r="F11" s="9">
        <f t="shared" si="2"/>
        <v>24</v>
      </c>
      <c r="G11" s="77">
        <f>IFERROR(VLOOKUP(Vaktplan!$A$46,Vaktplan!$AK$4:$CL$35,86-AH64,FALSE),0)</f>
        <v>0</v>
      </c>
      <c r="H11" s="77">
        <f>IFERROR(VLOOKUP(Vaktplan!$A$46,Vaktplan!$AK$4:$CL$35,86-AG64,FALSE),0)</f>
        <v>0</v>
      </c>
      <c r="I11" s="9">
        <f>IFERROR(VLOOKUP(Vaktplan!$A$46,Vaktplan!$AK$4:$CL$35,89-$AH64,FALSE),0)</f>
        <v>0</v>
      </c>
      <c r="J11" s="9">
        <f t="shared" si="3"/>
        <v>0</v>
      </c>
      <c r="K11" s="9">
        <f t="shared" si="4"/>
        <v>24</v>
      </c>
      <c r="L11" s="77">
        <f>IFERROR(VLOOKUP(Vaktplan!$A$46,Vaktplan!$AL$4:$CL$35,86-AI64,FALSE),0)</f>
        <v>0</v>
      </c>
      <c r="M11" s="77">
        <f>IFERROR(VLOOKUP(Vaktplan!$A$46,Vaktplan!$AL$4:$CL$35,86-AH64,FALSE),0)</f>
        <v>0</v>
      </c>
      <c r="N11" s="9">
        <f>IFERROR(VLOOKUP(Vaktplan!$A$46,Vaktplan!$AL$4:$CL$35,89-$AI64,FALSE),0)</f>
        <v>0</v>
      </c>
      <c r="O11" s="9">
        <f t="shared" si="5"/>
        <v>0</v>
      </c>
      <c r="P11" s="9">
        <f t="shared" si="6"/>
        <v>24</v>
      </c>
      <c r="Q11" s="77">
        <f>IFERROR(VLOOKUP(Vaktplan!$A$46,Vaktplan!$AM$4:$CL$35,86-AJ64,FALSE),0)</f>
        <v>0</v>
      </c>
      <c r="R11" s="77">
        <f>IFERROR(VLOOKUP(Vaktplan!$A$46,Vaktplan!$AM$4:$CL$35,86-AI64,FALSE),0)</f>
        <v>0</v>
      </c>
      <c r="S11" s="9">
        <f>IFERROR(VLOOKUP(Vaktplan!$A$46,Vaktplan!$AM$4:$CL$35,89-$AJ64,FALSE),0)</f>
        <v>0</v>
      </c>
      <c r="T11" s="9">
        <f t="shared" si="0"/>
        <v>0</v>
      </c>
      <c r="U11" s="9">
        <f t="shared" si="7"/>
        <v>24</v>
      </c>
      <c r="V11" s="77">
        <f>IFERROR(VLOOKUP(Vaktplan!$A$46,Vaktplan!$AN$4:$CL$35,86-AK64,FALSE),0)</f>
        <v>0</v>
      </c>
      <c r="W11" s="77">
        <f>IFERROR(VLOOKUP(Vaktplan!$A$46,Vaktplan!$AN$4:$CL$35,86-AJ64,FALSE),0)</f>
        <v>0</v>
      </c>
      <c r="X11" s="9">
        <f>IFERROR(VLOOKUP(Vaktplan!$A$46,Vaktplan!$AN$4:$CL$35,89-$AK64,FALSE),0)</f>
        <v>0</v>
      </c>
      <c r="Y11" s="9">
        <f t="shared" si="8"/>
        <v>0</v>
      </c>
      <c r="Z11" s="9">
        <f t="shared" si="9"/>
        <v>24</v>
      </c>
      <c r="AA11" s="77">
        <f>IFERROR(VLOOKUP(Vaktplan!$A$46,Vaktplan!$AO$4:$CL$35,86-AL64,FALSE),0)</f>
        <v>0</v>
      </c>
      <c r="AB11" s="77">
        <f>IFERROR(VLOOKUP(Vaktplan!$A$46,Vaktplan!$AO$4:$CL$35,86-AK64,FALSE),0)</f>
        <v>0</v>
      </c>
      <c r="AC11" s="9">
        <f>IFERROR(VLOOKUP(Vaktplan!$A$46,Vaktplan!$AO$4:$CL$35,89-$AL64,FALSE),0)</f>
        <v>0</v>
      </c>
      <c r="AD11" s="9">
        <f t="shared" si="10"/>
        <v>0</v>
      </c>
      <c r="AE11" s="9">
        <f t="shared" si="11"/>
        <v>24</v>
      </c>
      <c r="AF11" s="77">
        <f>IFERROR(VLOOKUP(Vaktplan!$A$46,Vaktplan!$AP$4:$CL$35,86-AM64,FALSE),0)</f>
        <v>0</v>
      </c>
      <c r="AG11" s="77">
        <f>IFERROR(VLOOKUP(Vaktplan!$A$46,Vaktplan!$AP$4:$CL$35,86-AL64,FALSE),0)</f>
        <v>0</v>
      </c>
      <c r="AH11" s="9">
        <f>IFERROR(VLOOKUP(Vaktplan!$A$46,Vaktplan!$AP$4:$CL$35,89-$AM64,FALSE),0)</f>
        <v>0</v>
      </c>
      <c r="AI11" s="9">
        <f t="shared" si="12"/>
        <v>0</v>
      </c>
      <c r="AJ11" s="9">
        <f t="shared" si="13"/>
        <v>24</v>
      </c>
      <c r="AK11" s="9">
        <f t="shared" si="1"/>
        <v>0</v>
      </c>
      <c r="AL11" s="10">
        <f t="shared" si="14"/>
        <v>24</v>
      </c>
      <c r="AM11" s="10">
        <f t="shared" si="15"/>
        <v>0</v>
      </c>
    </row>
    <row r="12" spans="1:39" ht="13" x14ac:dyDescent="0.25">
      <c r="A12" s="7">
        <f>IF($M$1&gt;=7,7,0)</f>
        <v>7</v>
      </c>
      <c r="B12" s="77">
        <f>IFERROR(VLOOKUP(Vaktplan!$A$46,Vaktplan!$AQ$4:$CL$35,87-AH65,FALSE),0)</f>
        <v>0</v>
      </c>
      <c r="C12" s="77">
        <f>IFERROR(VLOOKUP(Vaktplan!$A$46,Vaktplan!$AQ$4:$CL$35,87-AG65,FALSE),0)</f>
        <v>0</v>
      </c>
      <c r="D12" s="9">
        <f>IFERROR(VLOOKUP(Vaktplan!$A$46,Vaktplan!$AQ$4:$CL$35,89-AG65,FALSE),0)</f>
        <v>0</v>
      </c>
      <c r="E12" s="9">
        <f t="shared" si="16"/>
        <v>0</v>
      </c>
      <c r="F12" s="9">
        <f t="shared" si="2"/>
        <v>24</v>
      </c>
      <c r="G12" s="77">
        <f>IFERROR(VLOOKUP(Vaktplan!$A$46,Vaktplan!$AR$4:$CL$35,86-AH65,FALSE),0)</f>
        <v>0</v>
      </c>
      <c r="H12" s="77">
        <f>IFERROR(VLOOKUP(Vaktplan!$A$46,Vaktplan!$AR$4:$CL$35,86-AG65,FALSE),0)</f>
        <v>0</v>
      </c>
      <c r="I12" s="9">
        <f>IFERROR(VLOOKUP(Vaktplan!$A$46,Vaktplan!$AR$4:$CL$35,89-$AH65,FALSE),0)</f>
        <v>0</v>
      </c>
      <c r="J12" s="9">
        <f t="shared" si="3"/>
        <v>0</v>
      </c>
      <c r="K12" s="9">
        <f t="shared" si="4"/>
        <v>24</v>
      </c>
      <c r="L12" s="77">
        <f>IFERROR(VLOOKUP(Vaktplan!$A$46,Vaktplan!$AS$4:$CL$35,86-AI65,FALSE),0)</f>
        <v>0</v>
      </c>
      <c r="M12" s="77">
        <f>IFERROR(VLOOKUP(Vaktplan!$A$46,Vaktplan!$AS$4:$CL$35,86-AH65,FALSE),0)</f>
        <v>0</v>
      </c>
      <c r="N12" s="9">
        <f>IFERROR(VLOOKUP(Vaktplan!$A$46,Vaktplan!$AS$4:$CL$35,89-$AI65,FALSE),0)</f>
        <v>0</v>
      </c>
      <c r="O12" s="9">
        <f t="shared" si="5"/>
        <v>0</v>
      </c>
      <c r="P12" s="9">
        <f t="shared" si="6"/>
        <v>24</v>
      </c>
      <c r="Q12" s="77">
        <f>IFERROR(VLOOKUP(Vaktplan!$A$46,Vaktplan!$AT$4:$CL$35,86-AJ65,FALSE),0)</f>
        <v>0</v>
      </c>
      <c r="R12" s="77">
        <f>IFERROR(VLOOKUP(Vaktplan!$A$46,Vaktplan!$AT$4:$CL$35,86-AI65,FALSE),0)</f>
        <v>0</v>
      </c>
      <c r="S12" s="9">
        <f>IFERROR(VLOOKUP(Vaktplan!$A$46,Vaktplan!$AT$4:$CL$35,89-$AJ65,FALSE),0)</f>
        <v>0</v>
      </c>
      <c r="T12" s="9">
        <f t="shared" si="0"/>
        <v>0</v>
      </c>
      <c r="U12" s="9">
        <f t="shared" si="7"/>
        <v>24</v>
      </c>
      <c r="V12" s="77">
        <f>IFERROR(VLOOKUP(Vaktplan!$A$46,Vaktplan!$AU$4:$CL$35,86-AK65,FALSE),0)</f>
        <v>0</v>
      </c>
      <c r="W12" s="77">
        <f>IFERROR(VLOOKUP(Vaktplan!$A$46,Vaktplan!$AU$4:$CL$35,86-AJ65,FALSE),0)</f>
        <v>0</v>
      </c>
      <c r="X12" s="9">
        <f>IFERROR(VLOOKUP(Vaktplan!$A$46,Vaktplan!$AU$4:$CL$35,89-$AK65,FALSE),0)</f>
        <v>0</v>
      </c>
      <c r="Y12" s="9">
        <f t="shared" si="8"/>
        <v>0</v>
      </c>
      <c r="Z12" s="9">
        <f t="shared" si="9"/>
        <v>24</v>
      </c>
      <c r="AA12" s="77">
        <f>IFERROR(VLOOKUP(Vaktplan!$A$46,Vaktplan!$AV$4:$CL$35,86-AL65,FALSE),0)</f>
        <v>0</v>
      </c>
      <c r="AB12" s="77">
        <f>IFERROR(VLOOKUP(Vaktplan!$A$46,Vaktplan!$AV$4:$CL$35,86-AK65,FALSE),0)</f>
        <v>0</v>
      </c>
      <c r="AC12" s="9">
        <f>IFERROR(VLOOKUP(Vaktplan!$A$46,Vaktplan!$AV$4:$CL$35,89-$AL65,FALSE),0)</f>
        <v>0</v>
      </c>
      <c r="AD12" s="9">
        <f t="shared" si="10"/>
        <v>0</v>
      </c>
      <c r="AE12" s="9">
        <f t="shared" si="11"/>
        <v>24</v>
      </c>
      <c r="AF12" s="77">
        <f>IFERROR(VLOOKUP(Vaktplan!$A$46,Vaktplan!$AW$4:$CL$35,86-AM65,FALSE),0)</f>
        <v>0</v>
      </c>
      <c r="AG12" s="77">
        <f>IFERROR(VLOOKUP(Vaktplan!$A$46,Vaktplan!$AW$4:$CL$35,86-AL65,FALSE),0)</f>
        <v>0</v>
      </c>
      <c r="AH12" s="9">
        <f>IFERROR(VLOOKUP(Vaktplan!$A$46,Vaktplan!$AW$4:$CL$35,89-$AM65,FALSE),0)</f>
        <v>0</v>
      </c>
      <c r="AI12" s="9">
        <f t="shared" si="12"/>
        <v>0</v>
      </c>
      <c r="AJ12" s="9">
        <f t="shared" si="13"/>
        <v>24</v>
      </c>
      <c r="AK12" s="9">
        <f t="shared" si="1"/>
        <v>0</v>
      </c>
      <c r="AL12" s="10">
        <f t="shared" si="14"/>
        <v>24</v>
      </c>
      <c r="AM12" s="10">
        <f t="shared" si="15"/>
        <v>0</v>
      </c>
    </row>
    <row r="13" spans="1:39" ht="13" x14ac:dyDescent="0.25">
      <c r="A13" s="7">
        <f>IF($M$1&gt;=8,8,0)</f>
        <v>8</v>
      </c>
      <c r="B13" s="77">
        <f>IFERROR(VLOOKUP(Vaktplan!$A$46,Vaktplan!$AX$4:$CL$35,87-AH66,FALSE),0)</f>
        <v>0</v>
      </c>
      <c r="C13" s="77">
        <f>IFERROR(VLOOKUP(Vaktplan!$A$46,Vaktplan!$AX$4:$CL$35,87-AG66,FALSE),0)</f>
        <v>0</v>
      </c>
      <c r="D13" s="9">
        <f>IFERROR(VLOOKUP(Vaktplan!$A$46,Vaktplan!$AX$4:$CL$35,89-AG66,FALSE),0)</f>
        <v>0</v>
      </c>
      <c r="E13" s="9">
        <f t="shared" si="16"/>
        <v>0</v>
      </c>
      <c r="F13" s="9">
        <f t="shared" si="2"/>
        <v>24</v>
      </c>
      <c r="G13" s="77">
        <f>IFERROR(VLOOKUP(Vaktplan!$A$46,Vaktplan!$AY$4:$CL$35,86-AH66,FALSE),0)</f>
        <v>0</v>
      </c>
      <c r="H13" s="77">
        <f>IFERROR(VLOOKUP(Vaktplan!$A$46,Vaktplan!$AY$4:$CL$35,86-AG66,FALSE),0)</f>
        <v>0</v>
      </c>
      <c r="I13" s="9">
        <f>IFERROR(VLOOKUP(Vaktplan!$A$46,Vaktplan!$AY$4:$CL$35,89-$AH66,FALSE),0)</f>
        <v>0</v>
      </c>
      <c r="J13" s="9">
        <f t="shared" si="3"/>
        <v>0</v>
      </c>
      <c r="K13" s="9">
        <f t="shared" si="4"/>
        <v>24</v>
      </c>
      <c r="L13" s="77">
        <f>IFERROR(VLOOKUP(Vaktplan!$A$46,Vaktplan!$AZ$4:$CL$35,86-AI66,FALSE),0)</f>
        <v>0</v>
      </c>
      <c r="M13" s="77">
        <f>IFERROR(VLOOKUP(Vaktplan!$A$46,Vaktplan!$AZ$4:$CL$35,86-AH66,FALSE),0)</f>
        <v>0</v>
      </c>
      <c r="N13" s="9">
        <f>IFERROR(VLOOKUP(Vaktplan!$A$46,Vaktplan!$AZ$4:$CL$35,89-$AI66,FALSE),0)</f>
        <v>0</v>
      </c>
      <c r="O13" s="9">
        <f t="shared" si="5"/>
        <v>0</v>
      </c>
      <c r="P13" s="9">
        <f t="shared" si="6"/>
        <v>24</v>
      </c>
      <c r="Q13" s="77">
        <f>IFERROR(VLOOKUP(Vaktplan!$A$46,Vaktplan!$BA$4:$CL$35,86-AJ66,FALSE),0)</f>
        <v>0</v>
      </c>
      <c r="R13" s="77">
        <f>IFERROR(VLOOKUP(Vaktplan!$A$46,Vaktplan!$BA$4:$CL$35,86-AI66,FALSE),0)</f>
        <v>0</v>
      </c>
      <c r="S13" s="9">
        <f>IFERROR(VLOOKUP(Vaktplan!$A$46,Vaktplan!$BA$4:$CL$35,89-$AJ66,FALSE),0)</f>
        <v>0</v>
      </c>
      <c r="T13" s="9">
        <f t="shared" si="0"/>
        <v>0</v>
      </c>
      <c r="U13" s="9">
        <f t="shared" si="7"/>
        <v>24</v>
      </c>
      <c r="V13" s="77">
        <f>IFERROR(VLOOKUP(Vaktplan!$A$46,Vaktplan!$BB$4:$CL$35,86-AK66,FALSE),0)</f>
        <v>0</v>
      </c>
      <c r="W13" s="77">
        <f>IFERROR(VLOOKUP(Vaktplan!$A$46,Vaktplan!$BB$4:$CL$35,86-AJ66,FALSE),0)</f>
        <v>0</v>
      </c>
      <c r="X13" s="9">
        <f>IFERROR(VLOOKUP(Vaktplan!$A$46,Vaktplan!$BB$4:$CL$35,89-$AK66,FALSE),0)</f>
        <v>0</v>
      </c>
      <c r="Y13" s="9">
        <f t="shared" si="8"/>
        <v>0</v>
      </c>
      <c r="Z13" s="9">
        <f t="shared" si="9"/>
        <v>24</v>
      </c>
      <c r="AA13" s="77">
        <f>IFERROR(VLOOKUP(Vaktplan!$A$46,Vaktplan!$BC$4:$CL$35,86-AL66,FALSE),0)</f>
        <v>0</v>
      </c>
      <c r="AB13" s="77">
        <f>IFERROR(VLOOKUP(Vaktplan!$A$46,Vaktplan!$BC$4:$CL$35,86-AK66,FALSE),0)</f>
        <v>0</v>
      </c>
      <c r="AC13" s="9">
        <f>IFERROR(VLOOKUP(Vaktplan!$A$46,Vaktplan!$BC$4:$CL$35,89-$AL66,FALSE),0)</f>
        <v>0</v>
      </c>
      <c r="AD13" s="9">
        <f t="shared" si="10"/>
        <v>0</v>
      </c>
      <c r="AE13" s="9">
        <f t="shared" si="11"/>
        <v>24</v>
      </c>
      <c r="AF13" s="77">
        <f>IFERROR(VLOOKUP(Vaktplan!$A$46,Vaktplan!$BD$4:$CL$35,86-AM66,FALSE),0)</f>
        <v>0</v>
      </c>
      <c r="AG13" s="77">
        <f>IFERROR(VLOOKUP(Vaktplan!$A$46,Vaktplan!$BD$4:$CL$35,86-AL66,FALSE),0)</f>
        <v>0</v>
      </c>
      <c r="AH13" s="9">
        <f>IFERROR(VLOOKUP(Vaktplan!$A$46,Vaktplan!$BD$4:$CL$35,89-$AM66,FALSE),0)</f>
        <v>0</v>
      </c>
      <c r="AI13" s="9">
        <f t="shared" si="12"/>
        <v>0</v>
      </c>
      <c r="AJ13" s="9">
        <f t="shared" si="13"/>
        <v>24</v>
      </c>
      <c r="AK13" s="9">
        <f t="shared" si="1"/>
        <v>0</v>
      </c>
      <c r="AL13" s="10">
        <f t="shared" si="14"/>
        <v>24</v>
      </c>
      <c r="AM13" s="10">
        <f t="shared" si="15"/>
        <v>0</v>
      </c>
    </row>
    <row r="14" spans="1:39" ht="13" x14ac:dyDescent="0.25">
      <c r="A14" s="7">
        <v>9</v>
      </c>
      <c r="B14" s="77">
        <f>IFERROR(VLOOKUP(Vaktplan!$A$46,Vaktplan!$BE$4:$CL$35,87-AH67,FALSE),0)</f>
        <v>0</v>
      </c>
      <c r="C14" s="77">
        <f>IFERROR(VLOOKUP(Vaktplan!$A$46,Vaktplan!$BE$4:$CL$35,87-AG67,FALSE),0)</f>
        <v>0</v>
      </c>
      <c r="D14" s="9">
        <f>IFERROR(VLOOKUP(Vaktplan!$A$46,Vaktplan!$BE$4:$CL$35,89-AG67,FALSE),0)</f>
        <v>0</v>
      </c>
      <c r="E14" s="9">
        <f t="shared" si="16"/>
        <v>0</v>
      </c>
      <c r="F14" s="9">
        <f t="shared" si="2"/>
        <v>24</v>
      </c>
      <c r="G14" s="77">
        <f>IFERROR(VLOOKUP(Vaktplan!$A$46,Vaktplan!$BF$4:$CL$35,86-AH67,FALSE),0)</f>
        <v>0</v>
      </c>
      <c r="H14" s="77">
        <f>IFERROR(VLOOKUP(Vaktplan!$A$46,Vaktplan!$BF$4:$CL$35,86-AG67,FALSE),0)</f>
        <v>0</v>
      </c>
      <c r="I14" s="9">
        <f>IFERROR(VLOOKUP(Vaktplan!$A$46,Vaktplan!$BF$4:$CL$35,89-$AH67,FALSE),0)</f>
        <v>0</v>
      </c>
      <c r="J14" s="9">
        <f t="shared" si="3"/>
        <v>0</v>
      </c>
      <c r="K14" s="9">
        <f t="shared" si="4"/>
        <v>24</v>
      </c>
      <c r="L14" s="77">
        <f>IFERROR(VLOOKUP(Vaktplan!$A$46,Vaktplan!$BG$4:$CL$35,86-AI67,FALSE),0)</f>
        <v>0</v>
      </c>
      <c r="M14" s="77">
        <f>IFERROR(VLOOKUP(Vaktplan!$A$46,Vaktplan!$BG$4:$CL$35,86-AH67,FALSE),0)</f>
        <v>0</v>
      </c>
      <c r="N14" s="9">
        <f>IFERROR(VLOOKUP(Vaktplan!$A$46,Vaktplan!$BG$4:$CL$35,89-$AI67,FALSE),0)</f>
        <v>0</v>
      </c>
      <c r="O14" s="9">
        <f t="shared" si="5"/>
        <v>0</v>
      </c>
      <c r="P14" s="9">
        <f t="shared" si="6"/>
        <v>24</v>
      </c>
      <c r="Q14" s="77">
        <f>IFERROR(VLOOKUP(Vaktplan!$A$46,Vaktplan!$BH$4:$CL$35,86-AJ67,FALSE),0)</f>
        <v>0</v>
      </c>
      <c r="R14" s="77">
        <f>IFERROR(VLOOKUP(Vaktplan!$A$46,Vaktplan!$BH$4:$CL$35,86-AI67,FALSE),0)</f>
        <v>0</v>
      </c>
      <c r="S14" s="9">
        <f>IFERROR(VLOOKUP(Vaktplan!$A$46,Vaktplan!$BH$4:$CL$35,89-$AJ67,FALSE),0)</f>
        <v>0</v>
      </c>
      <c r="T14" s="9">
        <f t="shared" si="0"/>
        <v>0</v>
      </c>
      <c r="U14" s="9">
        <f t="shared" si="7"/>
        <v>24</v>
      </c>
      <c r="V14" s="77">
        <f>IFERROR(VLOOKUP(Vaktplan!$A$46,Vaktplan!$BI$4:$CL$35,86-AK67,FALSE),0)</f>
        <v>0</v>
      </c>
      <c r="W14" s="77">
        <f>IFERROR(VLOOKUP(Vaktplan!$A$46,Vaktplan!$BI$4:$CL$35,86-AJ67,FALSE),0)</f>
        <v>0</v>
      </c>
      <c r="X14" s="9">
        <f>IFERROR(VLOOKUP(Vaktplan!$A$46,Vaktplan!$BI$4:$CL$35,89-$AK67,FALSE),0)</f>
        <v>0</v>
      </c>
      <c r="Y14" s="9">
        <f>IF(AND(V14=0,W14=0),0,IF(V14&lt;W14,((W14-V14)*24)-X14,(((1-V14)+W14)*24)-X14))</f>
        <v>0</v>
      </c>
      <c r="Z14" s="9">
        <f t="shared" si="9"/>
        <v>24</v>
      </c>
      <c r="AA14" s="77">
        <f>IFERROR(VLOOKUP(Vaktplan!$A$46,Vaktplan!$BJ$4:$CL$35,86-AL67,FALSE),0)</f>
        <v>0</v>
      </c>
      <c r="AB14" s="77">
        <f>IFERROR(VLOOKUP(Vaktplan!$A$46,Vaktplan!$BJ$4:$CL$35,86-AK67,FALSE),0)</f>
        <v>0</v>
      </c>
      <c r="AC14" s="9">
        <f>IFERROR(VLOOKUP(Vaktplan!$A$46,Vaktplan!$BJ$4:$CL$35,89-$AL67,FALSE),0)</f>
        <v>0</v>
      </c>
      <c r="AD14" s="9">
        <f>IF(AND(AA14=0,AB14=0),0,IF(AA14&lt;AB14,((AB14-AA14)*24)-AC14,(((1-AA14)+AB14)*24)-AC14))</f>
        <v>0</v>
      </c>
      <c r="AE14" s="9">
        <f t="shared" si="11"/>
        <v>24</v>
      </c>
      <c r="AF14" s="77">
        <f>IFERROR(VLOOKUP(Vaktplan!$A$46,Vaktplan!$BK$4:$CL$35,86-AM67,FALSE),0)</f>
        <v>0</v>
      </c>
      <c r="AG14" s="77">
        <f>IFERROR(VLOOKUP(Vaktplan!$A$46,Vaktplan!$BK$4:$CL$35,86-AL67,FALSE),0)</f>
        <v>0</v>
      </c>
      <c r="AH14" s="9">
        <f>IFERROR(VLOOKUP(Vaktplan!$A$46,Vaktplan!$BK$4:$CL$35,89-$AM67,FALSE),0)</f>
        <v>0</v>
      </c>
      <c r="AI14" s="9">
        <f>IF(AND(AF14=0,AG14=0),0,IF(AF14&lt;AG14,((AG14-AF14)*24)-AH14,(((1-AF14)+AG14)*24)-AH14))</f>
        <v>0</v>
      </c>
      <c r="AJ14" s="9">
        <f t="shared" si="13"/>
        <v>24</v>
      </c>
      <c r="AK14" s="9">
        <f t="shared" si="1"/>
        <v>0</v>
      </c>
      <c r="AL14" s="10"/>
      <c r="AM14" s="10"/>
    </row>
    <row r="15" spans="1:39" ht="13" x14ac:dyDescent="0.25">
      <c r="A15" s="7">
        <v>10</v>
      </c>
      <c r="B15" s="77">
        <f>IFERROR(VLOOKUP(Vaktplan!$A$46,Vaktplan!$BL$4:$CL$35,87-AH68,FALSE),0)</f>
        <v>0</v>
      </c>
      <c r="C15" s="77">
        <f>IFERROR(VLOOKUP(Vaktplan!$A$46,Vaktplan!$BL$4:$CL$35,87-AG68,FALSE),0)</f>
        <v>0</v>
      </c>
      <c r="D15" s="9">
        <f>IFERROR(VLOOKUP(Vaktplan!$A$46,Vaktplan!$BL$4:$CL$35,89-AG68,FALSE),0)</f>
        <v>0</v>
      </c>
      <c r="E15" s="9">
        <f t="shared" si="16"/>
        <v>0</v>
      </c>
      <c r="F15" s="9">
        <f t="shared" si="2"/>
        <v>24</v>
      </c>
      <c r="G15" s="77">
        <f>IFERROR(VLOOKUP(Vaktplan!$A$46,Vaktplan!$BM$4:$CL$35,86-AH68,FALSE),0)</f>
        <v>0</v>
      </c>
      <c r="H15" s="77">
        <f>IFERROR(VLOOKUP(Vaktplan!$A$46,Vaktplan!$BM$4:$CL$35,86-AG68,FALSE),0)</f>
        <v>0</v>
      </c>
      <c r="I15" s="9">
        <f>IFERROR(VLOOKUP(Vaktplan!$A$46,Vaktplan!$BM$4:$CL$35,89-$AH68,FALSE),0)</f>
        <v>0</v>
      </c>
      <c r="J15" s="9">
        <f t="shared" si="3"/>
        <v>0</v>
      </c>
      <c r="K15" s="9">
        <f t="shared" si="4"/>
        <v>24</v>
      </c>
      <c r="L15" s="77">
        <f>IFERROR(VLOOKUP(Vaktplan!$A$46,Vaktplan!$BN$4:$CL$35,86-AI68,FALSE),0)</f>
        <v>0</v>
      </c>
      <c r="M15" s="77">
        <f>IFERROR(VLOOKUP(Vaktplan!$A$46,Vaktplan!$BN$4:$CL$35,86-AH68,FALSE),0)</f>
        <v>0</v>
      </c>
      <c r="N15" s="9">
        <f>IFERROR(VLOOKUP(Vaktplan!$A$46,Vaktplan!$BN$4:$CL$35,89-$AI68,FALSE),0)</f>
        <v>0</v>
      </c>
      <c r="O15" s="9">
        <f t="shared" si="5"/>
        <v>0</v>
      </c>
      <c r="P15" s="9">
        <f t="shared" si="6"/>
        <v>24</v>
      </c>
      <c r="Q15" s="77">
        <f>IFERROR(VLOOKUP(Vaktplan!$A$46,Vaktplan!$BO$4:$CL$35,86-AJ68,FALSE),0)</f>
        <v>0</v>
      </c>
      <c r="R15" s="77">
        <f>IFERROR(VLOOKUP(Vaktplan!$A$46,Vaktplan!$BO$4:$CL$35,86-AI68,FALSE),0)</f>
        <v>0</v>
      </c>
      <c r="S15" s="9">
        <f>IFERROR(VLOOKUP(Vaktplan!$A$46,Vaktplan!$BO$4:$CL$35,89-$AJ68,FALSE),0)</f>
        <v>0</v>
      </c>
      <c r="T15" s="9">
        <f t="shared" si="0"/>
        <v>0</v>
      </c>
      <c r="U15" s="9">
        <f t="shared" si="7"/>
        <v>24</v>
      </c>
      <c r="V15" s="77">
        <f>IFERROR(VLOOKUP(Vaktplan!$A$46,Vaktplan!$BP$4:$CL$35,86-AK68,FALSE),0)</f>
        <v>0</v>
      </c>
      <c r="W15" s="77">
        <f>IFERROR(VLOOKUP(Vaktplan!$A$46,Vaktplan!$BP$4:$CL$35,86-AJ68,FALSE),0)</f>
        <v>0</v>
      </c>
      <c r="X15" s="9">
        <f>IFERROR(VLOOKUP(Vaktplan!$A$46,Vaktplan!$BP$4:$CL$35,89-$AK68,FALSE),0)</f>
        <v>0</v>
      </c>
      <c r="Y15" s="9">
        <f>IF(AND(V15=0,W15=0),0,IF(V15&lt;W15,((W15-V15)*24)-X15,(((1-V15)+W15)*24)-X15))</f>
        <v>0</v>
      </c>
      <c r="Z15" s="9">
        <f t="shared" si="9"/>
        <v>24</v>
      </c>
      <c r="AA15" s="77">
        <f>IFERROR(VLOOKUP(Vaktplan!$A$46,Vaktplan!$BQ$4:$CL$35,86-AL68,FALSE),0)</f>
        <v>0</v>
      </c>
      <c r="AB15" s="77">
        <f>IFERROR(VLOOKUP(Vaktplan!$A$46,Vaktplan!$BQ$4:$CL$35,86-AK68,FALSE),0)</f>
        <v>0</v>
      </c>
      <c r="AC15" s="9">
        <f>IFERROR(VLOOKUP(Vaktplan!$A$46,Vaktplan!$BQ$4:$CL$35,89-$AL68,FALSE),0)</f>
        <v>0</v>
      </c>
      <c r="AD15" s="9">
        <f>IF(AND(AA15=0,AB15=0),0,IF(AA15&lt;AB15,((AB15-AA15)*24)-AC15,(((1-AA15)+AB15)*24)-AC15))</f>
        <v>0</v>
      </c>
      <c r="AE15" s="9">
        <f t="shared" si="11"/>
        <v>24</v>
      </c>
      <c r="AF15" s="77">
        <f>IFERROR(VLOOKUP(Vaktplan!$A$46,Vaktplan!$BR$4:$CL$35,86-AM68,FALSE),0)</f>
        <v>0</v>
      </c>
      <c r="AG15" s="77">
        <f>IFERROR(VLOOKUP(Vaktplan!$A$46,Vaktplan!$BR$4:$CL$35,86-AL68,FALSE),0)</f>
        <v>0</v>
      </c>
      <c r="AH15" s="9">
        <f>IFERROR(VLOOKUP(Vaktplan!$A$46,Vaktplan!$BR$4:$CL$35,89-$AM68,FALSE),0)</f>
        <v>0</v>
      </c>
      <c r="AI15" s="9">
        <f>IF(AND(AF15=0,AG15=0),0,IF(AF15&lt;AG15,((AG15-AF15)*24)-AH15,(((1-AF15)+AG15)*24)-AH15))</f>
        <v>0</v>
      </c>
      <c r="AJ15" s="9">
        <f t="shared" si="13"/>
        <v>24</v>
      </c>
      <c r="AK15" s="9">
        <f t="shared" si="1"/>
        <v>0</v>
      </c>
      <c r="AL15" s="10"/>
      <c r="AM15" s="10"/>
    </row>
    <row r="16" spans="1:39" ht="13" x14ac:dyDescent="0.25">
      <c r="A16" s="7">
        <v>11</v>
      </c>
      <c r="B16" s="77">
        <f>IFERROR(VLOOKUP(Vaktplan!$A$46,Vaktplan!$BS$4:$CL$35,87-AH69,FALSE),0)</f>
        <v>0</v>
      </c>
      <c r="C16" s="77">
        <f>IFERROR(VLOOKUP(Vaktplan!$A$46,Vaktplan!$BS$4:$CL$35,87-AG69,FALSE),0)</f>
        <v>0</v>
      </c>
      <c r="D16" s="9">
        <f>IFERROR(VLOOKUP(Vaktplan!$A$46,Vaktplan!$BS$4:$CL$35,89-AG69,FALSE),0)</f>
        <v>0</v>
      </c>
      <c r="E16" s="9">
        <f t="shared" si="16"/>
        <v>0</v>
      </c>
      <c r="F16" s="9">
        <f t="shared" si="2"/>
        <v>24</v>
      </c>
      <c r="G16" s="77">
        <f>IFERROR(VLOOKUP(Vaktplan!$A$46,Vaktplan!$BT$4:$CL$35,86-AH69,FALSE),0)</f>
        <v>0</v>
      </c>
      <c r="H16" s="77">
        <f>IFERROR(VLOOKUP(Vaktplan!$A$46,Vaktplan!$BT$4:$CL$35,86-AG69,FALSE),0)</f>
        <v>0</v>
      </c>
      <c r="I16" s="9">
        <f>IFERROR(VLOOKUP(Vaktplan!$A$46,Vaktplan!$BT$4:$CL$35,89-$AH69,FALSE),0)</f>
        <v>0</v>
      </c>
      <c r="J16" s="9">
        <f t="shared" si="3"/>
        <v>0</v>
      </c>
      <c r="K16" s="9">
        <f t="shared" si="4"/>
        <v>24</v>
      </c>
      <c r="L16" s="77">
        <f>IFERROR(VLOOKUP(Vaktplan!$A$46,Vaktplan!$BU$4:$CL$35,86-AI69,FALSE),0)</f>
        <v>0</v>
      </c>
      <c r="M16" s="77">
        <f>IFERROR(VLOOKUP(Vaktplan!$A$46,Vaktplan!$BU$4:$CL$35,86-AH69,FALSE),0)</f>
        <v>0</v>
      </c>
      <c r="N16" s="9">
        <f>IFERROR(VLOOKUP(Vaktplan!$A$46,Vaktplan!$BU$4:$CL$35,89-$AI69,FALSE),0)</f>
        <v>0</v>
      </c>
      <c r="O16" s="9">
        <f t="shared" si="5"/>
        <v>0</v>
      </c>
      <c r="P16" s="9">
        <f t="shared" si="6"/>
        <v>24</v>
      </c>
      <c r="Q16" s="77">
        <f>IFERROR(VLOOKUP(Vaktplan!$A$46,Vaktplan!$BV$4:$CL$35,86-AJ69,FALSE),0)</f>
        <v>0</v>
      </c>
      <c r="R16" s="77">
        <f>IFERROR(VLOOKUP(Vaktplan!$A$46,Vaktplan!$BV$4:$CL$35,86-AI69,FALSE),0)</f>
        <v>0</v>
      </c>
      <c r="S16" s="9">
        <f>IFERROR(VLOOKUP(Vaktplan!$A$46,Vaktplan!$BV$4:$CL$35,89-$AJ69,FALSE),0)</f>
        <v>0</v>
      </c>
      <c r="T16" s="9">
        <f t="shared" si="0"/>
        <v>0</v>
      </c>
      <c r="U16" s="9">
        <f t="shared" si="7"/>
        <v>24</v>
      </c>
      <c r="V16" s="77">
        <f>IFERROR(VLOOKUP(Vaktplan!$A$46,Vaktplan!$BW$4:$CL$35,86-AK69,FALSE),0)</f>
        <v>0</v>
      </c>
      <c r="W16" s="77">
        <f>IFERROR(VLOOKUP(Vaktplan!$A$46,Vaktplan!$BW$4:$CL$35,86-AJ69,FALSE),0)</f>
        <v>0</v>
      </c>
      <c r="X16" s="9">
        <f>IFERROR(VLOOKUP(Vaktplan!$A$46,Vaktplan!$BW$4:$CL$35,89-$AK69,FALSE),0)</f>
        <v>0</v>
      </c>
      <c r="Y16" s="9">
        <f>IF(AND(V16=0,W16=0),0,IF(V16&lt;W16,((W16-V16)*24)-X16,(((1-V16)+W16)*24)-X16))</f>
        <v>0</v>
      </c>
      <c r="Z16" s="9">
        <f t="shared" si="9"/>
        <v>24</v>
      </c>
      <c r="AA16" s="77">
        <f>IFERROR(VLOOKUP(Vaktplan!$A$46,Vaktplan!$BX$4:$CL$35,86-AL69,FALSE),0)</f>
        <v>0</v>
      </c>
      <c r="AB16" s="77">
        <f>IFERROR(VLOOKUP(Vaktplan!$A$46,Vaktplan!$BX$4:$CL$35,86-AK69,FALSE),0)</f>
        <v>0</v>
      </c>
      <c r="AC16" s="9">
        <f>IFERROR(VLOOKUP(Vaktplan!$A$46,Vaktplan!$BX$4:$CL$35,89-$AL69,FALSE),0)</f>
        <v>0</v>
      </c>
      <c r="AD16" s="9">
        <f>IF(AND(AA16=0,AB16=0),0,IF(AA16&lt;AB16,((AB16-AA16)*24)-AC16,(((1-AA16)+AB16)*24)-AC16))</f>
        <v>0</v>
      </c>
      <c r="AE16" s="9">
        <f t="shared" si="11"/>
        <v>24</v>
      </c>
      <c r="AF16" s="77">
        <f>IFERROR(VLOOKUP(Vaktplan!$A$46,Vaktplan!$BY$4:$CL$35,86-AM69,FALSE),0)</f>
        <v>0</v>
      </c>
      <c r="AG16" s="77">
        <f>IFERROR(VLOOKUP(Vaktplan!$A$46,Vaktplan!$BY$4:$CL$35,86-AL69,FALSE),0)</f>
        <v>0</v>
      </c>
      <c r="AH16" s="9">
        <f>IFERROR(VLOOKUP(Vaktplan!$A$46,Vaktplan!$BY$4:$CL$35,89-$AM69,FALSE),0)</f>
        <v>0</v>
      </c>
      <c r="AI16" s="9">
        <f>IF(AND(AF16=0,AG16=0),0,IF(AF16&lt;AG16,((AG16-AF16)*24)-AH16,(((1-AF16)+AG16)*24)-AH16))</f>
        <v>0</v>
      </c>
      <c r="AJ16" s="9">
        <f t="shared" si="13"/>
        <v>24</v>
      </c>
      <c r="AK16" s="9">
        <f t="shared" si="1"/>
        <v>0</v>
      </c>
      <c r="AL16" s="10"/>
      <c r="AM16" s="10"/>
    </row>
    <row r="17" spans="1:43" ht="13" x14ac:dyDescent="0.25">
      <c r="A17" s="7">
        <v>12</v>
      </c>
      <c r="B17" s="77">
        <f>IFERROR(VLOOKUP(Vaktplan!$A$46,Vaktplan!$BZ$4:$CL$35,87-AH70,FALSE),0)</f>
        <v>0</v>
      </c>
      <c r="C17" s="77">
        <f>IFERROR(VLOOKUP(Vaktplan!$A$46,Vaktplan!$BZ$4:$CL$35,87-AG70,FALSE),0)</f>
        <v>0</v>
      </c>
      <c r="D17" s="9">
        <f>IFERROR(VLOOKUP(Vaktplan!$A$46,Vaktplan!$BZ$4:$CL$35,89-AG70,FALSE),0)</f>
        <v>0</v>
      </c>
      <c r="E17" s="9">
        <f t="shared" si="16"/>
        <v>0</v>
      </c>
      <c r="F17" s="9">
        <f t="shared" si="2"/>
        <v>24</v>
      </c>
      <c r="G17" s="77">
        <f>IFERROR(VLOOKUP(Vaktplan!$A$46,Vaktplan!$CA$4:$CL$35,86-AH70,FALSE),0)</f>
        <v>0</v>
      </c>
      <c r="H17" s="77">
        <f>IFERROR(VLOOKUP(Vaktplan!$A$46,Vaktplan!$CA$4:$CL$35,86-AG70,FALSE),0)</f>
        <v>0</v>
      </c>
      <c r="I17" s="9">
        <f>IFERROR(VLOOKUP(Vaktplan!$A$46,Vaktplan!$CA$4:$CL$35,89-$AH70,FALSE),0)</f>
        <v>0</v>
      </c>
      <c r="J17" s="9">
        <f t="shared" si="3"/>
        <v>0</v>
      </c>
      <c r="K17" s="9">
        <f t="shared" si="4"/>
        <v>24</v>
      </c>
      <c r="L17" s="77">
        <f>IFERROR(VLOOKUP(Vaktplan!$A$46,Vaktplan!$CB$4:$CL$35,86-AI70,FALSE),0)</f>
        <v>0</v>
      </c>
      <c r="M17" s="77">
        <f>IFERROR(VLOOKUP(Vaktplan!$A$46,Vaktplan!$CB$4:$CL$35,86-AH70,FALSE),0)</f>
        <v>0</v>
      </c>
      <c r="N17" s="9">
        <f>IFERROR(VLOOKUP(Vaktplan!$A$46,Vaktplan!$CB$4:$CL$35,89-$AI70,FALSE),0)</f>
        <v>0</v>
      </c>
      <c r="O17" s="9">
        <f t="shared" si="5"/>
        <v>0</v>
      </c>
      <c r="P17" s="9">
        <f t="shared" si="6"/>
        <v>24</v>
      </c>
      <c r="Q17" s="77">
        <f>IFERROR(VLOOKUP(Vaktplan!$A$46,Vaktplan!$CC$4:$CL$35,86-AJ70,FALSE),0)</f>
        <v>0</v>
      </c>
      <c r="R17" s="77">
        <f>IFERROR(VLOOKUP(Vaktplan!$A$46,Vaktplan!$CC$4:$CL$35,86-AI70,FALSE),0)</f>
        <v>0</v>
      </c>
      <c r="S17" s="9">
        <f>IFERROR(VLOOKUP(Vaktplan!$A$46,Vaktplan!$CC$4:$CL$35,89-$AJ70,FALSE),0)</f>
        <v>0</v>
      </c>
      <c r="T17" s="9">
        <f t="shared" si="0"/>
        <v>0</v>
      </c>
      <c r="U17" s="9">
        <f t="shared" si="7"/>
        <v>24</v>
      </c>
      <c r="V17" s="77">
        <f>IFERROR(VLOOKUP(Vaktplan!$A$46,Vaktplan!$CD$4:$CL$35,86-AK70,FALSE),0)</f>
        <v>0</v>
      </c>
      <c r="W17" s="77">
        <f>IFERROR(VLOOKUP(Vaktplan!$A$46,Vaktplan!$CD$4:$CL$35,86-AJ70,FALSE),0)</f>
        <v>0</v>
      </c>
      <c r="X17" s="9">
        <f>IFERROR(VLOOKUP(Vaktplan!$A$46,Vaktplan!$CD$4:$CL$35,89-$AK70,FALSE),0)</f>
        <v>0</v>
      </c>
      <c r="Y17" s="9">
        <f>IF(AND(V17=0,W17=0),0,IF(V17&lt;W17,((W17-V17)*24)-X17,(((1-V17)+W17)*24)-X17))</f>
        <v>0</v>
      </c>
      <c r="Z17" s="9">
        <f t="shared" si="9"/>
        <v>24</v>
      </c>
      <c r="AA17" s="77">
        <f>IFERROR(VLOOKUP(Vaktplan!$A$46,Vaktplan!$CE$4:$CL$35,86-AL70,FALSE),0)</f>
        <v>0</v>
      </c>
      <c r="AB17" s="77">
        <f>IFERROR(VLOOKUP(Vaktplan!$A$46,Vaktplan!$CE$4:$CL$35,86-AK70,FALSE),0)</f>
        <v>0</v>
      </c>
      <c r="AC17" s="9">
        <f>IFERROR(VLOOKUP(Vaktplan!$A$46,Vaktplan!$CE$4:$FCE$35,89-$AL70,FALSE),0)</f>
        <v>0</v>
      </c>
      <c r="AD17" s="9">
        <f>IF(AND(AA17=0,AB17=0),0,IF(AA17&lt;AB17,((AB17-AA17)*24)-AC17,(((1-AA17)+AB17)*24)-AC17))</f>
        <v>0</v>
      </c>
      <c r="AE17" s="9">
        <f t="shared" si="11"/>
        <v>24</v>
      </c>
      <c r="AF17" s="77">
        <f>IFERROR(VLOOKUP(Vaktplan!$A$46,Vaktplan!$CF$4:$CL$35,86-AM70,FALSE),0)</f>
        <v>0</v>
      </c>
      <c r="AG17" s="77">
        <f>IFERROR(VLOOKUP(Vaktplan!$A$46,Vaktplan!$CF$4:$CL$35,86-AL70,FALSE),0)</f>
        <v>0</v>
      </c>
      <c r="AH17" s="9">
        <f>IFERROR(VLOOKUP(Vaktplan!$A$46,Vaktplan!$CF$4:$CL$35,89-$AM70,FALSE),0)</f>
        <v>0</v>
      </c>
      <c r="AI17" s="9">
        <f>IF(AND(AF17=0,AG17=0),0,IF(AF17&lt;AG17,((AG17-AF17)*24)-AH17,(((1-AF17)+AG17)*24)-AH17))</f>
        <v>0</v>
      </c>
      <c r="AJ17" s="9">
        <f t="shared" si="13"/>
        <v>24</v>
      </c>
      <c r="AK17" s="9">
        <f t="shared" si="1"/>
        <v>0</v>
      </c>
      <c r="AL17" s="10"/>
      <c r="AM17" s="10"/>
    </row>
    <row r="19" spans="1:43" ht="13" x14ac:dyDescent="0.3">
      <c r="A19" s="4" t="s">
        <v>76</v>
      </c>
    </row>
    <row r="20" spans="1:43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3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3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3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3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6" spans="1:43" ht="13" x14ac:dyDescent="0.3">
      <c r="A26" s="4" t="s">
        <v>77</v>
      </c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</row>
    <row r="27" spans="1:43" ht="13" x14ac:dyDescent="0.3">
      <c r="A27" s="3" t="s">
        <v>78</v>
      </c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80" t="s">
        <v>79</v>
      </c>
      <c r="AM27" s="78"/>
      <c r="AN27" s="78"/>
      <c r="AO27" s="78"/>
    </row>
    <row r="28" spans="1:43" ht="13" x14ac:dyDescent="0.3">
      <c r="A28" s="98" t="s">
        <v>36</v>
      </c>
      <c r="B28" s="98"/>
      <c r="C28" s="98"/>
      <c r="D28" s="88"/>
      <c r="E28" s="8">
        <f>E2</f>
        <v>0</v>
      </c>
      <c r="F28" s="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>
        <v>1</v>
      </c>
      <c r="AM28" s="78"/>
      <c r="AN28" s="78"/>
      <c r="AO28" s="78"/>
    </row>
    <row r="29" spans="1:43" ht="13" x14ac:dyDescent="0.3">
      <c r="A29" s="98" t="s">
        <v>80</v>
      </c>
      <c r="B29" s="98"/>
      <c r="C29" s="98"/>
      <c r="D29" s="88"/>
      <c r="E29" s="5">
        <f>E3</f>
        <v>0</v>
      </c>
      <c r="F29" s="5"/>
      <c r="T29" s="10"/>
      <c r="U29" s="10"/>
      <c r="V29" s="10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80" t="s">
        <v>81</v>
      </c>
      <c r="AH29" s="80"/>
      <c r="AI29" s="78"/>
      <c r="AJ29" s="78"/>
      <c r="AK29" s="78"/>
      <c r="AL29" s="78">
        <v>2</v>
      </c>
      <c r="AM29" s="78"/>
      <c r="AN29" s="78"/>
      <c r="AO29" s="78"/>
      <c r="AP29" s="10"/>
      <c r="AQ29" s="10"/>
    </row>
    <row r="30" spans="1:43" ht="13" x14ac:dyDescent="0.3">
      <c r="A30" s="98" t="s">
        <v>82</v>
      </c>
      <c r="B30" s="98"/>
      <c r="C30" s="98"/>
      <c r="D30" s="88"/>
      <c r="T30" s="10"/>
      <c r="U30" s="10"/>
      <c r="V30" s="10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>
        <v>3</v>
      </c>
      <c r="AM30" s="78"/>
      <c r="AN30" s="78"/>
      <c r="AO30" s="78"/>
      <c r="AP30" s="10"/>
      <c r="AQ30" s="10"/>
    </row>
    <row r="31" spans="1:43" ht="13" x14ac:dyDescent="0.3">
      <c r="A31" s="4" t="s">
        <v>83</v>
      </c>
      <c r="B31" s="4" t="s">
        <v>84</v>
      </c>
      <c r="C31" s="4" t="s">
        <v>85</v>
      </c>
      <c r="D31" s="98" t="s">
        <v>86</v>
      </c>
      <c r="E31" s="98"/>
      <c r="F31" s="4" t="s">
        <v>87</v>
      </c>
      <c r="G31" s="4" t="s">
        <v>88</v>
      </c>
      <c r="H31" s="98" t="s">
        <v>27</v>
      </c>
      <c r="I31" s="98"/>
      <c r="J31" s="4" t="s">
        <v>28</v>
      </c>
      <c r="K31" s="4" t="s">
        <v>29</v>
      </c>
      <c r="L31" s="4" t="s">
        <v>30</v>
      </c>
      <c r="M31" s="4" t="s">
        <v>31</v>
      </c>
      <c r="N31" s="98" t="s">
        <v>32</v>
      </c>
      <c r="O31" s="98"/>
      <c r="T31" s="10"/>
      <c r="U31" s="10"/>
      <c r="V31" s="10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80" t="s">
        <v>9</v>
      </c>
      <c r="AH31" s="80"/>
      <c r="AI31" s="78"/>
      <c r="AJ31" s="78"/>
      <c r="AK31" s="78"/>
      <c r="AL31" s="78">
        <v>4</v>
      </c>
      <c r="AM31" s="78"/>
      <c r="AN31" s="78"/>
      <c r="AO31" s="78"/>
      <c r="AP31" s="10"/>
      <c r="AQ31" s="10"/>
    </row>
    <row r="32" spans="1:43" ht="13" x14ac:dyDescent="0.3">
      <c r="A32" s="3">
        <f>AK6</f>
        <v>0</v>
      </c>
      <c r="B32" s="3">
        <f>AK7</f>
        <v>0</v>
      </c>
      <c r="C32" s="3">
        <f>AK8</f>
        <v>0</v>
      </c>
      <c r="D32" s="101">
        <f>AK9</f>
        <v>0</v>
      </c>
      <c r="E32" s="101"/>
      <c r="F32" s="3">
        <f>AK10</f>
        <v>0</v>
      </c>
      <c r="G32" s="3">
        <f>AK11</f>
        <v>0</v>
      </c>
      <c r="H32" s="101">
        <f>AK12</f>
        <v>0</v>
      </c>
      <c r="I32" s="101"/>
      <c r="J32" s="3">
        <f>AK13</f>
        <v>0</v>
      </c>
      <c r="K32" s="3">
        <f>AK14</f>
        <v>0</v>
      </c>
      <c r="L32" s="3">
        <f>AK15</f>
        <v>0</v>
      </c>
      <c r="M32" s="3">
        <f>AK16</f>
        <v>0</v>
      </c>
      <c r="N32" s="101">
        <f>AK17</f>
        <v>0</v>
      </c>
      <c r="O32" s="101"/>
      <c r="T32" s="11" t="s">
        <v>70</v>
      </c>
      <c r="U32" s="10" t="s">
        <v>89</v>
      </c>
      <c r="V32" s="10" t="s">
        <v>90</v>
      </c>
      <c r="W32" s="78" t="s">
        <v>91</v>
      </c>
      <c r="X32" s="78" t="s">
        <v>92</v>
      </c>
      <c r="Y32" s="78" t="s">
        <v>93</v>
      </c>
      <c r="Z32" s="78" t="s">
        <v>94</v>
      </c>
      <c r="AA32" s="78"/>
      <c r="AB32" s="78"/>
      <c r="AC32" s="78"/>
      <c r="AD32" s="78"/>
      <c r="AE32" s="78"/>
      <c r="AF32" s="78"/>
      <c r="AG32" s="78" t="s">
        <v>10</v>
      </c>
      <c r="AH32" s="78"/>
      <c r="AI32" s="79">
        <v>42177</v>
      </c>
      <c r="AJ32" s="79"/>
      <c r="AK32" s="78"/>
      <c r="AL32" s="78">
        <v>5</v>
      </c>
      <c r="AM32" s="78"/>
      <c r="AN32" s="78"/>
      <c r="AO32" s="78"/>
      <c r="AP32" s="10"/>
      <c r="AQ32" s="10"/>
    </row>
    <row r="33" spans="1:43" ht="13" x14ac:dyDescent="0.3">
      <c r="A33" s="98" t="s">
        <v>95</v>
      </c>
      <c r="B33" s="98"/>
      <c r="C33" s="98"/>
      <c r="D33" s="88"/>
      <c r="G33" s="101"/>
      <c r="H33" s="101"/>
      <c r="I33" s="90"/>
      <c r="T33" s="10">
        <v>1</v>
      </c>
      <c r="U33" s="10">
        <f>IF(AND(B6&gt;0,G6&gt;0),0,IF(AND(G6&gt;0),0,F6+K6))</f>
        <v>48</v>
      </c>
      <c r="V33" s="10">
        <f>IF(AND(G6&gt;0,L6&gt;0),0,IF(AND(L6&gt;0),0,K6+P6))</f>
        <v>48</v>
      </c>
      <c r="W33" s="78">
        <f>IF(AND(L6&gt;0,Q6&gt;0),0,IF(AND(Q6&gt;0),0,P6+U6))</f>
        <v>48</v>
      </c>
      <c r="X33" s="78">
        <f>IF(AND(Q6&gt;0,V6&gt;0),0,IF(AND(V6&gt;0),0,U6+Z6))</f>
        <v>48</v>
      </c>
      <c r="Y33" s="78">
        <f>IF(AND(V6&gt;0,AA6&gt;0),0,IF(AND(AA6&gt;0),0,Z6+AE6))</f>
        <v>48</v>
      </c>
      <c r="Z33" s="78">
        <f>IF(AND(AA6&gt;0,AF6&gt;0),0,IF(AND(AF6&gt;0),0,AE6+AJ6))</f>
        <v>48</v>
      </c>
      <c r="AA33" s="78"/>
      <c r="AB33" s="78"/>
      <c r="AC33" s="78"/>
      <c r="AD33" s="78"/>
      <c r="AE33" s="78"/>
      <c r="AF33" s="78"/>
      <c r="AG33" s="78" t="s">
        <v>11</v>
      </c>
      <c r="AH33" s="78"/>
      <c r="AI33" s="79">
        <v>42178</v>
      </c>
      <c r="AJ33" s="79"/>
      <c r="AK33" s="78"/>
      <c r="AL33" s="78">
        <v>6</v>
      </c>
      <c r="AM33" s="78"/>
      <c r="AN33" s="78"/>
      <c r="AO33" s="78"/>
      <c r="AP33" s="10"/>
      <c r="AQ33" s="10"/>
    </row>
    <row r="34" spans="1:43" x14ac:dyDescent="0.25">
      <c r="A34" s="101" t="s">
        <v>96</v>
      </c>
      <c r="B34" s="101"/>
      <c r="C34" s="3">
        <f>(AK6+AK7+AK8+AK9+AK10+AK11+AK12+AK13+AK14+AK15+AK16+AK17)/M1</f>
        <v>0</v>
      </c>
      <c r="T34" s="10">
        <v>2</v>
      </c>
      <c r="U34" s="10">
        <f t="shared" ref="U34:U40" si="17">IF(AND(B7&gt;0,G7&gt;0),0,IF(AND(G7&gt;0),0,F7+K7))</f>
        <v>48</v>
      </c>
      <c r="V34" s="10">
        <f t="shared" ref="V34:V40" si="18">IF(AND(G7&gt;0,L7&gt;0),0,IF(AND(L7&gt;0),0,K7+P7))</f>
        <v>48</v>
      </c>
      <c r="W34" s="78">
        <f t="shared" ref="W34:W44" si="19">IF(AND(L7&gt;0,Q7&gt;0),0,IF(AND(Q7&gt;0),0,P7+U7))</f>
        <v>48</v>
      </c>
      <c r="X34" s="78">
        <f t="shared" ref="X34:X44" si="20">IF(AND(Q7&gt;0,V7&gt;0),0,IF(AND(V7&gt;0),0,U7+Z7))</f>
        <v>48</v>
      </c>
      <c r="Y34" s="78">
        <f t="shared" ref="Y34:Y44" si="21">IF(AND(V7&gt;0,AA7&gt;0),0,IF(AND(AA7&gt;0),0,Z7+AE7))</f>
        <v>48</v>
      </c>
      <c r="Z34" s="78">
        <f t="shared" ref="Z34:Z44" si="22">IF(AND(AA7&gt;0,AF7&gt;0),0,IF(AND(AF7&gt;0),0,AE7+AJ7))</f>
        <v>48</v>
      </c>
      <c r="AA34" s="78"/>
      <c r="AB34" s="78"/>
      <c r="AC34" s="78"/>
      <c r="AD34" s="78"/>
      <c r="AE34" s="78"/>
      <c r="AF34" s="78"/>
      <c r="AG34" s="78" t="s">
        <v>12</v>
      </c>
      <c r="AH34" s="78"/>
      <c r="AI34" s="79">
        <v>42179</v>
      </c>
      <c r="AJ34" s="79"/>
      <c r="AK34" s="78"/>
      <c r="AL34" s="78">
        <v>7</v>
      </c>
      <c r="AM34" s="78"/>
      <c r="AN34" s="78"/>
      <c r="AO34" s="78"/>
      <c r="AP34" s="10"/>
      <c r="AQ34" s="10"/>
    </row>
    <row r="35" spans="1:43" x14ac:dyDescent="0.25">
      <c r="T35" s="10">
        <v>3</v>
      </c>
      <c r="U35" s="10">
        <f t="shared" si="17"/>
        <v>48</v>
      </c>
      <c r="V35" s="10">
        <f t="shared" si="18"/>
        <v>48</v>
      </c>
      <c r="W35" s="78">
        <f t="shared" si="19"/>
        <v>48</v>
      </c>
      <c r="X35" s="78">
        <f t="shared" si="20"/>
        <v>48</v>
      </c>
      <c r="Y35" s="78">
        <f t="shared" si="21"/>
        <v>48</v>
      </c>
      <c r="Z35" s="78">
        <f t="shared" si="22"/>
        <v>48</v>
      </c>
      <c r="AA35" s="78"/>
      <c r="AB35" s="78"/>
      <c r="AC35" s="78"/>
      <c r="AD35" s="78"/>
      <c r="AE35" s="78"/>
      <c r="AF35" s="78"/>
      <c r="AG35" s="78" t="s">
        <v>13</v>
      </c>
      <c r="AH35" s="78"/>
      <c r="AI35" s="79">
        <v>42180</v>
      </c>
      <c r="AJ35" s="79"/>
      <c r="AK35" s="78"/>
      <c r="AL35" s="78">
        <v>8</v>
      </c>
      <c r="AM35" s="78"/>
      <c r="AN35" s="78"/>
      <c r="AO35" s="78"/>
      <c r="AP35" s="78"/>
      <c r="AQ35" s="10"/>
    </row>
    <row r="36" spans="1:43" ht="13" x14ac:dyDescent="0.3">
      <c r="A36" s="98" t="s">
        <v>97</v>
      </c>
      <c r="B36" s="98"/>
      <c r="C36" s="98"/>
      <c r="D36" s="98"/>
      <c r="E36" s="98"/>
      <c r="F36" s="88"/>
      <c r="T36" s="10">
        <v>4</v>
      </c>
      <c r="U36" s="10">
        <f t="shared" si="17"/>
        <v>48</v>
      </c>
      <c r="V36" s="10">
        <f t="shared" si="18"/>
        <v>48</v>
      </c>
      <c r="W36" s="78">
        <f t="shared" si="19"/>
        <v>48</v>
      </c>
      <c r="X36" s="78">
        <f t="shared" si="20"/>
        <v>48</v>
      </c>
      <c r="Y36" s="78">
        <f t="shared" si="21"/>
        <v>48</v>
      </c>
      <c r="Z36" s="78">
        <f t="shared" si="22"/>
        <v>48</v>
      </c>
      <c r="AA36" s="78"/>
      <c r="AB36" s="78"/>
      <c r="AC36" s="78"/>
      <c r="AD36" s="78"/>
      <c r="AE36" s="78"/>
      <c r="AF36" s="78"/>
      <c r="AG36" s="78" t="s">
        <v>14</v>
      </c>
      <c r="AH36" s="78"/>
      <c r="AI36" s="79">
        <v>42181</v>
      </c>
      <c r="AJ36" s="79"/>
      <c r="AK36" s="78"/>
      <c r="AL36" s="3">
        <v>9</v>
      </c>
      <c r="AM36" s="78"/>
      <c r="AN36" s="78"/>
      <c r="AO36" s="78"/>
      <c r="AP36" s="78"/>
      <c r="AQ36" s="10"/>
    </row>
    <row r="37" spans="1:43" x14ac:dyDescent="0.25">
      <c r="A37" s="99" t="e">
        <f>C34/E3</f>
        <v>#DIV/0!</v>
      </c>
      <c r="B37" s="99"/>
      <c r="C37" s="99"/>
      <c r="T37" s="10">
        <v>5</v>
      </c>
      <c r="U37" s="10">
        <f t="shared" si="17"/>
        <v>48</v>
      </c>
      <c r="V37" s="10">
        <f t="shared" si="18"/>
        <v>48</v>
      </c>
      <c r="W37" s="78">
        <f t="shared" si="19"/>
        <v>48</v>
      </c>
      <c r="X37" s="78">
        <f t="shared" si="20"/>
        <v>48</v>
      </c>
      <c r="Y37" s="78">
        <f t="shared" si="21"/>
        <v>48</v>
      </c>
      <c r="Z37" s="78">
        <f t="shared" si="22"/>
        <v>48</v>
      </c>
      <c r="AA37" s="78"/>
      <c r="AB37" s="78"/>
      <c r="AC37" s="78"/>
      <c r="AD37" s="78"/>
      <c r="AE37" s="78"/>
      <c r="AF37" s="78"/>
      <c r="AG37" s="78" t="s">
        <v>15</v>
      </c>
      <c r="AH37" s="78"/>
      <c r="AI37" s="79">
        <v>42182</v>
      </c>
      <c r="AJ37" s="79"/>
      <c r="AK37" s="78"/>
      <c r="AL37" s="3">
        <v>10</v>
      </c>
      <c r="AM37" s="78"/>
      <c r="AN37" s="78"/>
      <c r="AO37" s="78"/>
      <c r="AP37" s="78"/>
      <c r="AQ37" s="10"/>
    </row>
    <row r="38" spans="1:43" x14ac:dyDescent="0.25">
      <c r="T38" s="10">
        <v>6</v>
      </c>
      <c r="U38" s="10">
        <f t="shared" si="17"/>
        <v>48</v>
      </c>
      <c r="V38" s="10">
        <f t="shared" si="18"/>
        <v>48</v>
      </c>
      <c r="W38" s="78">
        <f t="shared" si="19"/>
        <v>48</v>
      </c>
      <c r="X38" s="78">
        <f t="shared" si="20"/>
        <v>48</v>
      </c>
      <c r="Y38" s="78">
        <f t="shared" si="21"/>
        <v>48</v>
      </c>
      <c r="Z38" s="78">
        <f t="shared" si="22"/>
        <v>48</v>
      </c>
      <c r="AA38" s="78"/>
      <c r="AB38" s="78"/>
      <c r="AC38" s="78"/>
      <c r="AD38" s="78"/>
      <c r="AE38" s="78"/>
      <c r="AF38" s="78"/>
      <c r="AG38" s="78" t="s">
        <v>16</v>
      </c>
      <c r="AH38" s="78"/>
      <c r="AI38" s="79">
        <v>42183</v>
      </c>
      <c r="AJ38" s="79"/>
      <c r="AK38" s="78"/>
      <c r="AL38" s="3">
        <v>11</v>
      </c>
      <c r="AM38" s="78"/>
      <c r="AN38" s="78"/>
      <c r="AO38" s="78"/>
      <c r="AP38" s="78"/>
      <c r="AQ38" s="10"/>
    </row>
    <row r="39" spans="1:43" x14ac:dyDescent="0.25">
      <c r="T39" s="10">
        <v>7</v>
      </c>
      <c r="U39" s="10">
        <f t="shared" si="17"/>
        <v>48</v>
      </c>
      <c r="V39" s="10">
        <f t="shared" si="18"/>
        <v>48</v>
      </c>
      <c r="W39" s="78">
        <f t="shared" si="19"/>
        <v>48</v>
      </c>
      <c r="X39" s="78">
        <f t="shared" si="20"/>
        <v>48</v>
      </c>
      <c r="Y39" s="78">
        <f t="shared" si="21"/>
        <v>48</v>
      </c>
      <c r="Z39" s="78">
        <f t="shared" si="22"/>
        <v>48</v>
      </c>
      <c r="AA39" s="78"/>
      <c r="AB39" s="78"/>
      <c r="AC39" s="78"/>
      <c r="AD39" s="78"/>
      <c r="AE39" s="78"/>
      <c r="AF39" s="78"/>
      <c r="AG39" s="100">
        <f>IF(E1=AG32,AI32,IF(E1=AG33,AI33,IF(E1=AG34,AI34,IF(E1=AG35,AI35,IF(E1=AG36,AI36,IF(E1=AG37,AI37,IF(E1=AG38,AI38,AI32)))))))</f>
        <v>42177</v>
      </c>
      <c r="AH39" s="100"/>
      <c r="AI39" s="100"/>
      <c r="AJ39" s="100"/>
      <c r="AK39" s="100"/>
      <c r="AL39" s="3">
        <v>12</v>
      </c>
      <c r="AM39" s="78"/>
      <c r="AN39" s="78"/>
      <c r="AO39" s="78"/>
      <c r="AP39" s="78"/>
      <c r="AQ39" s="10"/>
    </row>
    <row r="40" spans="1:43" ht="13" x14ac:dyDescent="0.3">
      <c r="A40" s="4" t="s">
        <v>98</v>
      </c>
      <c r="T40" s="10">
        <v>8</v>
      </c>
      <c r="U40" s="10">
        <f t="shared" si="17"/>
        <v>48</v>
      </c>
      <c r="V40" s="10">
        <f t="shared" si="18"/>
        <v>48</v>
      </c>
      <c r="W40" s="78">
        <f t="shared" si="19"/>
        <v>48</v>
      </c>
      <c r="X40" s="78">
        <f t="shared" si="20"/>
        <v>48</v>
      </c>
      <c r="Y40" s="78">
        <f t="shared" si="21"/>
        <v>48</v>
      </c>
      <c r="Z40" s="78">
        <f t="shared" si="22"/>
        <v>48</v>
      </c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10"/>
    </row>
    <row r="41" spans="1:43" x14ac:dyDescent="0.25">
      <c r="A41" s="3" t="s">
        <v>99</v>
      </c>
      <c r="T41" s="10"/>
      <c r="U41" s="10"/>
      <c r="V41" s="10"/>
      <c r="W41" s="78">
        <f t="shared" si="19"/>
        <v>48</v>
      </c>
      <c r="X41" s="78">
        <f t="shared" si="20"/>
        <v>48</v>
      </c>
      <c r="Y41" s="78">
        <f t="shared" si="21"/>
        <v>48</v>
      </c>
      <c r="Z41" s="78">
        <f t="shared" si="22"/>
        <v>48</v>
      </c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10"/>
    </row>
    <row r="42" spans="1:43" ht="13" x14ac:dyDescent="0.3">
      <c r="A42" s="3" t="s">
        <v>100</v>
      </c>
      <c r="O42" s="81">
        <v>0.29166666666666669</v>
      </c>
      <c r="P42" s="81">
        <v>0.33333333333333331</v>
      </c>
      <c r="Q42" s="3">
        <f>(P42-O42)*24</f>
        <v>0.99999999999999911</v>
      </c>
      <c r="T42" s="10"/>
      <c r="U42" s="10"/>
      <c r="V42" s="10"/>
      <c r="W42" s="78">
        <f t="shared" si="19"/>
        <v>48</v>
      </c>
      <c r="X42" s="78">
        <f t="shared" si="20"/>
        <v>48</v>
      </c>
      <c r="Y42" s="78">
        <f t="shared" si="21"/>
        <v>48</v>
      </c>
      <c r="Z42" s="78">
        <f t="shared" si="22"/>
        <v>48</v>
      </c>
      <c r="AA42" s="78"/>
      <c r="AB42" s="78"/>
      <c r="AC42" s="78"/>
      <c r="AD42" s="78"/>
      <c r="AE42" s="78"/>
      <c r="AF42" s="78"/>
      <c r="AG42" s="80" t="s">
        <v>101</v>
      </c>
      <c r="AH42" s="80"/>
      <c r="AI42" s="78"/>
      <c r="AJ42" s="78"/>
      <c r="AK42" s="78"/>
      <c r="AL42" s="80" t="s">
        <v>102</v>
      </c>
      <c r="AM42" s="78"/>
      <c r="AN42" s="78"/>
      <c r="AO42" s="78"/>
      <c r="AP42" s="78"/>
      <c r="AQ42" s="10"/>
    </row>
    <row r="43" spans="1:43" x14ac:dyDescent="0.25">
      <c r="T43" s="10"/>
      <c r="U43" s="10"/>
      <c r="V43" s="10"/>
      <c r="W43" s="78">
        <f t="shared" si="19"/>
        <v>48</v>
      </c>
      <c r="X43" s="78">
        <f t="shared" si="20"/>
        <v>48</v>
      </c>
      <c r="Y43" s="78">
        <f t="shared" si="21"/>
        <v>48</v>
      </c>
      <c r="Z43" s="78">
        <f t="shared" si="22"/>
        <v>48</v>
      </c>
      <c r="AA43" s="78"/>
      <c r="AB43" s="78"/>
      <c r="AC43" s="78"/>
      <c r="AD43" s="78"/>
      <c r="AE43" s="78"/>
      <c r="AF43" s="78"/>
      <c r="AG43" s="78">
        <v>33.6</v>
      </c>
      <c r="AH43" s="78"/>
      <c r="AI43" s="78"/>
      <c r="AJ43" s="78"/>
      <c r="AK43" s="78"/>
      <c r="AL43" s="78" t="s">
        <v>103</v>
      </c>
      <c r="AM43" s="78"/>
      <c r="AN43" s="78"/>
      <c r="AO43" s="78"/>
      <c r="AP43" s="78"/>
      <c r="AQ43" s="10"/>
    </row>
    <row r="44" spans="1:43" x14ac:dyDescent="0.25">
      <c r="A44" s="3" t="s">
        <v>104</v>
      </c>
      <c r="T44" s="10"/>
      <c r="U44" s="10"/>
      <c r="V44" s="10"/>
      <c r="W44" s="78">
        <f t="shared" si="19"/>
        <v>48</v>
      </c>
      <c r="X44" s="78">
        <f t="shared" si="20"/>
        <v>48</v>
      </c>
      <c r="Y44" s="78">
        <f t="shared" si="21"/>
        <v>48</v>
      </c>
      <c r="Z44" s="78">
        <f t="shared" si="22"/>
        <v>48</v>
      </c>
      <c r="AA44" s="78"/>
      <c r="AB44" s="78"/>
      <c r="AC44" s="78"/>
      <c r="AD44" s="78"/>
      <c r="AE44" s="78"/>
      <c r="AF44" s="78"/>
      <c r="AG44" s="78">
        <v>35.5</v>
      </c>
      <c r="AH44" s="78"/>
      <c r="AI44" s="78"/>
      <c r="AJ44" s="78"/>
      <c r="AK44" s="78"/>
      <c r="AL44" s="78" t="s">
        <v>105</v>
      </c>
      <c r="AM44" s="78"/>
      <c r="AN44" s="78"/>
      <c r="AO44" s="78"/>
      <c r="AP44" s="78"/>
      <c r="AQ44" s="10"/>
    </row>
    <row r="45" spans="1:43" x14ac:dyDescent="0.25">
      <c r="A45" s="1">
        <v>11</v>
      </c>
      <c r="B45" s="5">
        <f>COUNTIF($F$6:$F$13,"&lt;" &amp; A45)+COUNTIF($K$6:$K$13,"&lt;" &amp; A45)+COUNTIF($P$6:$P$13,"&lt;" &amp; A45)+COUNTIF($U$6:$U$13,"&lt;" &amp; A45)+COUNTIF($Z$6:$Z$13,"&lt;" &amp; A45)+COUNTIF($AE$6:$AE$13,"&lt;" &amp; A45)+COUNTIF($AJ$6:$AJ$13,"&lt;" &amp; A45)</f>
        <v>0</v>
      </c>
      <c r="T45" s="10"/>
      <c r="U45" s="10"/>
      <c r="V45" s="10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>
        <v>37.5</v>
      </c>
      <c r="AH45" s="78"/>
      <c r="AI45" s="78"/>
      <c r="AJ45" s="78"/>
      <c r="AK45" s="78"/>
      <c r="AL45" s="78"/>
      <c r="AM45" s="78"/>
      <c r="AN45" s="78"/>
      <c r="AO45" s="78"/>
      <c r="AP45" s="78"/>
      <c r="AQ45" s="10"/>
    </row>
    <row r="46" spans="1:43" x14ac:dyDescent="0.25">
      <c r="T46" s="10"/>
      <c r="U46" s="10"/>
      <c r="V46" s="10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78"/>
      <c r="AQ46" s="10"/>
    </row>
    <row r="47" spans="1:43" x14ac:dyDescent="0.25">
      <c r="T47" s="10"/>
      <c r="U47" s="10"/>
      <c r="V47" s="10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10"/>
    </row>
    <row r="48" spans="1:43" x14ac:dyDescent="0.25">
      <c r="T48" s="10"/>
      <c r="U48" s="10"/>
      <c r="V48" s="10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78"/>
      <c r="AO48" s="78"/>
      <c r="AP48" s="78"/>
      <c r="AQ48" s="10"/>
    </row>
    <row r="49" spans="1:43" ht="13" x14ac:dyDescent="0.3">
      <c r="A49" s="4" t="s">
        <v>106</v>
      </c>
      <c r="T49" s="10"/>
      <c r="U49" s="10"/>
      <c r="V49" s="10"/>
      <c r="W49" s="78"/>
      <c r="X49" s="78"/>
      <c r="Y49" s="78"/>
      <c r="Z49" s="78"/>
      <c r="AA49" s="78"/>
      <c r="AB49" s="80" t="s">
        <v>107</v>
      </c>
      <c r="AC49" s="80"/>
      <c r="AD49" s="78"/>
      <c r="AE49" s="78"/>
      <c r="AF49" s="78"/>
      <c r="AG49" s="78"/>
      <c r="AH49" s="78"/>
      <c r="AI49" s="78"/>
      <c r="AJ49" s="78"/>
      <c r="AK49" s="78"/>
      <c r="AL49" s="78"/>
      <c r="AM49" s="78"/>
      <c r="AN49" s="78"/>
      <c r="AO49" s="78"/>
      <c r="AP49" s="78"/>
      <c r="AQ49" s="10"/>
    </row>
    <row r="50" spans="1:43" x14ac:dyDescent="0.25">
      <c r="A50" s="3" t="s">
        <v>108</v>
      </c>
      <c r="T50" s="10"/>
      <c r="U50" s="10"/>
      <c r="V50" s="10"/>
      <c r="W50" s="78"/>
      <c r="X50" s="78"/>
      <c r="Y50" s="78"/>
      <c r="Z50" s="78"/>
      <c r="AA50" s="78"/>
      <c r="AB50" s="78" t="s">
        <v>109</v>
      </c>
      <c r="AC50" s="78"/>
      <c r="AD50" s="78"/>
      <c r="AE50" s="78"/>
      <c r="AF50" s="78"/>
      <c r="AG50" s="78"/>
      <c r="AH50" s="78"/>
      <c r="AI50" s="78"/>
      <c r="AJ50" s="78"/>
      <c r="AK50" s="78"/>
      <c r="AL50" s="78"/>
      <c r="AM50" s="78"/>
      <c r="AN50" s="78"/>
      <c r="AO50" s="78"/>
      <c r="AP50" s="78"/>
      <c r="AQ50" s="10"/>
    </row>
    <row r="51" spans="1:43" ht="13" x14ac:dyDescent="0.3">
      <c r="A51" s="4" t="s">
        <v>110</v>
      </c>
      <c r="T51" s="10"/>
      <c r="U51" s="10"/>
      <c r="V51" s="10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  <c r="AN51" s="78"/>
      <c r="AO51" s="78"/>
      <c r="AP51" s="78"/>
      <c r="AQ51" s="10"/>
    </row>
    <row r="52" spans="1:43" x14ac:dyDescent="0.25">
      <c r="A52" s="3" t="s">
        <v>111</v>
      </c>
      <c r="T52" s="10"/>
      <c r="U52" s="10"/>
      <c r="V52" s="10"/>
      <c r="W52" s="78"/>
      <c r="X52" s="78"/>
      <c r="Y52" s="78"/>
      <c r="Z52" s="78"/>
      <c r="AA52" s="78"/>
      <c r="AB52" s="78" t="s">
        <v>112</v>
      </c>
      <c r="AC52" s="78"/>
      <c r="AD52" s="78"/>
      <c r="AE52" s="78"/>
      <c r="AF52" s="78"/>
      <c r="AG52" s="78"/>
      <c r="AH52" s="78"/>
      <c r="AI52" s="78"/>
      <c r="AJ52" s="78"/>
      <c r="AK52" s="78"/>
      <c r="AL52" s="78"/>
      <c r="AM52" s="78"/>
      <c r="AN52" s="78"/>
      <c r="AO52" s="78"/>
      <c r="AP52" s="78"/>
      <c r="AQ52" s="10"/>
    </row>
    <row r="53" spans="1:43" x14ac:dyDescent="0.25">
      <c r="A53" s="3" t="s">
        <v>113</v>
      </c>
      <c r="T53" s="10"/>
      <c r="U53" s="10"/>
      <c r="V53" s="10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78"/>
      <c r="AO53" s="78"/>
      <c r="AP53" s="78"/>
      <c r="AQ53" s="10"/>
    </row>
    <row r="54" spans="1:43" x14ac:dyDescent="0.25">
      <c r="A54" s="3" t="s">
        <v>114</v>
      </c>
      <c r="T54" s="10"/>
      <c r="U54" s="10"/>
      <c r="V54" s="10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78"/>
      <c r="AL54" s="78"/>
      <c r="AM54" s="78"/>
      <c r="AN54" s="78"/>
      <c r="AO54" s="78"/>
      <c r="AP54" s="78"/>
      <c r="AQ54" s="10"/>
    </row>
    <row r="55" spans="1:43" x14ac:dyDescent="0.25">
      <c r="T55" s="10"/>
      <c r="U55" s="10"/>
      <c r="V55" s="10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10"/>
    </row>
    <row r="56" spans="1:43" ht="13" x14ac:dyDescent="0.3">
      <c r="A56" s="4" t="s">
        <v>115</v>
      </c>
      <c r="T56" s="10"/>
      <c r="U56" s="10"/>
      <c r="V56" s="10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78"/>
      <c r="AO56" s="78"/>
      <c r="AP56" s="78"/>
      <c r="AQ56" s="10"/>
    </row>
    <row r="57" spans="1:43" x14ac:dyDescent="0.25">
      <c r="A57" s="3" t="s">
        <v>116</v>
      </c>
      <c r="T57" s="10"/>
      <c r="U57" s="10"/>
      <c r="V57" s="10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/>
      <c r="AO57" s="78"/>
      <c r="AP57" s="78"/>
      <c r="AQ57" s="10"/>
    </row>
    <row r="58" spans="1:43" ht="13" x14ac:dyDescent="0.3">
      <c r="A58" s="4" t="s">
        <v>110</v>
      </c>
      <c r="T58" s="10"/>
      <c r="U58" s="10"/>
      <c r="V58" s="10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 t="s">
        <v>117</v>
      </c>
      <c r="AH58" s="78"/>
      <c r="AI58" s="78"/>
      <c r="AJ58" s="78"/>
      <c r="AK58" s="78"/>
      <c r="AL58" s="78"/>
      <c r="AM58" s="78"/>
      <c r="AN58" s="78"/>
      <c r="AO58" s="78"/>
      <c r="AP58" s="78"/>
      <c r="AQ58" s="10"/>
    </row>
    <row r="59" spans="1:43" x14ac:dyDescent="0.25">
      <c r="A59" s="3" t="s">
        <v>111</v>
      </c>
      <c r="T59" s="10"/>
      <c r="U59" s="10"/>
      <c r="V59" s="10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>
        <v>0</v>
      </c>
      <c r="AH59" s="78">
        <v>1</v>
      </c>
      <c r="AI59" s="78">
        <v>2</v>
      </c>
      <c r="AJ59" s="78">
        <v>3</v>
      </c>
      <c r="AK59" s="78">
        <v>4</v>
      </c>
      <c r="AL59" s="78">
        <v>5</v>
      </c>
      <c r="AM59" s="78">
        <v>6</v>
      </c>
      <c r="AN59" s="78"/>
      <c r="AO59" s="78"/>
      <c r="AP59" s="78"/>
      <c r="AQ59" s="10"/>
    </row>
    <row r="60" spans="1:43" x14ac:dyDescent="0.25">
      <c r="A60" s="3" t="s">
        <v>113</v>
      </c>
      <c r="T60" s="10"/>
      <c r="U60" s="10"/>
      <c r="V60" s="10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>
        <v>7</v>
      </c>
      <c r="AH60" s="78">
        <v>8</v>
      </c>
      <c r="AI60" s="78">
        <v>9</v>
      </c>
      <c r="AJ60" s="78">
        <v>10</v>
      </c>
      <c r="AK60" s="78">
        <v>11</v>
      </c>
      <c r="AL60" s="78">
        <v>12</v>
      </c>
      <c r="AM60" s="78">
        <v>13</v>
      </c>
      <c r="AN60" s="78"/>
      <c r="AO60" s="78"/>
      <c r="AP60" s="78"/>
      <c r="AQ60" s="10"/>
    </row>
    <row r="61" spans="1:43" x14ac:dyDescent="0.25">
      <c r="T61" s="10"/>
      <c r="U61" s="10"/>
      <c r="V61" s="10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>
        <v>14</v>
      </c>
      <c r="AH61" s="78">
        <v>15</v>
      </c>
      <c r="AI61" s="78">
        <v>16</v>
      </c>
      <c r="AJ61" s="78">
        <v>17</v>
      </c>
      <c r="AK61" s="78">
        <v>18</v>
      </c>
      <c r="AL61" s="78">
        <v>19</v>
      </c>
      <c r="AM61" s="78">
        <v>20</v>
      </c>
      <c r="AN61" s="78"/>
      <c r="AO61" s="78"/>
      <c r="AP61" s="78"/>
      <c r="AQ61" s="10"/>
    </row>
    <row r="62" spans="1:43" ht="13" x14ac:dyDescent="0.3">
      <c r="A62" s="4" t="s">
        <v>118</v>
      </c>
      <c r="T62" s="10"/>
      <c r="U62" s="10"/>
      <c r="V62" s="10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>
        <v>21</v>
      </c>
      <c r="AH62" s="78">
        <v>22</v>
      </c>
      <c r="AI62" s="78">
        <v>23</v>
      </c>
      <c r="AJ62" s="78">
        <v>24</v>
      </c>
      <c r="AK62" s="78">
        <v>25</v>
      </c>
      <c r="AL62" s="78">
        <v>26</v>
      </c>
      <c r="AM62" s="78">
        <v>27</v>
      </c>
      <c r="AN62" s="78"/>
      <c r="AO62" s="78"/>
      <c r="AP62" s="78"/>
      <c r="AQ62" s="10"/>
    </row>
    <row r="63" spans="1:43" x14ac:dyDescent="0.25">
      <c r="A63" s="3" t="s">
        <v>119</v>
      </c>
      <c r="T63" s="10"/>
      <c r="U63" s="10"/>
      <c r="V63" s="10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>
        <v>28</v>
      </c>
      <c r="AH63" s="78">
        <v>29</v>
      </c>
      <c r="AI63" s="78">
        <v>30</v>
      </c>
      <c r="AJ63" s="78">
        <v>31</v>
      </c>
      <c r="AK63" s="78">
        <v>32</v>
      </c>
      <c r="AL63" s="78">
        <v>33</v>
      </c>
      <c r="AM63" s="78">
        <v>34</v>
      </c>
      <c r="AN63" s="78"/>
      <c r="AO63" s="78"/>
      <c r="AP63" s="78"/>
      <c r="AQ63" s="10"/>
    </row>
    <row r="64" spans="1:43" x14ac:dyDescent="0.25">
      <c r="A64" s="3" t="s">
        <v>120</v>
      </c>
      <c r="T64" s="10"/>
      <c r="U64" s="10"/>
      <c r="V64" s="10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>
        <v>35</v>
      </c>
      <c r="AH64" s="78">
        <v>36</v>
      </c>
      <c r="AI64" s="78">
        <v>37</v>
      </c>
      <c r="AJ64" s="78">
        <v>38</v>
      </c>
      <c r="AK64" s="78">
        <v>39</v>
      </c>
      <c r="AL64" s="78">
        <v>40</v>
      </c>
      <c r="AM64" s="78">
        <v>41</v>
      </c>
      <c r="AN64" s="78"/>
      <c r="AO64" s="78"/>
      <c r="AP64" s="78"/>
      <c r="AQ64" s="10"/>
    </row>
    <row r="65" spans="1:43" x14ac:dyDescent="0.25">
      <c r="T65" s="10"/>
      <c r="U65" s="10"/>
      <c r="V65" s="10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>
        <v>42</v>
      </c>
      <c r="AH65" s="78">
        <v>43</v>
      </c>
      <c r="AI65" s="78">
        <v>44</v>
      </c>
      <c r="AJ65" s="78">
        <v>45</v>
      </c>
      <c r="AK65" s="78">
        <v>46</v>
      </c>
      <c r="AL65" s="78">
        <v>47</v>
      </c>
      <c r="AM65" s="78">
        <v>48</v>
      </c>
      <c r="AN65" s="78"/>
      <c r="AO65" s="78"/>
      <c r="AP65" s="78"/>
      <c r="AQ65" s="10"/>
    </row>
    <row r="66" spans="1:43" ht="13" x14ac:dyDescent="0.3">
      <c r="A66" s="3" t="s">
        <v>121</v>
      </c>
      <c r="B66" s="4"/>
      <c r="T66" s="10"/>
      <c r="U66" s="10"/>
      <c r="V66" s="10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>
        <v>49</v>
      </c>
      <c r="AH66" s="78">
        <v>50</v>
      </c>
      <c r="AI66" s="78">
        <v>51</v>
      </c>
      <c r="AJ66" s="78">
        <v>52</v>
      </c>
      <c r="AK66" s="78">
        <v>53</v>
      </c>
      <c r="AL66" s="78">
        <v>54</v>
      </c>
      <c r="AM66" s="78">
        <v>55</v>
      </c>
      <c r="AN66" s="78"/>
      <c r="AO66" s="78"/>
      <c r="AP66" s="78"/>
      <c r="AQ66" s="10"/>
    </row>
    <row r="67" spans="1:43" ht="13" x14ac:dyDescent="0.3">
      <c r="A67" s="1">
        <v>9</v>
      </c>
      <c r="B67" s="5">
        <f>COUNTIF($E$6:$E$13,"&gt;" &amp; A67)+COUNTIF($J$6:$J$13,"&gt;" &amp; A67)+COUNTIF($O$6:$O$13,"&gt;" &amp; A67)+COUNTIF($T$6:$T$13,"&gt;" &amp; A67)+COUNTIF($Y$6:$Y$13,"&gt;" &amp; A67)+COUNTIF($AD$6:$AD$13,"&gt;" &amp; A67)+COUNTIF($AI$6:$AI$13,"&gt;" &amp; A67)</f>
        <v>0</v>
      </c>
      <c r="C67" s="3" t="s">
        <v>122</v>
      </c>
      <c r="E67" s="3" t="s">
        <v>123</v>
      </c>
      <c r="H67" s="1" t="s">
        <v>124</v>
      </c>
      <c r="L67" s="3" t="s">
        <v>125</v>
      </c>
      <c r="T67" s="10"/>
      <c r="U67" s="10"/>
      <c r="V67" s="10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>
        <v>56</v>
      </c>
      <c r="AH67" s="78">
        <v>57</v>
      </c>
      <c r="AI67" s="78">
        <v>58</v>
      </c>
      <c r="AJ67" s="78">
        <v>59</v>
      </c>
      <c r="AK67" s="78">
        <v>60</v>
      </c>
      <c r="AL67" s="78">
        <v>61</v>
      </c>
      <c r="AM67" s="78">
        <v>62</v>
      </c>
      <c r="AN67" s="78"/>
      <c r="AO67" s="78"/>
      <c r="AP67" s="78"/>
      <c r="AQ67" s="10"/>
    </row>
    <row r="68" spans="1:43" x14ac:dyDescent="0.25">
      <c r="T68" s="10"/>
      <c r="U68" s="10"/>
      <c r="V68" s="10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>
        <v>63</v>
      </c>
      <c r="AH68" s="78">
        <v>64</v>
      </c>
      <c r="AI68" s="78">
        <v>65</v>
      </c>
      <c r="AJ68" s="78">
        <v>66</v>
      </c>
      <c r="AK68" s="78">
        <v>67</v>
      </c>
      <c r="AL68" s="78">
        <v>68</v>
      </c>
      <c r="AM68" s="78">
        <v>69</v>
      </c>
      <c r="AN68" s="78"/>
      <c r="AO68" s="78"/>
      <c r="AP68" s="78"/>
      <c r="AQ68" s="10"/>
    </row>
    <row r="69" spans="1:43" x14ac:dyDescent="0.25">
      <c r="A69" s="3" t="s">
        <v>126</v>
      </c>
      <c r="T69" s="10"/>
      <c r="U69" s="10"/>
      <c r="V69" s="10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>
        <v>70</v>
      </c>
      <c r="AH69" s="78">
        <v>71</v>
      </c>
      <c r="AI69" s="78">
        <v>72</v>
      </c>
      <c r="AJ69" s="78">
        <v>73</v>
      </c>
      <c r="AK69" s="78">
        <v>74</v>
      </c>
      <c r="AL69" s="78">
        <v>75</v>
      </c>
      <c r="AM69" s="78">
        <v>76</v>
      </c>
      <c r="AN69" s="78"/>
      <c r="AO69" s="78"/>
      <c r="AP69" s="78"/>
      <c r="AQ69" s="10"/>
    </row>
    <row r="70" spans="1:43" x14ac:dyDescent="0.25">
      <c r="A70" s="1">
        <v>20</v>
      </c>
      <c r="B70" s="5">
        <f>COUNTIF($AK$6:$AK$13,"&gt;" &amp; A70)</f>
        <v>0</v>
      </c>
      <c r="C70" s="3" t="s">
        <v>127</v>
      </c>
      <c r="E70" s="3" t="s">
        <v>128</v>
      </c>
      <c r="H70" s="1" t="s">
        <v>124</v>
      </c>
      <c r="T70" s="10"/>
      <c r="U70" s="10"/>
      <c r="V70" s="10"/>
      <c r="W70" s="78"/>
      <c r="X70" s="78"/>
      <c r="Y70" s="78"/>
      <c r="Z70" s="78"/>
      <c r="AA70" s="78"/>
      <c r="AB70" s="78"/>
      <c r="AC70" s="78"/>
      <c r="AD70" s="78"/>
      <c r="AE70" s="78"/>
      <c r="AF70" s="78"/>
      <c r="AG70" s="78">
        <v>77</v>
      </c>
      <c r="AH70" s="78">
        <v>78</v>
      </c>
      <c r="AI70" s="78">
        <v>79</v>
      </c>
      <c r="AJ70" s="78">
        <v>80</v>
      </c>
      <c r="AK70" s="78">
        <v>81</v>
      </c>
      <c r="AL70" s="78">
        <v>82</v>
      </c>
      <c r="AM70" s="78">
        <v>83</v>
      </c>
      <c r="AN70" s="78"/>
      <c r="AO70" s="78"/>
      <c r="AP70" s="78"/>
      <c r="AQ70" s="10"/>
    </row>
    <row r="71" spans="1:43" x14ac:dyDescent="0.25">
      <c r="W71" s="78"/>
      <c r="X71" s="78"/>
      <c r="Y71" s="78"/>
      <c r="Z71" s="78"/>
      <c r="AA71" s="78"/>
      <c r="AB71" s="78"/>
      <c r="AC71" s="78"/>
      <c r="AD71" s="78"/>
      <c r="AE71" s="78"/>
      <c r="AF71" s="78"/>
      <c r="AG71" s="78">
        <v>84</v>
      </c>
      <c r="AH71" s="78">
        <v>85</v>
      </c>
      <c r="AI71" s="78">
        <v>86</v>
      </c>
      <c r="AJ71" s="78">
        <v>87</v>
      </c>
      <c r="AK71" s="78">
        <v>88</v>
      </c>
      <c r="AL71" s="78">
        <v>89</v>
      </c>
      <c r="AM71" s="78">
        <v>90</v>
      </c>
      <c r="AN71" s="78"/>
      <c r="AO71" s="78"/>
      <c r="AP71" s="78"/>
    </row>
    <row r="72" spans="1:43" x14ac:dyDescent="0.25"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  <c r="AL72" s="78"/>
      <c r="AM72" s="78"/>
      <c r="AN72" s="78"/>
      <c r="AO72" s="78"/>
      <c r="AP72" s="78"/>
    </row>
    <row r="73" spans="1:43" x14ac:dyDescent="0.25">
      <c r="W73" s="78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8"/>
      <c r="AK73" s="78"/>
      <c r="AL73" s="78"/>
      <c r="AM73" s="78"/>
      <c r="AN73" s="78"/>
      <c r="AO73" s="78"/>
      <c r="AP73" s="78"/>
    </row>
    <row r="74" spans="1:43" x14ac:dyDescent="0.25"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78"/>
      <c r="AO74" s="78"/>
      <c r="AP74" s="78"/>
    </row>
    <row r="75" spans="1:43" x14ac:dyDescent="0.25"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  <c r="AK75" s="78"/>
      <c r="AL75" s="78"/>
      <c r="AM75" s="78"/>
      <c r="AN75" s="78"/>
      <c r="AO75" s="78"/>
      <c r="AP75" s="78"/>
    </row>
    <row r="76" spans="1:43" x14ac:dyDescent="0.25">
      <c r="W76" s="78"/>
      <c r="X76" s="78"/>
      <c r="Y76" s="78"/>
      <c r="Z76" s="78"/>
      <c r="AA76" s="78"/>
      <c r="AB76" s="78"/>
      <c r="AC76" s="78"/>
      <c r="AD76" s="78"/>
      <c r="AE76" s="78"/>
      <c r="AF76" s="78"/>
      <c r="AG76" s="78"/>
      <c r="AH76" s="78"/>
      <c r="AI76" s="78"/>
      <c r="AJ76" s="78"/>
      <c r="AK76" s="78"/>
      <c r="AL76" s="78"/>
      <c r="AM76" s="78"/>
      <c r="AN76" s="78"/>
      <c r="AO76" s="78"/>
      <c r="AP76" s="78"/>
    </row>
    <row r="77" spans="1:43" x14ac:dyDescent="0.25"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78"/>
      <c r="AK77" s="78"/>
      <c r="AL77" s="78"/>
      <c r="AM77" s="78"/>
      <c r="AN77" s="78"/>
      <c r="AO77" s="78"/>
      <c r="AP77" s="78"/>
    </row>
    <row r="78" spans="1:43" x14ac:dyDescent="0.25">
      <c r="W78" s="78"/>
      <c r="X78" s="78"/>
      <c r="Y78" s="78"/>
      <c r="Z78" s="78"/>
      <c r="AA78" s="78"/>
      <c r="AB78" s="78"/>
      <c r="AC78" s="78"/>
      <c r="AD78" s="78"/>
      <c r="AE78" s="78"/>
      <c r="AF78" s="78"/>
      <c r="AG78" s="78"/>
      <c r="AH78" s="78"/>
      <c r="AI78" s="78"/>
      <c r="AJ78" s="78"/>
      <c r="AK78" s="78"/>
      <c r="AL78" s="78"/>
      <c r="AM78" s="78"/>
      <c r="AN78" s="78"/>
      <c r="AO78" s="78"/>
      <c r="AP78" s="78"/>
    </row>
    <row r="79" spans="1:43" x14ac:dyDescent="0.25">
      <c r="W79" s="78"/>
      <c r="X79" s="78"/>
      <c r="Y79" s="78"/>
      <c r="Z79" s="78"/>
      <c r="AA79" s="78"/>
      <c r="AB79" s="78"/>
      <c r="AC79" s="78"/>
      <c r="AD79" s="78"/>
      <c r="AE79" s="78"/>
      <c r="AF79" s="78"/>
      <c r="AG79" s="78"/>
      <c r="AH79" s="78"/>
      <c r="AI79" s="78"/>
      <c r="AJ79" s="78"/>
      <c r="AK79" s="78"/>
      <c r="AL79" s="78"/>
      <c r="AM79" s="78"/>
      <c r="AN79" s="78"/>
      <c r="AO79" s="78"/>
      <c r="AP79" s="78"/>
    </row>
    <row r="80" spans="1:43" x14ac:dyDescent="0.25">
      <c r="W80" s="78"/>
      <c r="X80" s="78"/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  <c r="AJ80" s="78"/>
      <c r="AK80" s="78"/>
      <c r="AL80" s="78"/>
      <c r="AM80" s="78"/>
      <c r="AN80" s="78"/>
      <c r="AO80" s="78"/>
      <c r="AP80" s="78"/>
    </row>
    <row r="81" spans="1:42" x14ac:dyDescent="0.25"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  <c r="AJ81" s="78"/>
      <c r="AK81" s="78"/>
      <c r="AL81" s="78"/>
      <c r="AM81" s="78"/>
      <c r="AN81" s="78"/>
      <c r="AO81" s="78"/>
      <c r="AP81" s="78"/>
    </row>
    <row r="82" spans="1:42" x14ac:dyDescent="0.25"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8"/>
      <c r="AH82" s="78"/>
      <c r="AI82" s="78"/>
      <c r="AJ82" s="78"/>
      <c r="AK82" s="78"/>
      <c r="AL82" s="78"/>
      <c r="AM82" s="78"/>
      <c r="AN82" s="78"/>
      <c r="AO82" s="78"/>
      <c r="AP82" s="78"/>
    </row>
    <row r="83" spans="1:42" x14ac:dyDescent="0.25"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</row>
    <row r="84" spans="1:42" x14ac:dyDescent="0.25"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</row>
    <row r="85" spans="1:42" x14ac:dyDescent="0.25"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</row>
    <row r="86" spans="1:42" x14ac:dyDescent="0.25"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8"/>
      <c r="AO86" s="78"/>
      <c r="AP86" s="78"/>
    </row>
    <row r="87" spans="1:42" x14ac:dyDescent="0.25"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  <c r="AN87" s="78"/>
      <c r="AO87" s="78"/>
      <c r="AP87" s="78"/>
    </row>
    <row r="95" spans="1:42" ht="13" x14ac:dyDescent="0.3">
      <c r="A95" s="4"/>
    </row>
  </sheetData>
  <sheetProtection algorithmName="SHA-512" hashValue="ZwETAQnpl1ToNZ3U1gzUlVnMA1nyLdpWjornZ9C+pPk2yxMRAtgvk/YmUlljBG48amnLMkBzcU6n5m5zbes1iw==" saltValue="7ehM9+EUv2LaAna1AvY/Tw==" spinCount="100000" sheet="1" objects="1" scenarios="1"/>
  <mergeCells count="27">
    <mergeCell ref="A1:C1"/>
    <mergeCell ref="H1:L1"/>
    <mergeCell ref="A2:C2"/>
    <mergeCell ref="A3:C3"/>
    <mergeCell ref="B4:F4"/>
    <mergeCell ref="G4:J4"/>
    <mergeCell ref="L4:O4"/>
    <mergeCell ref="I2:J2"/>
    <mergeCell ref="Q4:T4"/>
    <mergeCell ref="V4:Y4"/>
    <mergeCell ref="AA4:AD4"/>
    <mergeCell ref="AF4:AI4"/>
    <mergeCell ref="AG39:AK39"/>
    <mergeCell ref="A28:C28"/>
    <mergeCell ref="A29:C29"/>
    <mergeCell ref="A30:C30"/>
    <mergeCell ref="D32:E32"/>
    <mergeCell ref="H32:I32"/>
    <mergeCell ref="A37:C37"/>
    <mergeCell ref="D31:E31"/>
    <mergeCell ref="H31:I31"/>
    <mergeCell ref="A36:E36"/>
    <mergeCell ref="N32:O32"/>
    <mergeCell ref="A33:C33"/>
    <mergeCell ref="G33:H33"/>
    <mergeCell ref="A34:B34"/>
    <mergeCell ref="N31:O31"/>
  </mergeCells>
  <conditionalFormatting sqref="A6:A17">
    <cfRule type="cellIs" dxfId="939" priority="373" operator="equal">
      <formula>0</formula>
    </cfRule>
  </conditionalFormatting>
  <conditionalFormatting sqref="A37">
    <cfRule type="cellIs" dxfId="938" priority="253" operator="notEqual">
      <formula>$E$2</formula>
    </cfRule>
    <cfRule type="cellIs" dxfId="937" priority="254" operator="equal">
      <formula>$E$2</formula>
    </cfRule>
  </conditionalFormatting>
  <conditionalFormatting sqref="A32:D32 F32:H32 C34">
    <cfRule type="cellIs" dxfId="936" priority="251" operator="notEqual">
      <formula>$E$3</formula>
    </cfRule>
    <cfRule type="cellIs" dxfId="935" priority="252" operator="equal">
      <formula>$E$3</formula>
    </cfRule>
  </conditionalFormatting>
  <conditionalFormatting sqref="B6:D17">
    <cfRule type="expression" dxfId="934" priority="112">
      <formula>$A6=0</formula>
    </cfRule>
  </conditionalFormatting>
  <conditionalFormatting sqref="E6:E17">
    <cfRule type="expression" dxfId="933" priority="116">
      <formula>AND($H$67="ja",E6&gt;$A$67)</formula>
    </cfRule>
    <cfRule type="cellIs" dxfId="932" priority="117" operator="greaterThanOrEqual">
      <formula>0</formula>
    </cfRule>
  </conditionalFormatting>
  <conditionalFormatting sqref="F6:F17">
    <cfRule type="cellIs" dxfId="931" priority="31" operator="lessThan">
      <formula>$A$45</formula>
    </cfRule>
    <cfRule type="cellIs" dxfId="930" priority="32" operator="equal">
      <formula>0</formula>
    </cfRule>
    <cfRule type="cellIs" dxfId="929" priority="33" operator="notEqual">
      <formula>0</formula>
    </cfRule>
  </conditionalFormatting>
  <conditionalFormatting sqref="G6:I17">
    <cfRule type="expression" dxfId="928" priority="52">
      <formula>$A6=0</formula>
    </cfRule>
  </conditionalFormatting>
  <conditionalFormatting sqref="J6:J17">
    <cfRule type="expression" dxfId="927" priority="104">
      <formula>AND($H$67="ja",J6&gt;$A$67)</formula>
    </cfRule>
    <cfRule type="cellIs" dxfId="926" priority="105" operator="greaterThanOrEqual">
      <formula>0</formula>
    </cfRule>
  </conditionalFormatting>
  <conditionalFormatting sqref="J32:N32">
    <cfRule type="cellIs" dxfId="925" priority="249" operator="notEqual">
      <formula>$E$3</formula>
    </cfRule>
    <cfRule type="cellIs" dxfId="924" priority="250" operator="equal">
      <formula>$E$3</formula>
    </cfRule>
  </conditionalFormatting>
  <conditionalFormatting sqref="K6:K17">
    <cfRule type="cellIs" dxfId="923" priority="28" operator="lessThan">
      <formula>$A$45</formula>
    </cfRule>
    <cfRule type="cellIs" dxfId="922" priority="29" operator="equal">
      <formula>0</formula>
    </cfRule>
    <cfRule type="cellIs" dxfId="921" priority="30" operator="notEqual">
      <formula>0</formula>
    </cfRule>
  </conditionalFormatting>
  <conditionalFormatting sqref="L6:N17">
    <cfRule type="expression" dxfId="920" priority="48">
      <formula>$A6=0</formula>
    </cfRule>
  </conditionalFormatting>
  <conditionalFormatting sqref="O6:O17">
    <cfRule type="cellIs" dxfId="919" priority="97" operator="greaterThanOrEqual">
      <formula>0</formula>
    </cfRule>
    <cfRule type="expression" dxfId="918" priority="96">
      <formula>AND($H$67="ja",O6&gt;$A$67)</formula>
    </cfRule>
  </conditionalFormatting>
  <conditionalFormatting sqref="P6:P17">
    <cfRule type="cellIs" dxfId="917" priority="22" operator="lessThan">
      <formula>$A$45</formula>
    </cfRule>
    <cfRule type="cellIs" dxfId="916" priority="23" operator="equal">
      <formula>0</formula>
    </cfRule>
    <cfRule type="cellIs" dxfId="915" priority="24" operator="notEqual">
      <formula>0</formula>
    </cfRule>
  </conditionalFormatting>
  <conditionalFormatting sqref="Q6:S17">
    <cfRule type="expression" dxfId="914" priority="47">
      <formula>$A6=0</formula>
    </cfRule>
  </conditionalFormatting>
  <conditionalFormatting sqref="T6:T17">
    <cfRule type="cellIs" dxfId="913" priority="89" operator="greaterThanOrEqual">
      <formula>0</formula>
    </cfRule>
    <cfRule type="expression" dxfId="912" priority="88">
      <formula>AND($H$67="ja",T6&gt;$A$67)</formula>
    </cfRule>
  </conditionalFormatting>
  <conditionalFormatting sqref="U6:U17">
    <cfRule type="cellIs" dxfId="911" priority="17" operator="equal">
      <formula>0</formula>
    </cfRule>
    <cfRule type="cellIs" dxfId="910" priority="16" operator="lessThan">
      <formula>$A$45</formula>
    </cfRule>
    <cfRule type="cellIs" dxfId="909" priority="18" operator="notEqual">
      <formula>0</formula>
    </cfRule>
  </conditionalFormatting>
  <conditionalFormatting sqref="V6:X17">
    <cfRule type="expression" dxfId="908" priority="46">
      <formula>$A6=0</formula>
    </cfRule>
  </conditionalFormatting>
  <conditionalFormatting sqref="Y6:Y17 AD6:AD17 AI6:AI17">
    <cfRule type="expression" dxfId="907" priority="59">
      <formula>AND($H$67="ja",Y6&gt;$A$67)</formula>
    </cfRule>
    <cfRule type="cellIs" dxfId="906" priority="60" operator="greaterThanOrEqual">
      <formula>0</formula>
    </cfRule>
  </conditionalFormatting>
  <conditionalFormatting sqref="Z6:Z17">
    <cfRule type="cellIs" dxfId="905" priority="11" operator="equal">
      <formula>0</formula>
    </cfRule>
    <cfRule type="cellIs" dxfId="904" priority="10" operator="lessThan">
      <formula>$A$45</formula>
    </cfRule>
    <cfRule type="cellIs" dxfId="903" priority="12" operator="notEqual">
      <formula>0</formula>
    </cfRule>
  </conditionalFormatting>
  <conditionalFormatting sqref="AA6:AC17">
    <cfRule type="expression" dxfId="902" priority="43">
      <formula>$A6=0</formula>
    </cfRule>
  </conditionalFormatting>
  <conditionalFormatting sqref="AE6:AE17">
    <cfRule type="cellIs" dxfId="901" priority="5" operator="equal">
      <formula>0</formula>
    </cfRule>
    <cfRule type="cellIs" dxfId="900" priority="4" operator="lessThan">
      <formula>$A$45</formula>
    </cfRule>
    <cfRule type="cellIs" dxfId="899" priority="6" operator="notEqual">
      <formula>0</formula>
    </cfRule>
  </conditionalFormatting>
  <conditionalFormatting sqref="AF6:AH17">
    <cfRule type="expression" dxfId="898" priority="34">
      <formula>$A6=0</formula>
    </cfRule>
  </conditionalFormatting>
  <conditionalFormatting sqref="AJ6:AJ17">
    <cfRule type="cellIs" dxfId="897" priority="3" operator="notEqual">
      <formula>0</formula>
    </cfRule>
    <cfRule type="cellIs" dxfId="896" priority="2" operator="equal">
      <formula>0</formula>
    </cfRule>
    <cfRule type="cellIs" dxfId="895" priority="1" operator="lessThan">
      <formula>$A$45</formula>
    </cfRule>
  </conditionalFormatting>
  <conditionalFormatting sqref="AK6:AK17">
    <cfRule type="expression" dxfId="894" priority="58">
      <formula>AND($H$70="ja",AK6&gt;$A$70)</formula>
    </cfRule>
    <cfRule type="cellIs" dxfId="893" priority="61" operator="greaterThanOrEqual">
      <formula>0</formula>
    </cfRule>
  </conditionalFormatting>
  <dataValidations count="1">
    <dataValidation type="list" allowBlank="1" showInputMessage="1" showErrorMessage="1" sqref="H67 H70" xr:uid="{00000000-0002-0000-0700-000000000000}">
      <formula1>Ja_og_nei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/>
  <dimension ref="A1:AQ95"/>
  <sheetViews>
    <sheetView zoomScale="70" zoomScaleNormal="70" workbookViewId="0">
      <pane ySplit="24" topLeftCell="A25" activePane="bottomLeft" state="frozen"/>
      <selection pane="bottomLeft" activeCell="C11" sqref="C11"/>
    </sheetView>
  </sheetViews>
  <sheetFormatPr defaultColWidth="9.08984375" defaultRowHeight="12.5" x14ac:dyDescent="0.25"/>
  <cols>
    <col min="1" max="1" width="10.7265625" style="3" customWidth="1"/>
    <col min="2" max="2" width="7.6328125" style="3" customWidth="1"/>
    <col min="3" max="3" width="7.81640625" style="3" customWidth="1"/>
    <col min="4" max="4" width="4.36328125" style="3" bestFit="1" customWidth="1"/>
    <col min="5" max="6" width="10" style="3" customWidth="1"/>
    <col min="7" max="7" width="7" style="3" customWidth="1"/>
    <col min="8" max="8" width="7.6328125" style="3" customWidth="1"/>
    <col min="9" max="9" width="4.36328125" style="3" bestFit="1" customWidth="1"/>
    <col min="10" max="11" width="10" style="3" customWidth="1"/>
    <col min="12" max="12" width="7.26953125" style="3" customWidth="1"/>
    <col min="13" max="13" width="7.7265625" style="3" customWidth="1"/>
    <col min="14" max="14" width="4.36328125" style="3" bestFit="1" customWidth="1"/>
    <col min="15" max="15" width="10.08984375" style="3" bestFit="1" customWidth="1"/>
    <col min="16" max="16" width="10.08984375" style="3" customWidth="1"/>
    <col min="17" max="17" width="7.6328125" style="3" customWidth="1"/>
    <col min="18" max="18" width="7.7265625" style="3" customWidth="1"/>
    <col min="19" max="19" width="4.36328125" style="3" bestFit="1" customWidth="1"/>
    <col min="20" max="20" width="10.08984375" style="3" bestFit="1" customWidth="1"/>
    <col min="21" max="21" width="10.08984375" style="3" customWidth="1"/>
    <col min="22" max="22" width="8.36328125" style="3" customWidth="1"/>
    <col min="23" max="23" width="8.81640625" style="3" customWidth="1"/>
    <col min="24" max="24" width="4.36328125" style="3" bestFit="1" customWidth="1"/>
    <col min="25" max="26" width="10" style="3" customWidth="1"/>
    <col min="27" max="28" width="7.81640625" style="3" customWidth="1"/>
    <col min="29" max="29" width="4.36328125" style="3" bestFit="1" customWidth="1"/>
    <col min="30" max="31" width="9.7265625" style="3" customWidth="1"/>
    <col min="32" max="32" width="6.81640625" style="3" customWidth="1"/>
    <col min="33" max="33" width="7.6328125" style="3" customWidth="1"/>
    <col min="34" max="34" width="4.36328125" style="3" bestFit="1" customWidth="1"/>
    <col min="35" max="36" width="9.6328125" style="3" customWidth="1"/>
    <col min="37" max="37" width="18.6328125" style="3" bestFit="1" customWidth="1"/>
    <col min="38" max="16384" width="9.08984375" style="3"/>
  </cols>
  <sheetData>
    <row r="1" spans="1:39" ht="13" x14ac:dyDescent="0.3">
      <c r="A1" s="98" t="s">
        <v>66</v>
      </c>
      <c r="B1" s="98"/>
      <c r="C1" s="98"/>
      <c r="D1" s="88"/>
      <c r="E1" s="5" t="str">
        <f>Vaktplan!G38</f>
        <v>mandag</v>
      </c>
      <c r="H1" s="98" t="s">
        <v>67</v>
      </c>
      <c r="I1" s="98"/>
      <c r="J1" s="98"/>
      <c r="K1" s="98"/>
      <c r="L1" s="98"/>
      <c r="M1" s="5">
        <f>Vaktplan!AJ47</f>
        <v>12</v>
      </c>
    </row>
    <row r="2" spans="1:39" ht="13" x14ac:dyDescent="0.3">
      <c r="A2" s="98" t="s">
        <v>36</v>
      </c>
      <c r="B2" s="98"/>
      <c r="C2" s="98"/>
      <c r="D2" s="88"/>
      <c r="E2" s="8">
        <f>Vaktplan!AM47</f>
        <v>0</v>
      </c>
      <c r="I2" s="106"/>
      <c r="J2" s="106"/>
    </row>
    <row r="3" spans="1:39" ht="13" x14ac:dyDescent="0.3">
      <c r="A3" s="98" t="s">
        <v>68</v>
      </c>
      <c r="B3" s="98"/>
      <c r="C3" s="98"/>
      <c r="D3" s="88"/>
      <c r="E3" s="5">
        <f>Vaktplan!AQ47</f>
        <v>0</v>
      </c>
      <c r="F3" s="4" t="s">
        <v>69</v>
      </c>
    </row>
    <row r="4" spans="1:39" ht="13" x14ac:dyDescent="0.3">
      <c r="A4" s="89" t="s">
        <v>70</v>
      </c>
      <c r="B4" s="103" t="str">
        <f>TEXT(AG39,"DDDD")</f>
        <v>Monday</v>
      </c>
      <c r="C4" s="104"/>
      <c r="D4" s="104"/>
      <c r="E4" s="104"/>
      <c r="F4" s="105"/>
      <c r="G4" s="102" t="str">
        <f>TEXT($AG$39+1,"DDDD")</f>
        <v>Tuesday</v>
      </c>
      <c r="H4" s="102"/>
      <c r="I4" s="102"/>
      <c r="J4" s="102"/>
      <c r="K4" s="89"/>
      <c r="L4" s="102" t="str">
        <f>TEXT($AG$39+2,"DDDD")</f>
        <v>Wednesday</v>
      </c>
      <c r="M4" s="102"/>
      <c r="N4" s="102"/>
      <c r="O4" s="102"/>
      <c r="P4" s="89"/>
      <c r="Q4" s="102" t="str">
        <f>TEXT($AG$39+3,"DDDD")</f>
        <v>Thursday</v>
      </c>
      <c r="R4" s="102"/>
      <c r="S4" s="102"/>
      <c r="T4" s="102"/>
      <c r="U4" s="89"/>
      <c r="V4" s="102" t="str">
        <f>TEXT($AG$39+4,"DDDD")</f>
        <v>Friday</v>
      </c>
      <c r="W4" s="102"/>
      <c r="X4" s="102"/>
      <c r="Y4" s="102"/>
      <c r="Z4" s="89"/>
      <c r="AA4" s="102" t="str">
        <f>TEXT($AG$39+5,"DDDD")</f>
        <v>Saturday</v>
      </c>
      <c r="AB4" s="102"/>
      <c r="AC4" s="102"/>
      <c r="AD4" s="102"/>
      <c r="AE4" s="89"/>
      <c r="AF4" s="102" t="str">
        <f>TEXT($AG$39+6,"DDDD")</f>
        <v>Sunday</v>
      </c>
      <c r="AG4" s="102"/>
      <c r="AH4" s="102"/>
      <c r="AI4" s="102"/>
      <c r="AJ4" s="89"/>
      <c r="AK4" s="7" t="s">
        <v>71</v>
      </c>
    </row>
    <row r="5" spans="1:39" x14ac:dyDescent="0.25">
      <c r="A5" s="6"/>
      <c r="B5" s="6" t="s">
        <v>72</v>
      </c>
      <c r="C5" s="6" t="s">
        <v>73</v>
      </c>
      <c r="D5" s="6" t="s">
        <v>55</v>
      </c>
      <c r="E5" s="6" t="s">
        <v>74</v>
      </c>
      <c r="F5" s="6" t="s">
        <v>75</v>
      </c>
      <c r="G5" s="6" t="s">
        <v>72</v>
      </c>
      <c r="H5" s="6" t="s">
        <v>73</v>
      </c>
      <c r="I5" s="6" t="s">
        <v>55</v>
      </c>
      <c r="J5" s="6" t="s">
        <v>74</v>
      </c>
      <c r="K5" s="6" t="s">
        <v>75</v>
      </c>
      <c r="L5" s="6" t="s">
        <v>72</v>
      </c>
      <c r="M5" s="6" t="s">
        <v>73</v>
      </c>
      <c r="N5" s="6" t="s">
        <v>55</v>
      </c>
      <c r="O5" s="6" t="s">
        <v>74</v>
      </c>
      <c r="P5" s="6" t="s">
        <v>75</v>
      </c>
      <c r="Q5" s="6" t="s">
        <v>72</v>
      </c>
      <c r="R5" s="6" t="s">
        <v>73</v>
      </c>
      <c r="S5" s="6" t="s">
        <v>55</v>
      </c>
      <c r="T5" s="6" t="s">
        <v>74</v>
      </c>
      <c r="U5" s="6" t="s">
        <v>75</v>
      </c>
      <c r="V5" s="6" t="s">
        <v>72</v>
      </c>
      <c r="W5" s="6" t="s">
        <v>73</v>
      </c>
      <c r="X5" s="6" t="s">
        <v>55</v>
      </c>
      <c r="Y5" s="6" t="s">
        <v>74</v>
      </c>
      <c r="Z5" s="6" t="s">
        <v>75</v>
      </c>
      <c r="AA5" s="6" t="s">
        <v>72</v>
      </c>
      <c r="AB5" s="6" t="s">
        <v>73</v>
      </c>
      <c r="AC5" s="6" t="s">
        <v>55</v>
      </c>
      <c r="AD5" s="6" t="s">
        <v>74</v>
      </c>
      <c r="AE5" s="6" t="s">
        <v>75</v>
      </c>
      <c r="AF5" s="6" t="s">
        <v>72</v>
      </c>
      <c r="AG5" s="6" t="s">
        <v>73</v>
      </c>
      <c r="AH5" s="6" t="s">
        <v>55</v>
      </c>
      <c r="AI5" s="6" t="s">
        <v>74</v>
      </c>
      <c r="AJ5" s="6" t="s">
        <v>75</v>
      </c>
      <c r="AK5" s="6"/>
    </row>
    <row r="6" spans="1:39" ht="13" x14ac:dyDescent="0.25">
      <c r="A6" s="7">
        <f>IF(M1&gt;=1,1,0)</f>
        <v>1</v>
      </c>
      <c r="B6" s="77">
        <f>IFERROR(VLOOKUP(Vaktplan!$A$47,Vaktplan!$A$4:$CL$35,87-AH59,FALSE),0)</f>
        <v>0</v>
      </c>
      <c r="C6" s="77">
        <f>IFERROR(VLOOKUP(Vaktplan!$A$47,Vaktplan!$A$4:$CL$35,87-AG59,FALSE),0)</f>
        <v>0</v>
      </c>
      <c r="D6" s="9">
        <f>IFERROR(VLOOKUP(Vaktplan!$A$47,Vaktplan!$A$4:$CL$35,89-AG59,FALSE),0)</f>
        <v>0</v>
      </c>
      <c r="E6" s="9">
        <f>IF(AND(B6=0,C6=0),0,IF(B6&lt;C6,((C6-B6)*24)-D6,(((1-B6)+C6)*24)-D6))</f>
        <v>0</v>
      </c>
      <c r="F6" s="9">
        <f>IF(AND(C6=0,G6=0),24,IF(C6=0,12+(G6*24),IF(C6&lt;G6,((G6-C6)*24),IF(G6=0,(1-C6+0.5)*24,((1-C6)+G6)*24))))</f>
        <v>24</v>
      </c>
      <c r="G6" s="77">
        <f>IFERROR(VLOOKUP(Vaktplan!$A$47,Vaktplan!$B$4:$CL$35,86-AH59,FALSE),0)</f>
        <v>0</v>
      </c>
      <c r="H6" s="77">
        <f>IFERROR(VLOOKUP(Vaktplan!$A$47,Vaktplan!$B$4:$CL$35,86-AG59,FALSE),0)</f>
        <v>0</v>
      </c>
      <c r="I6" s="9">
        <f>IFERROR(VLOOKUP(Vaktplan!$A$47,Vaktplan!$B$4:$CL$35,89-$AH59,FALSE),0)</f>
        <v>0</v>
      </c>
      <c r="J6" s="9">
        <f>IF(AND(G6=0,H6=0),0,IF(G6&lt;H6,((H6-G6)*24)-I6,(((1-G6)+H6)*24)-I6))</f>
        <v>0</v>
      </c>
      <c r="K6" s="9">
        <f>IF(AND(H6=0,L6=0),24,IF(H6=0,12+(L6*24),IF(H6&lt;L6,((L6-H6)*24),IF(L6=0,(1-H6+0.5)*24,((1-H6)+L6)*24))))</f>
        <v>24</v>
      </c>
      <c r="L6" s="77">
        <f>IFERROR(VLOOKUP(Vaktplan!$A$47,Vaktplan!$C$4:$CL$35,86-AI59,FALSE),0)</f>
        <v>0</v>
      </c>
      <c r="M6" s="77">
        <f>IFERROR(VLOOKUP(Vaktplan!$A$47,Vaktplan!$C$4:$CL$35,86-AH59,FALSE),0)</f>
        <v>0</v>
      </c>
      <c r="N6" s="9">
        <f>IFERROR(VLOOKUP(Vaktplan!$A$47,Vaktplan!$C$4:$CL$35,89-$AI59,FALSE),0)</f>
        <v>0</v>
      </c>
      <c r="O6" s="9">
        <f>IF(AND(L6=0,M6=0),0,IF(L6&lt;M6,((M6-L6)*24)-N6,(((1-L6)+M6)*24)-N6))</f>
        <v>0</v>
      </c>
      <c r="P6" s="9">
        <f>IF(AND(M6=0,Q6=0),24,IF(M6=0,12+(Q6*24),IF(M6&lt;Q6,((Q6-M6)*24),IF(Q6=0,(1-M6+0.5)*24,((1-M6)+Q6)*24))))</f>
        <v>24</v>
      </c>
      <c r="Q6" s="77">
        <f>IFERROR(VLOOKUP(Vaktplan!$A$47,Vaktplan!$D$4:$CL$35,86-AJ59,FALSE),0)</f>
        <v>0</v>
      </c>
      <c r="R6" s="77">
        <f>IFERROR(VLOOKUP(Vaktplan!$A$47,Vaktplan!$D$4:$CL$35,86-AI59,FALSE),0)</f>
        <v>0</v>
      </c>
      <c r="S6" s="9">
        <f>IFERROR(VLOOKUP(Vaktplan!$A$47,Vaktplan!$D$4:$CL$35,89-$AJ59,FALSE),0)</f>
        <v>0</v>
      </c>
      <c r="T6" s="9">
        <f t="shared" ref="T6:T17" si="0">IF(AND(Q6=0,R6=0),0,IF(Q6&lt;R6,((R6-Q6)*24)-S6,(((1-Q6)+R6)*24)-S6))</f>
        <v>0</v>
      </c>
      <c r="U6" s="9">
        <f>IF(AND(R6=0,V6=0),24,IF(R6=0,12+(V6*24),IF(R6&lt;V6,((V6-R6)*24),IF(V6=0,(1-R6+0.5)*24,((1-R6)+V6)*24))))</f>
        <v>24</v>
      </c>
      <c r="V6" s="77">
        <f>IFERROR(VLOOKUP(Vaktplan!$A$47,Vaktplan!$E$4:$CL$35,86-AK59,FALSE),0)</f>
        <v>0</v>
      </c>
      <c r="W6" s="77">
        <f>IFERROR(VLOOKUP(Vaktplan!$A$47,Vaktplan!$E$4:$CL$35,86-AJ59,FALSE),0)</f>
        <v>0</v>
      </c>
      <c r="X6" s="9">
        <f>IFERROR(VLOOKUP(Vaktplan!$A$47,Vaktplan!$E$4:$CL$35,89-$AK59,FALSE),0)</f>
        <v>0</v>
      </c>
      <c r="Y6" s="9">
        <f>IF(AND(V6=0,W6=0),0,IF(V6&lt;W6,((W6-V6)*24)-X6,(((1-V6)+W6)*24)-X6))</f>
        <v>0</v>
      </c>
      <c r="Z6" s="9">
        <f>IF(AND(W6=0,AA6=0),24,IF(W6=0,12+(AA6*24),IF(W6&lt;AA6,((AA6-W6)*24),IF(AA6=0,(1-W6+0.5)*24,((1-W6)+AA6)*24))))</f>
        <v>24</v>
      </c>
      <c r="AA6" s="77">
        <f>IFERROR(VLOOKUP(Vaktplan!$A$47,Vaktplan!$F$4:$CL$35,86-AL59,FALSE),0)</f>
        <v>0</v>
      </c>
      <c r="AB6" s="77">
        <f>IFERROR(VLOOKUP(Vaktplan!$A$47,Vaktplan!$F$4:$CL$35,86-AK59,FALSE),0)</f>
        <v>0</v>
      </c>
      <c r="AC6" s="9">
        <f>IFERROR(VLOOKUP(Vaktplan!$A$47,Vaktplan!$F$4:$CL$35,89-$AL59,FALSE),0)</f>
        <v>0</v>
      </c>
      <c r="AD6" s="9">
        <f>IF(AND(AA6=0,AB6=0),0,IF(AA6&lt;AB6,((AB6-AA6)*24)-AC6,(((1-AA6)+AB6)*24)-AC6))</f>
        <v>0</v>
      </c>
      <c r="AE6" s="9">
        <f>IF(AND(AB6=0,AF6=0),24,IF(AB6=0,12+(AF6*24),IF(AB6&lt;AF6,((AF6-AB6)*24),IF(AF6=0,(1-AB6+0.5)*24,((1-AB6)+AF6)*24))))</f>
        <v>24</v>
      </c>
      <c r="AF6" s="77">
        <f>IFERROR(VLOOKUP(Vaktplan!$A$47,Vaktplan!$G$4:$CL$35,86-AM59,FALSE),0)</f>
        <v>0</v>
      </c>
      <c r="AG6" s="77">
        <f>IFERROR(VLOOKUP(Vaktplan!$A$47,Vaktplan!$G$4:$CL$35,86-AL59,FALSE),0)</f>
        <v>0</v>
      </c>
      <c r="AH6" s="9">
        <f>IFERROR(VLOOKUP(Vaktplan!$A$47,Vaktplan!$G$4:$CL$35,89-$AM59,FALSE),0)</f>
        <v>0</v>
      </c>
      <c r="AI6" s="9">
        <f>IF(AND(AF6=0,AG6=0),0,IF(AF6&lt;AG6,((AG6-AF6)*24)-AH6,(((1-AF6)+AG6)*24)-AH6))</f>
        <v>0</v>
      </c>
      <c r="AJ6" s="9">
        <f>IF($M$1=AL28,IF(AND(AG6=0,B6=0),24,IF(AG6=0,12+($B$6*24),IF(AG6&lt;$B$6,(($B$6-AG6)*24),IF($B$6=0,(1-AG6+1)*24,((1-AG6)+$B$6)*24)))),IF(AND(AG6=0,B7=0),24,IF(AG6=0,12+(B7*24),IF(AG6&lt;B7,((B7-AG6)*24),IF(B7=0,(1-AG6+1)*24,((1-AG6)+B7)*24)))))</f>
        <v>24</v>
      </c>
      <c r="AK6" s="9">
        <f t="shared" ref="AK6:AK17" si="1">E6+J6+O6+T6+Y6+AD6+AI6</f>
        <v>0</v>
      </c>
      <c r="AL6" s="10">
        <f>AJ6</f>
        <v>24</v>
      </c>
      <c r="AM6" s="10">
        <f>AK6</f>
        <v>0</v>
      </c>
    </row>
    <row r="7" spans="1:39" ht="13" x14ac:dyDescent="0.25">
      <c r="A7" s="7">
        <f>IF($M$1&gt;=2,2,0)</f>
        <v>2</v>
      </c>
      <c r="B7" s="77">
        <f>IFERROR(VLOOKUP(Vaktplan!$A$47,Vaktplan!$H$4:$CL$35,87-AH60,FALSE),0)</f>
        <v>0</v>
      </c>
      <c r="C7" s="77">
        <f>IFERROR(VLOOKUP(Vaktplan!$A$47,Vaktplan!$H$4:$CL$35,87-AG60,FALSE),0)</f>
        <v>0</v>
      </c>
      <c r="D7" s="9">
        <f>IFERROR(VLOOKUP(Vaktplan!$A$47,Vaktplan!$H$4:$CL$35,89-AG60,FALSE),0)</f>
        <v>0</v>
      </c>
      <c r="E7" s="9">
        <f>IF(AND(B7=0,C7=0),0,IF(B7&lt;C7,((C7-B7)*24)-D7,(((1-B7)+C7)*24)-D7))</f>
        <v>0</v>
      </c>
      <c r="F7" s="9">
        <f t="shared" ref="F7:F17" si="2">IF(AND(C7=0,G7=0),24,IF(C7=0,12+(G7*24),IF(C7&lt;G7,((G7-C7)*24),IF(G7=0,(1-C7+0.5)*24,((1-C7)+G7)*24))))</f>
        <v>24</v>
      </c>
      <c r="G7" s="77">
        <f>IFERROR(VLOOKUP(Vaktplan!$A$47,Vaktplan!$I$4:$CL$35,86-AH60,FALSE),0)</f>
        <v>0</v>
      </c>
      <c r="H7" s="77">
        <f>IFERROR(VLOOKUP(Vaktplan!$A$47,Vaktplan!$I$4:$CL$35,86-AG60,FALSE),0)</f>
        <v>0</v>
      </c>
      <c r="I7" s="9">
        <f>IFERROR(VLOOKUP(Vaktplan!$A$47,Vaktplan!$I$4:$CL$35,89-$AH60,FALSE),0)</f>
        <v>0</v>
      </c>
      <c r="J7" s="9">
        <f t="shared" ref="J7:J17" si="3">IF(AND(G7=0,H7=0),0,IF(G7&lt;H7,((H7-G7)*24)-I7,(((1-G7)+H7)*24)-I7))</f>
        <v>0</v>
      </c>
      <c r="K7" s="9">
        <f t="shared" ref="K7:K17" si="4">IF(AND(H7=0,L7=0),24,IF(H7=0,12+(L7*24),IF(H7&lt;L7,((L7-H7)*24),IF(L7=0,(1-H7+0.5)*24,((1-H7)+L7)*24))))</f>
        <v>24</v>
      </c>
      <c r="L7" s="77">
        <f>IFERROR(VLOOKUP(Vaktplan!$A$47,Vaktplan!$J$4:$CL$35,86-AI60,FALSE),0)</f>
        <v>0</v>
      </c>
      <c r="M7" s="77">
        <f>IFERROR(VLOOKUP(Vaktplan!$A$47,Vaktplan!$J$4:$CL$35,86-AH60,FALSE),0)</f>
        <v>0</v>
      </c>
      <c r="N7" s="9">
        <f>IFERROR(VLOOKUP(Vaktplan!$A$47,Vaktplan!$J$4:$CL$35,89-$AI60,FALSE),0)</f>
        <v>0</v>
      </c>
      <c r="O7" s="9">
        <f t="shared" ref="O7:O17" si="5">IF(AND(L7=0,M7=0),0,IF(L7&lt;M7,((M7-L7)*24)-N7,(((1-L7)+M7)*24)-N7))</f>
        <v>0</v>
      </c>
      <c r="P7" s="9">
        <f t="shared" ref="P7:P17" si="6">IF(AND(M7=0,Q7=0),24,IF(M7=0,12+(Q7*24),IF(M7&lt;Q7,((Q7-M7)*24),IF(Q7=0,(1-M7+0.5)*24,((1-M7)+Q7)*24))))</f>
        <v>24</v>
      </c>
      <c r="Q7" s="77">
        <f>IFERROR(VLOOKUP(Vaktplan!$A$47,Vaktplan!$K$4:$CL$35,86-AJ60,FALSE),0)</f>
        <v>0</v>
      </c>
      <c r="R7" s="77">
        <f>IFERROR(VLOOKUP(Vaktplan!$A$47,Vaktplan!$K$4:$CL$35,86-AI60,FALSE),0)</f>
        <v>0</v>
      </c>
      <c r="S7" s="9">
        <f>IFERROR(VLOOKUP(Vaktplan!$A$47,Vaktplan!$K$4:$CL$35,89-$AJ60,FALSE),0)</f>
        <v>0</v>
      </c>
      <c r="T7" s="9">
        <f t="shared" si="0"/>
        <v>0</v>
      </c>
      <c r="U7" s="9">
        <f t="shared" ref="U7:U17" si="7">IF(AND(R7=0,V7=0),24,IF(R7=0,12+(V7*24),IF(R7&lt;V7,((V7-R7)*24),IF(V7=0,(1-R7+0.5)*24,((1-R7)+V7)*24))))</f>
        <v>24</v>
      </c>
      <c r="V7" s="77">
        <f>IFERROR(VLOOKUP(Vaktplan!$A$47,Vaktplan!$L$4:$CL$35,86-AK60,FALSE),0)</f>
        <v>0</v>
      </c>
      <c r="W7" s="77">
        <f>IFERROR(VLOOKUP(Vaktplan!$A$47,Vaktplan!$L$4:$CL$35,86-AJ60,FALSE),0)</f>
        <v>0</v>
      </c>
      <c r="X7" s="9">
        <f>IFERROR(VLOOKUP(Vaktplan!$A$47,Vaktplan!$L$4:$CL$35,89-$AK60,FALSE),0)</f>
        <v>0</v>
      </c>
      <c r="Y7" s="9">
        <f t="shared" ref="Y7:Y13" si="8">IF(AND(V7=0,W7=0),0,IF(V7&lt;W7,((W7-V7)*24)-X7,(((1-V7)+W7)*24)-X7))</f>
        <v>0</v>
      </c>
      <c r="Z7" s="9">
        <f t="shared" ref="Z7:Z17" si="9">IF(AND(W7=0,AA7=0),24,IF(W7=0,12+(AA7*24),IF(W7&lt;AA7,((AA7-W7)*24),IF(AA7=0,(1-W7+0.5)*24,((1-W7)+AA7)*24))))</f>
        <v>24</v>
      </c>
      <c r="AA7" s="77">
        <f>IFERROR(VLOOKUP(Vaktplan!$A$47,Vaktplan!$M$4:$CL$35,86-AL60,FALSE),0)</f>
        <v>0</v>
      </c>
      <c r="AB7" s="77">
        <f>IFERROR(VLOOKUP(Vaktplan!$A$47,Vaktplan!$M$4:$CL$35,86-AK60,FALSE),0)</f>
        <v>0</v>
      </c>
      <c r="AC7" s="9">
        <f>IFERROR(VLOOKUP(Vaktplan!$A$47,Vaktplan!$M$4:$CL$35,89-$AL60,FALSE),0)</f>
        <v>0</v>
      </c>
      <c r="AD7" s="9">
        <f t="shared" ref="AD7:AD13" si="10">IF(AND(AA7=0,AB7=0),0,IF(AA7&lt;AB7,((AB7-AA7)*24)-AC7,(((1-AA7)+AB7)*24)-AC7))</f>
        <v>0</v>
      </c>
      <c r="AE7" s="9">
        <f t="shared" ref="AE7:AE17" si="11">IF(AND(AB7=0,AF7=0),24,IF(AB7=0,12+(AF7*24),IF(AB7&lt;AF7,((AF7-AB7)*24),IF(AF7=0,(1-AB7+0.5)*24,((1-AB7)+AF7)*24))))</f>
        <v>24</v>
      </c>
      <c r="AF7" s="77">
        <f>IFERROR(VLOOKUP(Vaktplan!$A$47,Vaktplan!$N$4:$CL$35,86-AM60,FALSE),0)</f>
        <v>0</v>
      </c>
      <c r="AG7" s="77">
        <f>IFERROR(VLOOKUP(Vaktplan!$A$47,Vaktplan!$N$4:$CL$35,86-AL60,FALSE),0)</f>
        <v>0</v>
      </c>
      <c r="AH7" s="9">
        <f>IFERROR(VLOOKUP(Vaktplan!$A$47,Vaktplan!$N$4:$CL$35,89-$AM60,FALSE),0)</f>
        <v>0</v>
      </c>
      <c r="AI7" s="9">
        <f t="shared" ref="AI7:AI13" si="12">IF(AND(AF7=0,AG7=0),0,IF(AF7&lt;AG7,((AG7-AF7)*24)-AH7,(((1-AF7)+AG7)*24)-AH7))</f>
        <v>0</v>
      </c>
      <c r="AJ7" s="9">
        <f t="shared" ref="AJ7:AJ17" si="13">IF($M$1=AL29,IF(AND(AG7=0,B7=0),24,IF(AG7=0,12+($B$6*24),IF(AG7&lt;$B$6,(($B$6-AG7)*24),IF($B$6=0,(1-AG7+1)*24,((1-AG7)+$B$6)*24)))),IF(AND(AG7=0,B8=0),24,IF(AG7=0,12+(B8*24),IF(AG7&lt;B8,((B8-AG7)*24),IF(B8=0,(1-AG7+1)*24,((1-AG7)+B8)*24)))))</f>
        <v>24</v>
      </c>
      <c r="AK7" s="9">
        <f t="shared" si="1"/>
        <v>0</v>
      </c>
      <c r="AL7" s="10">
        <f t="shared" ref="AL7:AL13" si="14">AJ7</f>
        <v>24</v>
      </c>
      <c r="AM7" s="10">
        <f t="shared" ref="AM7:AM13" si="15">AK7</f>
        <v>0</v>
      </c>
    </row>
    <row r="8" spans="1:39" ht="13" x14ac:dyDescent="0.25">
      <c r="A8" s="7">
        <f>IF($M$1&gt;=3,3,0)</f>
        <v>3</v>
      </c>
      <c r="B8" s="77">
        <f>IFERROR(VLOOKUP(Vaktplan!$A$47,Vaktplan!$O$4:$CL$35,87-AH61,FALSE),0)</f>
        <v>0</v>
      </c>
      <c r="C8" s="77">
        <f>IFERROR(VLOOKUP(Vaktplan!$A$47,Vaktplan!$O$4:$CL$35,87-AG61,FALSE),0)</f>
        <v>0</v>
      </c>
      <c r="D8" s="9">
        <f>IFERROR(VLOOKUP(Vaktplan!$A$47,Vaktplan!$O$4:$CL$35,89-AG61,FALSE),0)</f>
        <v>0</v>
      </c>
      <c r="E8" s="9">
        <f t="shared" ref="E8:E17" si="16">IF(AND(B8=0,C8=0),0,IF(B8&lt;C8,((C8-B8)*24)-D8,(((1-B8)+C8)*24)-D8))</f>
        <v>0</v>
      </c>
      <c r="F8" s="9">
        <f t="shared" si="2"/>
        <v>24</v>
      </c>
      <c r="G8" s="77">
        <f>IFERROR(VLOOKUP(Vaktplan!$A$47,Vaktplan!$P$4:$CL$35,86-AH61,FALSE),0)</f>
        <v>0</v>
      </c>
      <c r="H8" s="77">
        <f>IFERROR(VLOOKUP(Vaktplan!$A$47,Vaktplan!$P$4:$CL$35,86-AG61,FALSE),0)</f>
        <v>0</v>
      </c>
      <c r="I8" s="9">
        <f>IFERROR(VLOOKUP(Vaktplan!$A$47,Vaktplan!$P$4:$CL$35,89-$AH61,FALSE),0)</f>
        <v>0</v>
      </c>
      <c r="J8" s="9">
        <f>IF(AND(G8=0,H8=0),0,IF(G8&lt;H8,((H8-G8)*24)-I8,(((1-G8)+H8)*24)-I8))</f>
        <v>0</v>
      </c>
      <c r="K8" s="9">
        <f t="shared" si="4"/>
        <v>24</v>
      </c>
      <c r="L8" s="77">
        <f>IFERROR(VLOOKUP(Vaktplan!$A$47,Vaktplan!$Q$4:$CL$35,86-AI61,FALSE),0)</f>
        <v>0</v>
      </c>
      <c r="M8" s="77">
        <f>IFERROR(VLOOKUP(Vaktplan!$A$47,Vaktplan!$Q$4:$CL$35,86-AH61,FALSE),0)</f>
        <v>0</v>
      </c>
      <c r="N8" s="9">
        <f>IFERROR(VLOOKUP(Vaktplan!$A$47,Vaktplan!$Q$4:$CL$35,89-$AI61,FALSE),0)</f>
        <v>0</v>
      </c>
      <c r="O8" s="9">
        <f t="shared" si="5"/>
        <v>0</v>
      </c>
      <c r="P8" s="9">
        <f t="shared" si="6"/>
        <v>24</v>
      </c>
      <c r="Q8" s="77">
        <f>IFERROR(VLOOKUP(Vaktplan!$A$47,Vaktplan!$R$4:$CL$35,86-AJ61,FALSE),0)</f>
        <v>0</v>
      </c>
      <c r="R8" s="77">
        <f>IFERROR(VLOOKUP(Vaktplan!$A$47,Vaktplan!$R$4:$CL$35,86-AI61,FALSE),0)</f>
        <v>0</v>
      </c>
      <c r="S8" s="9">
        <f>IFERROR(VLOOKUP(Vaktplan!$A$47,Vaktplan!$R$4:$CL$35,89-$AJ61,FALSE),0)</f>
        <v>0</v>
      </c>
      <c r="T8" s="9">
        <f t="shared" si="0"/>
        <v>0</v>
      </c>
      <c r="U8" s="9">
        <f t="shared" si="7"/>
        <v>24</v>
      </c>
      <c r="V8" s="77">
        <f>IFERROR(VLOOKUP(Vaktplan!$A$47,Vaktplan!$S$4:$CL$35,86-AK61,FALSE),0)</f>
        <v>0</v>
      </c>
      <c r="W8" s="77">
        <f>IFERROR(VLOOKUP(Vaktplan!$A$47,Vaktplan!$S$4:$CL$35,86-AJ61,FALSE),0)</f>
        <v>0</v>
      </c>
      <c r="X8" s="9">
        <f>IFERROR(VLOOKUP(Vaktplan!$A$47,Vaktplan!$S$4:$CL$35,89-$AK61,FALSE),0)</f>
        <v>0</v>
      </c>
      <c r="Y8" s="9">
        <f t="shared" si="8"/>
        <v>0</v>
      </c>
      <c r="Z8" s="9">
        <f t="shared" si="9"/>
        <v>24</v>
      </c>
      <c r="AA8" s="77">
        <f>IFERROR(VLOOKUP(Vaktplan!$A$47,Vaktplan!$T$4:$CL$35,86-AL61,FALSE),0)</f>
        <v>0</v>
      </c>
      <c r="AB8" s="77">
        <f>IFERROR(VLOOKUP(Vaktplan!$A$47,Vaktplan!$T$4:$CL$35,86-AK61,FALSE),0)</f>
        <v>0</v>
      </c>
      <c r="AC8" s="9">
        <f>IFERROR(VLOOKUP(Vaktplan!$A$47,Vaktplan!$T$4:$CL$35,89-$AL61,FALSE),0)</f>
        <v>0</v>
      </c>
      <c r="AD8" s="9">
        <f t="shared" si="10"/>
        <v>0</v>
      </c>
      <c r="AE8" s="9">
        <f t="shared" si="11"/>
        <v>24</v>
      </c>
      <c r="AF8" s="77">
        <f>IFERROR(VLOOKUP(Vaktplan!$A$47,Vaktplan!$U$4:$CL$35,86-AM61,FALSE),0)</f>
        <v>0</v>
      </c>
      <c r="AG8" s="77">
        <f>IFERROR(VLOOKUP(Vaktplan!$A$47,Vaktplan!$U$4:$CL$35,86-AL61,FALSE),0)</f>
        <v>0</v>
      </c>
      <c r="AH8" s="9">
        <f>IFERROR(VLOOKUP(Vaktplan!$A$47,Vaktplan!$U$4:$CL$35,89-$AM61,FALSE),0)</f>
        <v>0</v>
      </c>
      <c r="AI8" s="9">
        <f t="shared" si="12"/>
        <v>0</v>
      </c>
      <c r="AJ8" s="9">
        <f t="shared" si="13"/>
        <v>24</v>
      </c>
      <c r="AK8" s="9">
        <f t="shared" si="1"/>
        <v>0</v>
      </c>
      <c r="AL8" s="10">
        <f t="shared" si="14"/>
        <v>24</v>
      </c>
      <c r="AM8" s="10">
        <f t="shared" si="15"/>
        <v>0</v>
      </c>
    </row>
    <row r="9" spans="1:39" ht="13" x14ac:dyDescent="0.25">
      <c r="A9" s="7">
        <f>IF($M$1&gt;=4,4,0)</f>
        <v>4</v>
      </c>
      <c r="B9" s="77">
        <f>IFERROR(VLOOKUP(Vaktplan!$A$47,Vaktplan!$V$4:$CL$35,87-AH62,FALSE),0)</f>
        <v>0</v>
      </c>
      <c r="C9" s="77">
        <f>IFERROR(VLOOKUP(Vaktplan!$A$47,Vaktplan!$V$4:$CL$35,87-AG62,FALSE),0)</f>
        <v>0</v>
      </c>
      <c r="D9" s="9">
        <f>IFERROR(VLOOKUP(Vaktplan!$A$47,Vaktplan!$V$4:$CL$35,89-AG62,FALSE),0)</f>
        <v>0</v>
      </c>
      <c r="E9" s="9">
        <f t="shared" si="16"/>
        <v>0</v>
      </c>
      <c r="F9" s="9">
        <f t="shared" si="2"/>
        <v>24</v>
      </c>
      <c r="G9" s="77">
        <f>IFERROR(VLOOKUP(Vaktplan!$A$47,Vaktplan!$W$4:$CL$35,86-AH62,FALSE),0)</f>
        <v>0</v>
      </c>
      <c r="H9" s="77">
        <f>IFERROR(VLOOKUP(Vaktplan!$A$47,Vaktplan!$W$4:$CL$35,86-AG62,FALSE),0)</f>
        <v>0</v>
      </c>
      <c r="I9" s="9">
        <f>IFERROR(VLOOKUP(Vaktplan!$A$47,Vaktplan!$W$4:$CL$35,89-$AH62,FALSE),0)</f>
        <v>0</v>
      </c>
      <c r="J9" s="9">
        <f t="shared" si="3"/>
        <v>0</v>
      </c>
      <c r="K9" s="9">
        <f t="shared" si="4"/>
        <v>24</v>
      </c>
      <c r="L9" s="77">
        <f>IFERROR(VLOOKUP(Vaktplan!$A$47,Vaktplan!$X$4:$CL$35,86-AI62,FALSE),0)</f>
        <v>0</v>
      </c>
      <c r="M9" s="77">
        <f>IFERROR(VLOOKUP(Vaktplan!$A$47,Vaktplan!$X$4:$CL$35,86-AH62,FALSE),0)</f>
        <v>0</v>
      </c>
      <c r="N9" s="9">
        <f>IFERROR(VLOOKUP(Vaktplan!$A$47,Vaktplan!$X$4:$CL$35,89-$AI62,FALSE),0)</f>
        <v>0</v>
      </c>
      <c r="O9" s="9">
        <f t="shared" si="5"/>
        <v>0</v>
      </c>
      <c r="P9" s="9">
        <f t="shared" si="6"/>
        <v>24</v>
      </c>
      <c r="Q9" s="77">
        <f>IFERROR(VLOOKUP(Vaktplan!$A$47,Vaktplan!$Y$4:$CL$35,86-AJ62,FALSE),0)</f>
        <v>0</v>
      </c>
      <c r="R9" s="77">
        <f>IFERROR(VLOOKUP(Vaktplan!$A$47,Vaktplan!$Y$4:$CL$35,86-AI62,FALSE),0)</f>
        <v>0</v>
      </c>
      <c r="S9" s="9">
        <f>IFERROR(VLOOKUP(Vaktplan!$A$47,Vaktplan!$Y$4:$CL$35,89-$AJ62,FALSE),0)</f>
        <v>0</v>
      </c>
      <c r="T9" s="9">
        <f t="shared" si="0"/>
        <v>0</v>
      </c>
      <c r="U9" s="9">
        <f t="shared" si="7"/>
        <v>24</v>
      </c>
      <c r="V9" s="77">
        <f>IFERROR(VLOOKUP(Vaktplan!$A$47,Vaktplan!$Z$4:$CL$35,86-AK62,FALSE),0)</f>
        <v>0</v>
      </c>
      <c r="W9" s="77">
        <f>IFERROR(VLOOKUP(Vaktplan!$A$47,Vaktplan!$Z$4:$CL$35,86-AJ62,FALSE),0)</f>
        <v>0</v>
      </c>
      <c r="X9" s="9">
        <f>IFERROR(VLOOKUP(Vaktplan!$A$47,Vaktplan!$Z$4:$CL$35,89-$AK62,FALSE),0)</f>
        <v>0</v>
      </c>
      <c r="Y9" s="9">
        <f t="shared" si="8"/>
        <v>0</v>
      </c>
      <c r="Z9" s="9">
        <f t="shared" si="9"/>
        <v>24</v>
      </c>
      <c r="AA9" s="77">
        <f>IFERROR(VLOOKUP(Vaktplan!$A$47,Vaktplan!$AA$4:$CL$35,86-AL62,FALSE),0)</f>
        <v>0</v>
      </c>
      <c r="AB9" s="77">
        <f>IFERROR(VLOOKUP(Vaktplan!$A$47,Vaktplan!$AA$4:$CL$35,86-AK62,FALSE),0)</f>
        <v>0</v>
      </c>
      <c r="AC9" s="9">
        <f>IFERROR(VLOOKUP(Vaktplan!$A$47,Vaktplan!$AA$4:$CL$35,89-$AL62,FALSE),0)</f>
        <v>0</v>
      </c>
      <c r="AD9" s="9">
        <f t="shared" si="10"/>
        <v>0</v>
      </c>
      <c r="AE9" s="9">
        <f t="shared" si="11"/>
        <v>24</v>
      </c>
      <c r="AF9" s="77">
        <f>IFERROR(VLOOKUP(Vaktplan!$A$47,Vaktplan!$AB$4:$CL$35,86-AM62,FALSE),0)</f>
        <v>0</v>
      </c>
      <c r="AG9" s="77">
        <f>IFERROR(VLOOKUP(Vaktplan!$A$47,Vaktplan!$AB$4:$CL$35,86-AL62,FALSE),0)</f>
        <v>0</v>
      </c>
      <c r="AH9" s="9">
        <f>IFERROR(VLOOKUP(Vaktplan!$A$47,Vaktplan!$AB$4:$CL$35,89-$AM62,FALSE),0)</f>
        <v>0</v>
      </c>
      <c r="AI9" s="9">
        <f t="shared" si="12"/>
        <v>0</v>
      </c>
      <c r="AJ9" s="9">
        <f t="shared" si="13"/>
        <v>24</v>
      </c>
      <c r="AK9" s="9">
        <f t="shared" si="1"/>
        <v>0</v>
      </c>
      <c r="AL9" s="10">
        <f t="shared" si="14"/>
        <v>24</v>
      </c>
      <c r="AM9" s="10">
        <f t="shared" si="15"/>
        <v>0</v>
      </c>
    </row>
    <row r="10" spans="1:39" ht="13" x14ac:dyDescent="0.25">
      <c r="A10" s="7">
        <f>IF($M$1&gt;=5,5,0)</f>
        <v>5</v>
      </c>
      <c r="B10" s="77">
        <f>IFERROR(VLOOKUP(Vaktplan!$A$47,Vaktplan!$AC$4:$CL$35,87-AH63,FALSE),0)</f>
        <v>0</v>
      </c>
      <c r="C10" s="77">
        <f>IFERROR(VLOOKUP(Vaktplan!$A$47,Vaktplan!$AC$4:$CL$35,87-AG63,FALSE),0)</f>
        <v>0</v>
      </c>
      <c r="D10" s="9">
        <f>IFERROR(VLOOKUP(Vaktplan!$A$47,Vaktplan!$AC$4:$CL$35,89-AG63,FALSE),0)</f>
        <v>0</v>
      </c>
      <c r="E10" s="9">
        <f t="shared" si="16"/>
        <v>0</v>
      </c>
      <c r="F10" s="9">
        <f t="shared" si="2"/>
        <v>24</v>
      </c>
      <c r="G10" s="77">
        <f>IFERROR(VLOOKUP(Vaktplan!$A$47,Vaktplan!$AD$4:$CL$35,86-AH63,FALSE),0)</f>
        <v>0</v>
      </c>
      <c r="H10" s="77">
        <f>IFERROR(VLOOKUP(Vaktplan!$A$47,Vaktplan!$AD$4:$CL$35,86-AG63,FALSE),0)</f>
        <v>0</v>
      </c>
      <c r="I10" s="9">
        <f>IFERROR(VLOOKUP(Vaktplan!$A$47,Vaktplan!$AD$4:$CL$35,89-$AH63,FALSE),0)</f>
        <v>0</v>
      </c>
      <c r="J10" s="9">
        <f t="shared" si="3"/>
        <v>0</v>
      </c>
      <c r="K10" s="9">
        <f t="shared" si="4"/>
        <v>24</v>
      </c>
      <c r="L10" s="77">
        <f>IFERROR(VLOOKUP(Vaktplan!$A$47,Vaktplan!$AE$4:$CL$35,86-AI63,FALSE),0)</f>
        <v>0</v>
      </c>
      <c r="M10" s="77">
        <f>IFERROR(VLOOKUP(Vaktplan!$A$47,Vaktplan!$AE$4:$CL$35,86-AH63,FALSE),0)</f>
        <v>0</v>
      </c>
      <c r="N10" s="9">
        <f>IFERROR(VLOOKUP(Vaktplan!$A$47,Vaktplan!$AE$4:$CL$35,89-$AI63,FALSE),0)</f>
        <v>0</v>
      </c>
      <c r="O10" s="9">
        <f t="shared" si="5"/>
        <v>0</v>
      </c>
      <c r="P10" s="9">
        <f t="shared" si="6"/>
        <v>24</v>
      </c>
      <c r="Q10" s="77">
        <f>IFERROR(VLOOKUP(Vaktplan!$A$47,Vaktplan!$AF$4:$CL$35,86-AJ63,FALSE),0)</f>
        <v>0</v>
      </c>
      <c r="R10" s="77">
        <f>IFERROR(VLOOKUP(Vaktplan!$A$47,Vaktplan!$AF$4:$CL$35,86-AI63,FALSE),0)</f>
        <v>0</v>
      </c>
      <c r="S10" s="9">
        <f>IFERROR(VLOOKUP(Vaktplan!$A$47,Vaktplan!$AF$4:$CL$35,89-$AJ63,FALSE),0)</f>
        <v>0</v>
      </c>
      <c r="T10" s="9">
        <f t="shared" si="0"/>
        <v>0</v>
      </c>
      <c r="U10" s="9">
        <f t="shared" si="7"/>
        <v>24</v>
      </c>
      <c r="V10" s="77">
        <f>IFERROR(VLOOKUP(Vaktplan!$A$47,Vaktplan!$AG$4:$CL$35,86-AK63,FALSE),0)</f>
        <v>0</v>
      </c>
      <c r="W10" s="77">
        <f>IFERROR(VLOOKUP(Vaktplan!$A$47,Vaktplan!$AG$4:$CL$35,86-AJ63,FALSE),0)</f>
        <v>0</v>
      </c>
      <c r="X10" s="9">
        <f>IFERROR(VLOOKUP(Vaktplan!$A$47,Vaktplan!$AG$4:$CL$35,89-$AK63,FALSE),0)</f>
        <v>0</v>
      </c>
      <c r="Y10" s="9">
        <f t="shared" si="8"/>
        <v>0</v>
      </c>
      <c r="Z10" s="9">
        <f t="shared" si="9"/>
        <v>24</v>
      </c>
      <c r="AA10" s="77">
        <f>IFERROR(VLOOKUP(Vaktplan!$A$47,Vaktplan!$AH$4:$CL$35,86-AL63,FALSE),0)</f>
        <v>0</v>
      </c>
      <c r="AB10" s="77">
        <f>IFERROR(VLOOKUP(Vaktplan!$A$47,Vaktplan!$AH$4:$CL$35,86-AK63,FALSE),0)</f>
        <v>0</v>
      </c>
      <c r="AC10" s="9">
        <f>IFERROR(VLOOKUP(Vaktplan!$A$47,Vaktplan!$AH$4:$CL$35,89-$AL63,FALSE),0)</f>
        <v>0</v>
      </c>
      <c r="AD10" s="9">
        <f t="shared" si="10"/>
        <v>0</v>
      </c>
      <c r="AE10" s="9">
        <f t="shared" si="11"/>
        <v>24</v>
      </c>
      <c r="AF10" s="77">
        <f>IFERROR(VLOOKUP(Vaktplan!$A$47,Vaktplan!$AI$4:$CL$35,86-AM63,FALSE),0)</f>
        <v>0</v>
      </c>
      <c r="AG10" s="77">
        <f>IFERROR(VLOOKUP(Vaktplan!$A$47,Vaktplan!$AI$4:$CL$35,86-AL63,FALSE),0)</f>
        <v>0</v>
      </c>
      <c r="AH10" s="9">
        <f>IFERROR(VLOOKUP(Vaktplan!$A$47,Vaktplan!$AI$4:$CL$35,89-$AM63,FALSE),0)</f>
        <v>0</v>
      </c>
      <c r="AI10" s="9">
        <f t="shared" si="12"/>
        <v>0</v>
      </c>
      <c r="AJ10" s="9">
        <f t="shared" si="13"/>
        <v>24</v>
      </c>
      <c r="AK10" s="9">
        <f t="shared" si="1"/>
        <v>0</v>
      </c>
      <c r="AL10" s="10">
        <f t="shared" si="14"/>
        <v>24</v>
      </c>
      <c r="AM10" s="10">
        <f t="shared" si="15"/>
        <v>0</v>
      </c>
    </row>
    <row r="11" spans="1:39" ht="13" x14ac:dyDescent="0.25">
      <c r="A11" s="7">
        <f>IF($M$1&gt;=6,6,0)</f>
        <v>6</v>
      </c>
      <c r="B11" s="77">
        <f>IFERROR(VLOOKUP(Vaktplan!$A$47,Vaktplan!$AJ$4:$CL$35,87-AH64,FALSE),0)</f>
        <v>0</v>
      </c>
      <c r="C11" s="77">
        <f>IFERROR(VLOOKUP(Vaktplan!$A$47,Vaktplan!$AJ$4:$CL$35,87-AG64,FALSE),0)</f>
        <v>0</v>
      </c>
      <c r="D11" s="9">
        <f>IFERROR(VLOOKUP(Vaktplan!$A$47,Vaktplan!$AJ$4:$CL$35,89-AG64,FALSE),0)</f>
        <v>0</v>
      </c>
      <c r="E11" s="9">
        <f t="shared" si="16"/>
        <v>0</v>
      </c>
      <c r="F11" s="9">
        <f t="shared" si="2"/>
        <v>24</v>
      </c>
      <c r="G11" s="77">
        <f>IFERROR(VLOOKUP(Vaktplan!$A$47,Vaktplan!$AK$4:$CL$35,86-AH64,FALSE),0)</f>
        <v>0</v>
      </c>
      <c r="H11" s="77">
        <f>IFERROR(VLOOKUP(Vaktplan!$A$47,Vaktplan!$AK$4:$CL$35,86-AG64,FALSE),0)</f>
        <v>0</v>
      </c>
      <c r="I11" s="9">
        <f>IFERROR(VLOOKUP(Vaktplan!$A$47,Vaktplan!$AK$4:$CL$35,89-$AH64,FALSE),0)</f>
        <v>0</v>
      </c>
      <c r="J11" s="9">
        <f t="shared" si="3"/>
        <v>0</v>
      </c>
      <c r="K11" s="9">
        <f t="shared" si="4"/>
        <v>24</v>
      </c>
      <c r="L11" s="77">
        <f>IFERROR(VLOOKUP(Vaktplan!$A$47,Vaktplan!$AL$4:$CL$35,86-AI64,FALSE),0)</f>
        <v>0</v>
      </c>
      <c r="M11" s="77">
        <f>IFERROR(VLOOKUP(Vaktplan!$A$47,Vaktplan!$AL$4:$CL$35,86-AH64,FALSE),0)</f>
        <v>0</v>
      </c>
      <c r="N11" s="9">
        <f>IFERROR(VLOOKUP(Vaktplan!$A$47,Vaktplan!$AL$4:$CL$35,89-$AI64,FALSE),0)</f>
        <v>0</v>
      </c>
      <c r="O11" s="9">
        <f t="shared" si="5"/>
        <v>0</v>
      </c>
      <c r="P11" s="9">
        <f t="shared" si="6"/>
        <v>24</v>
      </c>
      <c r="Q11" s="77">
        <f>IFERROR(VLOOKUP(Vaktplan!$A$47,Vaktplan!$AM$4:$CL$35,86-AJ64,FALSE),0)</f>
        <v>0</v>
      </c>
      <c r="R11" s="77">
        <f>IFERROR(VLOOKUP(Vaktplan!$A$47,Vaktplan!$AM$4:$CL$35,86-AI64,FALSE),0)</f>
        <v>0</v>
      </c>
      <c r="S11" s="9">
        <f>IFERROR(VLOOKUP(Vaktplan!$A$47,Vaktplan!$AM$4:$CL$35,89-$AJ64,FALSE),0)</f>
        <v>0</v>
      </c>
      <c r="T11" s="9">
        <f t="shared" si="0"/>
        <v>0</v>
      </c>
      <c r="U11" s="9">
        <f t="shared" si="7"/>
        <v>24</v>
      </c>
      <c r="V11" s="77">
        <f>IFERROR(VLOOKUP(Vaktplan!$A$47,Vaktplan!$AN$4:$CL$35,86-AK64,FALSE),0)</f>
        <v>0</v>
      </c>
      <c r="W11" s="77">
        <f>IFERROR(VLOOKUP(Vaktplan!$A$47,Vaktplan!$AN$4:$CL$35,86-AJ64,FALSE),0)</f>
        <v>0</v>
      </c>
      <c r="X11" s="9">
        <f>IFERROR(VLOOKUP(Vaktplan!$A$47,Vaktplan!$AN$4:$CL$35,89-$AK64,FALSE),0)</f>
        <v>0</v>
      </c>
      <c r="Y11" s="9">
        <f t="shared" si="8"/>
        <v>0</v>
      </c>
      <c r="Z11" s="9">
        <f t="shared" si="9"/>
        <v>24</v>
      </c>
      <c r="AA11" s="77">
        <f>IFERROR(VLOOKUP(Vaktplan!$A$47,Vaktplan!$AO$4:$CL$35,86-AL64,FALSE),0)</f>
        <v>0</v>
      </c>
      <c r="AB11" s="77">
        <f>IFERROR(VLOOKUP(Vaktplan!$A$47,Vaktplan!$AO$4:$CL$35,86-AK64,FALSE),0)</f>
        <v>0</v>
      </c>
      <c r="AC11" s="9">
        <f>IFERROR(VLOOKUP(Vaktplan!$A$47,Vaktplan!$AO$4:$CL$35,89-$AL64,FALSE),0)</f>
        <v>0</v>
      </c>
      <c r="AD11" s="9">
        <f t="shared" si="10"/>
        <v>0</v>
      </c>
      <c r="AE11" s="9">
        <f t="shared" si="11"/>
        <v>24</v>
      </c>
      <c r="AF11" s="77">
        <f>IFERROR(VLOOKUP(Vaktplan!$A$47,Vaktplan!$AP$4:$CL$35,86-AM64,FALSE),0)</f>
        <v>0</v>
      </c>
      <c r="AG11" s="77">
        <f>IFERROR(VLOOKUP(Vaktplan!$A$47,Vaktplan!$AP$4:$CL$35,86-AL64,FALSE),0)</f>
        <v>0</v>
      </c>
      <c r="AH11" s="9">
        <f>IFERROR(VLOOKUP(Vaktplan!$A$47,Vaktplan!$AP$4:$CL$35,89-$AM64,FALSE),0)</f>
        <v>0</v>
      </c>
      <c r="AI11" s="9">
        <f t="shared" si="12"/>
        <v>0</v>
      </c>
      <c r="AJ11" s="9">
        <f t="shared" si="13"/>
        <v>24</v>
      </c>
      <c r="AK11" s="9">
        <f t="shared" si="1"/>
        <v>0</v>
      </c>
      <c r="AL11" s="10">
        <f t="shared" si="14"/>
        <v>24</v>
      </c>
      <c r="AM11" s="10">
        <f t="shared" si="15"/>
        <v>0</v>
      </c>
    </row>
    <row r="12" spans="1:39" ht="13" x14ac:dyDescent="0.25">
      <c r="A12" s="7">
        <f>IF($M$1&gt;=7,7,0)</f>
        <v>7</v>
      </c>
      <c r="B12" s="77">
        <f>IFERROR(VLOOKUP(Vaktplan!$A$47,Vaktplan!$AQ$4:$CL$35,87-AH65,FALSE),0)</f>
        <v>0</v>
      </c>
      <c r="C12" s="77">
        <f>IFERROR(VLOOKUP(Vaktplan!$A$47,Vaktplan!$AQ$4:$CL$35,87-AG65,FALSE),0)</f>
        <v>0</v>
      </c>
      <c r="D12" s="9">
        <f>IFERROR(VLOOKUP(Vaktplan!$A$47,Vaktplan!$AQ$4:$CL$35,89-AG65,FALSE),0)</f>
        <v>0</v>
      </c>
      <c r="E12" s="9">
        <f t="shared" si="16"/>
        <v>0</v>
      </c>
      <c r="F12" s="9">
        <f t="shared" si="2"/>
        <v>24</v>
      </c>
      <c r="G12" s="77">
        <f>IFERROR(VLOOKUP(Vaktplan!$A$47,Vaktplan!$AR$4:$CL$35,86-AH65,FALSE),0)</f>
        <v>0</v>
      </c>
      <c r="H12" s="77">
        <f>IFERROR(VLOOKUP(Vaktplan!$A$47,Vaktplan!$AR$4:$CL$35,86-AG65,FALSE),0)</f>
        <v>0</v>
      </c>
      <c r="I12" s="9">
        <f>IFERROR(VLOOKUP(Vaktplan!$A$47,Vaktplan!$AR$4:$CL$35,89-$AH65,FALSE),0)</f>
        <v>0</v>
      </c>
      <c r="J12" s="9">
        <f t="shared" si="3"/>
        <v>0</v>
      </c>
      <c r="K12" s="9">
        <f t="shared" si="4"/>
        <v>24</v>
      </c>
      <c r="L12" s="77">
        <f>IFERROR(VLOOKUP(Vaktplan!$A$47,Vaktplan!$AS$4:$CL$35,86-AI65,FALSE),0)</f>
        <v>0</v>
      </c>
      <c r="M12" s="77">
        <f>IFERROR(VLOOKUP(Vaktplan!$A$47,Vaktplan!$AS$4:$CL$35,86-AH65,FALSE),0)</f>
        <v>0</v>
      </c>
      <c r="N12" s="9">
        <f>IFERROR(VLOOKUP(Vaktplan!$A$47,Vaktplan!$AS$4:$CL$35,89-$AI65,FALSE),0)</f>
        <v>0</v>
      </c>
      <c r="O12" s="9">
        <f t="shared" si="5"/>
        <v>0</v>
      </c>
      <c r="P12" s="9">
        <f t="shared" si="6"/>
        <v>24</v>
      </c>
      <c r="Q12" s="77">
        <f>IFERROR(VLOOKUP(Vaktplan!$A$47,Vaktplan!$AT$4:$CL$35,86-AJ65,FALSE),0)</f>
        <v>0</v>
      </c>
      <c r="R12" s="77">
        <f>IFERROR(VLOOKUP(Vaktplan!$A$47,Vaktplan!$AT$4:$CL$35,86-AI65,FALSE),0)</f>
        <v>0</v>
      </c>
      <c r="S12" s="9">
        <f>IFERROR(VLOOKUP(Vaktplan!$A$47,Vaktplan!$AT$4:$CL$35,89-$AJ65,FALSE),0)</f>
        <v>0</v>
      </c>
      <c r="T12" s="9">
        <f t="shared" si="0"/>
        <v>0</v>
      </c>
      <c r="U12" s="9">
        <f t="shared" si="7"/>
        <v>24</v>
      </c>
      <c r="V12" s="77">
        <f>IFERROR(VLOOKUP(Vaktplan!$A$47,Vaktplan!$AU$4:$CL$35,86-AK65,FALSE),0)</f>
        <v>0</v>
      </c>
      <c r="W12" s="77">
        <f>IFERROR(VLOOKUP(Vaktplan!$A$47,Vaktplan!$AU$4:$CL$35,86-AJ65,FALSE),0)</f>
        <v>0</v>
      </c>
      <c r="X12" s="9">
        <f>IFERROR(VLOOKUP(Vaktplan!$A$47,Vaktplan!$AU$4:$CL$35,89-$AK65,FALSE),0)</f>
        <v>0</v>
      </c>
      <c r="Y12" s="9">
        <f t="shared" si="8"/>
        <v>0</v>
      </c>
      <c r="Z12" s="9">
        <f t="shared" si="9"/>
        <v>24</v>
      </c>
      <c r="AA12" s="77">
        <f>IFERROR(VLOOKUP(Vaktplan!$A$47,Vaktplan!$AV$4:$CL$35,86-AL65,FALSE),0)</f>
        <v>0</v>
      </c>
      <c r="AB12" s="77">
        <f>IFERROR(VLOOKUP(Vaktplan!$A$47,Vaktplan!$AV$4:$CL$35,86-AK65,FALSE),0)</f>
        <v>0</v>
      </c>
      <c r="AC12" s="9">
        <f>IFERROR(VLOOKUP(Vaktplan!$A$47,Vaktplan!$AV$4:$CL$35,89-$AL65,FALSE),0)</f>
        <v>0</v>
      </c>
      <c r="AD12" s="9">
        <f t="shared" si="10"/>
        <v>0</v>
      </c>
      <c r="AE12" s="9">
        <f t="shared" si="11"/>
        <v>24</v>
      </c>
      <c r="AF12" s="77">
        <f>IFERROR(VLOOKUP(Vaktplan!$A$47,Vaktplan!$AW$4:$CL$35,86-AM65,FALSE),0)</f>
        <v>0</v>
      </c>
      <c r="AG12" s="77">
        <f>IFERROR(VLOOKUP(Vaktplan!$A$47,Vaktplan!$AW$4:$CL$35,86-AL65,FALSE),0)</f>
        <v>0</v>
      </c>
      <c r="AH12" s="9">
        <f>IFERROR(VLOOKUP(Vaktplan!$A$47,Vaktplan!$AW$4:$CL$35,89-$AM65,FALSE),0)</f>
        <v>0</v>
      </c>
      <c r="AI12" s="9">
        <f t="shared" si="12"/>
        <v>0</v>
      </c>
      <c r="AJ12" s="9">
        <f t="shared" si="13"/>
        <v>24</v>
      </c>
      <c r="AK12" s="9">
        <f t="shared" si="1"/>
        <v>0</v>
      </c>
      <c r="AL12" s="10">
        <f t="shared" si="14"/>
        <v>24</v>
      </c>
      <c r="AM12" s="10">
        <f t="shared" si="15"/>
        <v>0</v>
      </c>
    </row>
    <row r="13" spans="1:39" ht="13" x14ac:dyDescent="0.25">
      <c r="A13" s="7">
        <f>IF($M$1&gt;=8,8,0)</f>
        <v>8</v>
      </c>
      <c r="B13" s="77">
        <f>IFERROR(VLOOKUP(Vaktplan!$A$47,Vaktplan!$AX$4:$CL$35,87-AH66,FALSE),0)</f>
        <v>0</v>
      </c>
      <c r="C13" s="77">
        <f>IFERROR(VLOOKUP(Vaktplan!$A$47,Vaktplan!$AX$4:$CL$35,87-AG66,FALSE),0)</f>
        <v>0</v>
      </c>
      <c r="D13" s="9">
        <f>IFERROR(VLOOKUP(Vaktplan!$A$47,Vaktplan!$AX$4:$CL$35,89-AG66,FALSE),0)</f>
        <v>0</v>
      </c>
      <c r="E13" s="9">
        <f t="shared" si="16"/>
        <v>0</v>
      </c>
      <c r="F13" s="9">
        <f t="shared" si="2"/>
        <v>24</v>
      </c>
      <c r="G13" s="77">
        <f>IFERROR(VLOOKUP(Vaktplan!$A$47,Vaktplan!$AY$4:$CL$35,86-AH66,FALSE),0)</f>
        <v>0</v>
      </c>
      <c r="H13" s="77">
        <f>IFERROR(VLOOKUP(Vaktplan!$A$47,Vaktplan!$AY$4:$CL$35,86-AG66,FALSE),0)</f>
        <v>0</v>
      </c>
      <c r="I13" s="9">
        <f>IFERROR(VLOOKUP(Vaktplan!$A$47,Vaktplan!$AY$4:$CL$35,89-$AH66,FALSE),0)</f>
        <v>0</v>
      </c>
      <c r="J13" s="9">
        <f t="shared" si="3"/>
        <v>0</v>
      </c>
      <c r="K13" s="9">
        <f t="shared" si="4"/>
        <v>24</v>
      </c>
      <c r="L13" s="77">
        <f>IFERROR(VLOOKUP(Vaktplan!$A$47,Vaktplan!$AZ$4:$CL$35,86-AI66,FALSE),0)</f>
        <v>0</v>
      </c>
      <c r="M13" s="77">
        <f>IFERROR(VLOOKUP(Vaktplan!$A$47,Vaktplan!$AZ$4:$CL$35,86-AH66,FALSE),0)</f>
        <v>0</v>
      </c>
      <c r="N13" s="9">
        <f>IFERROR(VLOOKUP(Vaktplan!$A$47,Vaktplan!$AZ$4:$CL$35,89-$AI66,FALSE),0)</f>
        <v>0</v>
      </c>
      <c r="O13" s="9">
        <f t="shared" si="5"/>
        <v>0</v>
      </c>
      <c r="P13" s="9">
        <f t="shared" si="6"/>
        <v>24</v>
      </c>
      <c r="Q13" s="77">
        <f>IFERROR(VLOOKUP(Vaktplan!$A$47,Vaktplan!$BA$4:$CL$35,86-AJ66,FALSE),0)</f>
        <v>0</v>
      </c>
      <c r="R13" s="77">
        <f>IFERROR(VLOOKUP(Vaktplan!$A$47,Vaktplan!$BA$4:$CL$35,86-AI66,FALSE),0)</f>
        <v>0</v>
      </c>
      <c r="S13" s="9">
        <f>IFERROR(VLOOKUP(Vaktplan!$A$47,Vaktplan!$BA$4:$CL$35,89-$AJ66,FALSE),0)</f>
        <v>0</v>
      </c>
      <c r="T13" s="9">
        <f t="shared" si="0"/>
        <v>0</v>
      </c>
      <c r="U13" s="9">
        <f t="shared" si="7"/>
        <v>24</v>
      </c>
      <c r="V13" s="77">
        <f>IFERROR(VLOOKUP(Vaktplan!$A$47,Vaktplan!$BB$4:$CL$35,86-AK66,FALSE),0)</f>
        <v>0</v>
      </c>
      <c r="W13" s="77">
        <f>IFERROR(VLOOKUP(Vaktplan!$A$47,Vaktplan!$BB$4:$CL$35,86-AJ66,FALSE),0)</f>
        <v>0</v>
      </c>
      <c r="X13" s="9">
        <f>IFERROR(VLOOKUP(Vaktplan!$A$47,Vaktplan!$BB$4:$CL$35,89-$AK66,FALSE),0)</f>
        <v>0</v>
      </c>
      <c r="Y13" s="9">
        <f t="shared" si="8"/>
        <v>0</v>
      </c>
      <c r="Z13" s="9">
        <f t="shared" si="9"/>
        <v>24</v>
      </c>
      <c r="AA13" s="77">
        <f>IFERROR(VLOOKUP(Vaktplan!$A$47,Vaktplan!$BC$4:$CL$35,86-AL66,FALSE),0)</f>
        <v>0</v>
      </c>
      <c r="AB13" s="77">
        <f>IFERROR(VLOOKUP(Vaktplan!$A$47,Vaktplan!$BC$4:$CL$35,86-AK66,FALSE),0)</f>
        <v>0</v>
      </c>
      <c r="AC13" s="9">
        <f>IFERROR(VLOOKUP(Vaktplan!$A$47,Vaktplan!$BC$4:$CL$35,89-$AL66,FALSE),0)</f>
        <v>0</v>
      </c>
      <c r="AD13" s="9">
        <f t="shared" si="10"/>
        <v>0</v>
      </c>
      <c r="AE13" s="9">
        <f t="shared" si="11"/>
        <v>24</v>
      </c>
      <c r="AF13" s="77">
        <f>IFERROR(VLOOKUP(Vaktplan!$A$47,Vaktplan!$BD$4:$CL$35,86-AM66,FALSE),0)</f>
        <v>0</v>
      </c>
      <c r="AG13" s="77">
        <f>IFERROR(VLOOKUP(Vaktplan!$A$47,Vaktplan!$BD$4:$CL$35,86-AL66,FALSE),0)</f>
        <v>0</v>
      </c>
      <c r="AH13" s="9">
        <f>IFERROR(VLOOKUP(Vaktplan!$A$47,Vaktplan!$BD$4:$CL$35,89-$AM66,FALSE),0)</f>
        <v>0</v>
      </c>
      <c r="AI13" s="9">
        <f t="shared" si="12"/>
        <v>0</v>
      </c>
      <c r="AJ13" s="9">
        <f t="shared" si="13"/>
        <v>24</v>
      </c>
      <c r="AK13" s="9">
        <f t="shared" si="1"/>
        <v>0</v>
      </c>
      <c r="AL13" s="10">
        <f t="shared" si="14"/>
        <v>24</v>
      </c>
      <c r="AM13" s="10">
        <f t="shared" si="15"/>
        <v>0</v>
      </c>
    </row>
    <row r="14" spans="1:39" ht="13" x14ac:dyDescent="0.25">
      <c r="A14" s="7">
        <v>9</v>
      </c>
      <c r="B14" s="77">
        <f>IFERROR(VLOOKUP(Vaktplan!$A$47,Vaktplan!$BE$4:$CL$35,87-AH67,FALSE),0)</f>
        <v>0</v>
      </c>
      <c r="C14" s="77">
        <f>IFERROR(VLOOKUP(Vaktplan!$A$47,Vaktplan!$BE$4:$CL$35,87-AG67,FALSE),0)</f>
        <v>0</v>
      </c>
      <c r="D14" s="9">
        <f>IFERROR(VLOOKUP(Vaktplan!$A$47,Vaktplan!$BE$4:$CL$35,89-AG67,FALSE),0)</f>
        <v>0</v>
      </c>
      <c r="E14" s="9">
        <f t="shared" si="16"/>
        <v>0</v>
      </c>
      <c r="F14" s="9">
        <f t="shared" si="2"/>
        <v>24</v>
      </c>
      <c r="G14" s="77">
        <f>IFERROR(VLOOKUP(Vaktplan!$A$47,Vaktplan!$BF$4:$CL$35,86-AH67,FALSE),0)</f>
        <v>0</v>
      </c>
      <c r="H14" s="77">
        <f>IFERROR(VLOOKUP(Vaktplan!$A$47,Vaktplan!$BF$4:$CL$35,86-AG67,FALSE),0)</f>
        <v>0</v>
      </c>
      <c r="I14" s="9">
        <f>IFERROR(VLOOKUP(Vaktplan!$A$47,Vaktplan!$BF$4:$CL$35,89-$AH67,FALSE),0)</f>
        <v>0</v>
      </c>
      <c r="J14" s="9">
        <f t="shared" si="3"/>
        <v>0</v>
      </c>
      <c r="K14" s="9">
        <f t="shared" si="4"/>
        <v>24</v>
      </c>
      <c r="L14" s="77">
        <f>IFERROR(VLOOKUP(Vaktplan!$A$47,Vaktplan!$BG$4:$CL$35,86-AI67,FALSE),0)</f>
        <v>0</v>
      </c>
      <c r="M14" s="77">
        <f>IFERROR(VLOOKUP(Vaktplan!$A$47,Vaktplan!$BG$4:$CL$35,86-AH67,FALSE),0)</f>
        <v>0</v>
      </c>
      <c r="N14" s="9">
        <f>IFERROR(VLOOKUP(Vaktplan!$A$47,Vaktplan!$BG$4:$CL$35,89-$AI67,FALSE),0)</f>
        <v>0</v>
      </c>
      <c r="O14" s="9">
        <f t="shared" si="5"/>
        <v>0</v>
      </c>
      <c r="P14" s="9">
        <f t="shared" si="6"/>
        <v>24</v>
      </c>
      <c r="Q14" s="77">
        <f>IFERROR(VLOOKUP(Vaktplan!$A$47,Vaktplan!$BH$4:$CL$35,86-AJ67,FALSE),0)</f>
        <v>0</v>
      </c>
      <c r="R14" s="77">
        <f>IFERROR(VLOOKUP(Vaktplan!$A$47,Vaktplan!$BH$4:$CL$35,86-AI67,FALSE),0)</f>
        <v>0</v>
      </c>
      <c r="S14" s="9">
        <f>IFERROR(VLOOKUP(Vaktplan!$A$47,Vaktplan!$BH$4:$CL$35,89-$AJ67,FALSE),0)</f>
        <v>0</v>
      </c>
      <c r="T14" s="9">
        <f t="shared" si="0"/>
        <v>0</v>
      </c>
      <c r="U14" s="9">
        <f t="shared" si="7"/>
        <v>24</v>
      </c>
      <c r="V14" s="77">
        <f>IFERROR(VLOOKUP(Vaktplan!$A$47,Vaktplan!$BI$4:$CL$35,86-AK67,FALSE),0)</f>
        <v>0</v>
      </c>
      <c r="W14" s="77">
        <f>IFERROR(VLOOKUP(Vaktplan!$A$47,Vaktplan!$BI$4:$CL$35,86-AJ67,FALSE),0)</f>
        <v>0</v>
      </c>
      <c r="X14" s="9">
        <f>IFERROR(VLOOKUP(Vaktplan!$A$47,Vaktplan!$BI$4:$CL$35,89-$AK67,FALSE),0)</f>
        <v>0</v>
      </c>
      <c r="Y14" s="9">
        <f>IF(AND(V14=0,W14=0),0,IF(V14&lt;W14,((W14-V14)*24)-X14,(((1-V14)+W14)*24)-X14))</f>
        <v>0</v>
      </c>
      <c r="Z14" s="9">
        <f t="shared" si="9"/>
        <v>24</v>
      </c>
      <c r="AA14" s="77">
        <f>IFERROR(VLOOKUP(Vaktplan!$A$47,Vaktplan!$BJ$4:$CL$35,86-AL67,FALSE),0)</f>
        <v>0</v>
      </c>
      <c r="AB14" s="77">
        <f>IFERROR(VLOOKUP(Vaktplan!$A$47,Vaktplan!$BJ$4:$CL$35,86-AK67,FALSE),0)</f>
        <v>0</v>
      </c>
      <c r="AC14" s="9">
        <f>IFERROR(VLOOKUP(Vaktplan!$A$47,Vaktplan!$BJ$4:$CL$35,89-$AL67,FALSE),0)</f>
        <v>0</v>
      </c>
      <c r="AD14" s="9">
        <f>IF(AND(AA14=0,AB14=0),0,IF(AA14&lt;AB14,((AB14-AA14)*24)-AC14,(((1-AA14)+AB14)*24)-AC14))</f>
        <v>0</v>
      </c>
      <c r="AE14" s="9">
        <f t="shared" si="11"/>
        <v>24</v>
      </c>
      <c r="AF14" s="77">
        <f>IFERROR(VLOOKUP(Vaktplan!$A$47,Vaktplan!$BK$4:$CL$35,86-AM67,FALSE),0)</f>
        <v>0</v>
      </c>
      <c r="AG14" s="77">
        <f>IFERROR(VLOOKUP(Vaktplan!$A$47,Vaktplan!$BK$4:$CL$35,86-AL67,FALSE),0)</f>
        <v>0</v>
      </c>
      <c r="AH14" s="9">
        <f>IFERROR(VLOOKUP(Vaktplan!$A$47,Vaktplan!$BK$4:$CL$35,89-$AM67,FALSE),0)</f>
        <v>0</v>
      </c>
      <c r="AI14" s="9">
        <f>IF(AND(AF14=0,AG14=0),0,IF(AF14&lt;AG14,((AG14-AF14)*24)-AH14,(((1-AF14)+AG14)*24)-AH14))</f>
        <v>0</v>
      </c>
      <c r="AJ14" s="9">
        <f t="shared" si="13"/>
        <v>24</v>
      </c>
      <c r="AK14" s="9">
        <f t="shared" si="1"/>
        <v>0</v>
      </c>
      <c r="AL14" s="10"/>
      <c r="AM14" s="10"/>
    </row>
    <row r="15" spans="1:39" ht="13" x14ac:dyDescent="0.25">
      <c r="A15" s="7">
        <v>10</v>
      </c>
      <c r="B15" s="77">
        <f>IFERROR(VLOOKUP(Vaktplan!$A$47,Vaktplan!$BL$4:$CL$35,87-AH68,FALSE),0)</f>
        <v>0</v>
      </c>
      <c r="C15" s="77">
        <f>IFERROR(VLOOKUP(Vaktplan!$A$47,Vaktplan!$BL$4:$CL$35,87-AG68,FALSE),0)</f>
        <v>0</v>
      </c>
      <c r="D15" s="9">
        <f>IFERROR(VLOOKUP(Vaktplan!$A$47,Vaktplan!$BL$4:$CL$35,89-AG68,FALSE),0)</f>
        <v>0</v>
      </c>
      <c r="E15" s="9">
        <f t="shared" si="16"/>
        <v>0</v>
      </c>
      <c r="F15" s="9">
        <f t="shared" si="2"/>
        <v>24</v>
      </c>
      <c r="G15" s="77">
        <f>IFERROR(VLOOKUP(Vaktplan!$A$47,Vaktplan!$BM$4:$CL$35,86-AH68,FALSE),0)</f>
        <v>0</v>
      </c>
      <c r="H15" s="77">
        <f>IFERROR(VLOOKUP(Vaktplan!$A$47,Vaktplan!$BM$4:$CL$35,86-AG68,FALSE),0)</f>
        <v>0</v>
      </c>
      <c r="I15" s="9">
        <f>IFERROR(VLOOKUP(Vaktplan!$A$47,Vaktplan!$BM$4:$CL$35,89-$AH68,FALSE),0)</f>
        <v>0</v>
      </c>
      <c r="J15" s="9">
        <f t="shared" si="3"/>
        <v>0</v>
      </c>
      <c r="K15" s="9">
        <f t="shared" si="4"/>
        <v>24</v>
      </c>
      <c r="L15" s="77">
        <f>IFERROR(VLOOKUP(Vaktplan!$A$47,Vaktplan!$BN$4:$CL$35,86-AI68,FALSE),0)</f>
        <v>0</v>
      </c>
      <c r="M15" s="77">
        <f>IFERROR(VLOOKUP(Vaktplan!$A$47,Vaktplan!$BN$4:$CL$35,86-AH68,FALSE),0)</f>
        <v>0</v>
      </c>
      <c r="N15" s="9">
        <f>IFERROR(VLOOKUP(Vaktplan!$A$47,Vaktplan!$BN$4:$CL$35,89-$AI68,FALSE),0)</f>
        <v>0</v>
      </c>
      <c r="O15" s="9">
        <f t="shared" si="5"/>
        <v>0</v>
      </c>
      <c r="P15" s="9">
        <f t="shared" si="6"/>
        <v>24</v>
      </c>
      <c r="Q15" s="77">
        <f>IFERROR(VLOOKUP(Vaktplan!$A$47,Vaktplan!$BO$4:$CL$35,86-AJ68,FALSE),0)</f>
        <v>0</v>
      </c>
      <c r="R15" s="77">
        <f>IFERROR(VLOOKUP(Vaktplan!$A$47,Vaktplan!$BO$4:$CL$35,86-AI68,FALSE),0)</f>
        <v>0</v>
      </c>
      <c r="S15" s="9">
        <f>IFERROR(VLOOKUP(Vaktplan!$A$47,Vaktplan!$BO$4:$CL$35,89-$AJ68,FALSE),0)</f>
        <v>0</v>
      </c>
      <c r="T15" s="9">
        <f t="shared" si="0"/>
        <v>0</v>
      </c>
      <c r="U15" s="9">
        <f t="shared" si="7"/>
        <v>24</v>
      </c>
      <c r="V15" s="77">
        <f>IFERROR(VLOOKUP(Vaktplan!$A$47,Vaktplan!$BP$4:$CL$35,86-AK68,FALSE),0)</f>
        <v>0</v>
      </c>
      <c r="W15" s="77">
        <f>IFERROR(VLOOKUP(Vaktplan!$A$47,Vaktplan!$BP$4:$CL$35,86-AJ68,FALSE),0)</f>
        <v>0</v>
      </c>
      <c r="X15" s="9">
        <f>IFERROR(VLOOKUP(Vaktplan!$A$47,Vaktplan!$BP$4:$CL$35,89-$AK68,FALSE),0)</f>
        <v>0</v>
      </c>
      <c r="Y15" s="9">
        <f>IF(AND(V15=0,W15=0),0,IF(V15&lt;W15,((W15-V15)*24)-X15,(((1-V15)+W15)*24)-X15))</f>
        <v>0</v>
      </c>
      <c r="Z15" s="9">
        <f t="shared" si="9"/>
        <v>24</v>
      </c>
      <c r="AA15" s="77">
        <f>IFERROR(VLOOKUP(Vaktplan!$A$47,Vaktplan!$BQ$4:$CL$35,86-AL68,FALSE),0)</f>
        <v>0</v>
      </c>
      <c r="AB15" s="77">
        <f>IFERROR(VLOOKUP(Vaktplan!$A$47,Vaktplan!$BQ$4:$CL$35,86-AK68,FALSE),0)</f>
        <v>0</v>
      </c>
      <c r="AC15" s="9">
        <f>IFERROR(VLOOKUP(Vaktplan!$A$47,Vaktplan!$BQ$4:$CL$35,89-$AL68,FALSE),0)</f>
        <v>0</v>
      </c>
      <c r="AD15" s="9">
        <f>IF(AND(AA15=0,AB15=0),0,IF(AA15&lt;AB15,((AB15-AA15)*24)-AC15,(((1-AA15)+AB15)*24)-AC15))</f>
        <v>0</v>
      </c>
      <c r="AE15" s="9">
        <f t="shared" si="11"/>
        <v>24</v>
      </c>
      <c r="AF15" s="77">
        <f>IFERROR(VLOOKUP(Vaktplan!$A$47,Vaktplan!$BR$4:$CL$35,86-AM68,FALSE),0)</f>
        <v>0</v>
      </c>
      <c r="AG15" s="77">
        <f>IFERROR(VLOOKUP(Vaktplan!$A$47,Vaktplan!$BR$4:$CL$35,86-AL68,FALSE),0)</f>
        <v>0</v>
      </c>
      <c r="AH15" s="9">
        <f>IFERROR(VLOOKUP(Vaktplan!$A$47,Vaktplan!$BR$4:$CL$35,89-$AM68,FALSE),0)</f>
        <v>0</v>
      </c>
      <c r="AI15" s="9">
        <f>IF(AND(AF15=0,AG15=0),0,IF(AF15&lt;AG15,((AG15-AF15)*24)-AH15,(((1-AF15)+AG15)*24)-AH15))</f>
        <v>0</v>
      </c>
      <c r="AJ15" s="9">
        <f t="shared" si="13"/>
        <v>24</v>
      </c>
      <c r="AK15" s="9">
        <f t="shared" si="1"/>
        <v>0</v>
      </c>
      <c r="AL15" s="10"/>
      <c r="AM15" s="10"/>
    </row>
    <row r="16" spans="1:39" ht="13" x14ac:dyDescent="0.25">
      <c r="A16" s="7">
        <v>11</v>
      </c>
      <c r="B16" s="77">
        <f>IFERROR(VLOOKUP(Vaktplan!$A$47,Vaktplan!$BS$4:$CL$35,87-AH69,FALSE),0)</f>
        <v>0</v>
      </c>
      <c r="C16" s="77">
        <f>IFERROR(VLOOKUP(Vaktplan!$A$47,Vaktplan!$BS$4:$CL$35,87-AG69,FALSE),0)</f>
        <v>0</v>
      </c>
      <c r="D16" s="9">
        <f>IFERROR(VLOOKUP(Vaktplan!$A$47,Vaktplan!$BS$4:$CL$35,89-AG69,FALSE),0)</f>
        <v>0</v>
      </c>
      <c r="E16" s="9">
        <f t="shared" si="16"/>
        <v>0</v>
      </c>
      <c r="F16" s="9">
        <f t="shared" si="2"/>
        <v>24</v>
      </c>
      <c r="G16" s="77">
        <f>IFERROR(VLOOKUP(Vaktplan!$A$47,Vaktplan!$BT$4:$CL$35,86-AH69,FALSE),0)</f>
        <v>0</v>
      </c>
      <c r="H16" s="77">
        <f>IFERROR(VLOOKUP(Vaktplan!$A$47,Vaktplan!$BT$4:$CL$35,86-AG69,FALSE),0)</f>
        <v>0</v>
      </c>
      <c r="I16" s="9">
        <f>IFERROR(VLOOKUP(Vaktplan!$A$47,Vaktplan!$BT$4:$CL$35,89-$AH69,FALSE),0)</f>
        <v>0</v>
      </c>
      <c r="J16" s="9">
        <f t="shared" si="3"/>
        <v>0</v>
      </c>
      <c r="K16" s="9">
        <f t="shared" si="4"/>
        <v>24</v>
      </c>
      <c r="L16" s="77">
        <f>IFERROR(VLOOKUP(Vaktplan!$A$47,Vaktplan!$BU$4:$CL$35,86-AI69,FALSE),0)</f>
        <v>0</v>
      </c>
      <c r="M16" s="77">
        <f>IFERROR(VLOOKUP(Vaktplan!$A$47,Vaktplan!$BU$4:$CL$35,86-AH69,FALSE),0)</f>
        <v>0</v>
      </c>
      <c r="N16" s="9">
        <f>IFERROR(VLOOKUP(Vaktplan!$A$47,Vaktplan!$BU$4:$CL$35,89-$AI69,FALSE),0)</f>
        <v>0</v>
      </c>
      <c r="O16" s="9">
        <f t="shared" si="5"/>
        <v>0</v>
      </c>
      <c r="P16" s="9">
        <f t="shared" si="6"/>
        <v>24</v>
      </c>
      <c r="Q16" s="77">
        <f>IFERROR(VLOOKUP(Vaktplan!$A$47,Vaktplan!$BV$4:$CL$35,86-AJ69,FALSE),0)</f>
        <v>0</v>
      </c>
      <c r="R16" s="77">
        <f>IFERROR(VLOOKUP(Vaktplan!$A$47,Vaktplan!$BV$4:$CL$35,86-AI69,FALSE),0)</f>
        <v>0</v>
      </c>
      <c r="S16" s="9">
        <f>IFERROR(VLOOKUP(Vaktplan!$A$47,Vaktplan!$BV$4:$CL$35,89-$AJ69,FALSE),0)</f>
        <v>0</v>
      </c>
      <c r="T16" s="9">
        <f t="shared" si="0"/>
        <v>0</v>
      </c>
      <c r="U16" s="9">
        <f t="shared" si="7"/>
        <v>24</v>
      </c>
      <c r="V16" s="77">
        <f>IFERROR(VLOOKUP(Vaktplan!$A$47,Vaktplan!$BW$4:$CL$35,86-AK69,FALSE),0)</f>
        <v>0</v>
      </c>
      <c r="W16" s="77">
        <f>IFERROR(VLOOKUP(Vaktplan!$A$47,Vaktplan!$BW$4:$CL$35,86-AJ69,FALSE),0)</f>
        <v>0</v>
      </c>
      <c r="X16" s="9">
        <f>IFERROR(VLOOKUP(Vaktplan!$A$47,Vaktplan!$BW$4:$CL$35,89-$AK69,FALSE),0)</f>
        <v>0</v>
      </c>
      <c r="Y16" s="9">
        <f>IF(AND(V16=0,W16=0),0,IF(V16&lt;W16,((W16-V16)*24)-X16,(((1-V16)+W16)*24)-X16))</f>
        <v>0</v>
      </c>
      <c r="Z16" s="9">
        <f t="shared" si="9"/>
        <v>24</v>
      </c>
      <c r="AA16" s="77">
        <f>IFERROR(VLOOKUP(Vaktplan!$A$47,Vaktplan!$BX$4:$CL$35,86-AL69,FALSE),0)</f>
        <v>0</v>
      </c>
      <c r="AB16" s="77">
        <f>IFERROR(VLOOKUP(Vaktplan!$A$47,Vaktplan!$BX$4:$CL$35,86-AK69,FALSE),0)</f>
        <v>0</v>
      </c>
      <c r="AC16" s="9">
        <f>IFERROR(VLOOKUP(Vaktplan!$A$47,Vaktplan!$BX$4:$CL$35,89-$AL69,FALSE),0)</f>
        <v>0</v>
      </c>
      <c r="AD16" s="9">
        <f>IF(AND(AA16=0,AB16=0),0,IF(AA16&lt;AB16,((AB16-AA16)*24)-AC16,(((1-AA16)+AB16)*24)-AC16))</f>
        <v>0</v>
      </c>
      <c r="AE16" s="9">
        <f t="shared" si="11"/>
        <v>24</v>
      </c>
      <c r="AF16" s="77">
        <f>IFERROR(VLOOKUP(Vaktplan!$A$47,Vaktplan!$BY$4:$CL$35,86-AM69,FALSE),0)</f>
        <v>0</v>
      </c>
      <c r="AG16" s="77">
        <f>IFERROR(VLOOKUP(Vaktplan!$A$47,Vaktplan!$BY$4:$CL$35,86-AL69,FALSE),0)</f>
        <v>0</v>
      </c>
      <c r="AH16" s="9">
        <f>IFERROR(VLOOKUP(Vaktplan!$A$47,Vaktplan!$BY$4:$CL$35,89-$AM69,FALSE),0)</f>
        <v>0</v>
      </c>
      <c r="AI16" s="9">
        <f>IF(AND(AF16=0,AG16=0),0,IF(AF16&lt;AG16,((AG16-AF16)*24)-AH16,(((1-AF16)+AG16)*24)-AH16))</f>
        <v>0</v>
      </c>
      <c r="AJ16" s="9">
        <f t="shared" si="13"/>
        <v>24</v>
      </c>
      <c r="AK16" s="9">
        <f t="shared" si="1"/>
        <v>0</v>
      </c>
      <c r="AL16" s="10"/>
      <c r="AM16" s="10"/>
    </row>
    <row r="17" spans="1:43" ht="13" x14ac:dyDescent="0.25">
      <c r="A17" s="7">
        <v>12</v>
      </c>
      <c r="B17" s="77">
        <f>IFERROR(VLOOKUP(Vaktplan!$A$47,Vaktplan!$BZ$4:$CL$35,87-AH70,FALSE),0)</f>
        <v>0</v>
      </c>
      <c r="C17" s="77">
        <f>IFERROR(VLOOKUP(Vaktplan!$A$47,Vaktplan!$BZ$4:$CL$35,87-AG70,FALSE),0)</f>
        <v>0</v>
      </c>
      <c r="D17" s="9">
        <f>IFERROR(VLOOKUP(Vaktplan!$A$47,Vaktplan!$BZ$4:$CL$35,89-AG70,FALSE),0)</f>
        <v>0</v>
      </c>
      <c r="E17" s="9">
        <f t="shared" si="16"/>
        <v>0</v>
      </c>
      <c r="F17" s="9">
        <f t="shared" si="2"/>
        <v>24</v>
      </c>
      <c r="G17" s="77">
        <f>IFERROR(VLOOKUP(Vaktplan!$A$47,Vaktplan!$CA$4:$CL$35,86-AH70,FALSE),0)</f>
        <v>0</v>
      </c>
      <c r="H17" s="77">
        <f>IFERROR(VLOOKUP(Vaktplan!$A$47,Vaktplan!$CA$4:$CL$35,86-AG70,FALSE),0)</f>
        <v>0</v>
      </c>
      <c r="I17" s="9">
        <f>IFERROR(VLOOKUP(Vaktplan!$A$47,Vaktplan!$CA$4:$CL$35,89-$AH70,FALSE),0)</f>
        <v>0</v>
      </c>
      <c r="J17" s="9">
        <f t="shared" si="3"/>
        <v>0</v>
      </c>
      <c r="K17" s="9">
        <f t="shared" si="4"/>
        <v>24</v>
      </c>
      <c r="L17" s="77">
        <f>IFERROR(VLOOKUP(Vaktplan!$A$47,Vaktplan!$CB$4:$CL$35,86-AI70,FALSE),0)</f>
        <v>0</v>
      </c>
      <c r="M17" s="77">
        <f>IFERROR(VLOOKUP(Vaktplan!$A$47,Vaktplan!$CB$4:$CL$35,86-AH70,FALSE),0)</f>
        <v>0</v>
      </c>
      <c r="N17" s="9">
        <f>IFERROR(VLOOKUP(Vaktplan!$A$47,Vaktplan!$CB$4:$CL$35,89-$AI70,FALSE),0)</f>
        <v>0</v>
      </c>
      <c r="O17" s="9">
        <f t="shared" si="5"/>
        <v>0</v>
      </c>
      <c r="P17" s="9">
        <f t="shared" si="6"/>
        <v>24</v>
      </c>
      <c r="Q17" s="77">
        <f>IFERROR(VLOOKUP(Vaktplan!$A$47,Vaktplan!$CC$4:$CL$35,86-AJ70,FALSE),0)</f>
        <v>0</v>
      </c>
      <c r="R17" s="77">
        <f>IFERROR(VLOOKUP(Vaktplan!$A$47,Vaktplan!$CC$4:$CL$35,86-AI70,FALSE),0)</f>
        <v>0</v>
      </c>
      <c r="S17" s="9">
        <f>IFERROR(VLOOKUP(Vaktplan!$A$47,Vaktplan!$CC$4:$CL$35,89-$AJ70,FALSE),0)</f>
        <v>0</v>
      </c>
      <c r="T17" s="9">
        <f t="shared" si="0"/>
        <v>0</v>
      </c>
      <c r="U17" s="9">
        <f t="shared" si="7"/>
        <v>24</v>
      </c>
      <c r="V17" s="77">
        <f>IFERROR(VLOOKUP(Vaktplan!$A$47,Vaktplan!$CD$4:$CL$35,86-AK70,FALSE),0)</f>
        <v>0</v>
      </c>
      <c r="W17" s="77">
        <f>IFERROR(VLOOKUP(Vaktplan!$A$47,Vaktplan!$CD$4:$CL$35,86-AJ70,FALSE),0)</f>
        <v>0</v>
      </c>
      <c r="X17" s="9">
        <f>IFERROR(VLOOKUP(Vaktplan!$A$47,Vaktplan!$CD$4:$CL$35,89-$AK70,FALSE),0)</f>
        <v>0</v>
      </c>
      <c r="Y17" s="9">
        <f>IF(AND(V17=0,W17=0),0,IF(V17&lt;W17,((W17-V17)*24)-X17,(((1-V17)+W17)*24)-X17))</f>
        <v>0</v>
      </c>
      <c r="Z17" s="9">
        <f t="shared" si="9"/>
        <v>24</v>
      </c>
      <c r="AA17" s="77">
        <f>IFERROR(VLOOKUP(Vaktplan!$A$47,Vaktplan!$CE$4:$CL$35,86-AL70,FALSE),0)</f>
        <v>0</v>
      </c>
      <c r="AB17" s="77">
        <f>IFERROR(VLOOKUP(Vaktplan!$A$47,Vaktplan!$CE$4:$CL$35,86-AK70,FALSE),0)</f>
        <v>0</v>
      </c>
      <c r="AC17" s="9">
        <f>IFERROR(VLOOKUP(Vaktplan!$A$47,Vaktplan!$CE$4:$FCE$35,89-$AL70,FALSE),0)</f>
        <v>0</v>
      </c>
      <c r="AD17" s="9">
        <f>IF(AND(AA17=0,AB17=0),0,IF(AA17&lt;AB17,((AB17-AA17)*24)-AC17,(((1-AA17)+AB17)*24)-AC17))</f>
        <v>0</v>
      </c>
      <c r="AE17" s="9">
        <f t="shared" si="11"/>
        <v>24</v>
      </c>
      <c r="AF17" s="77">
        <f>IFERROR(VLOOKUP(Vaktplan!$A$47,Vaktplan!$CF$4:$CL$35,86-AM70,FALSE),0)</f>
        <v>0</v>
      </c>
      <c r="AG17" s="77">
        <f>IFERROR(VLOOKUP(Vaktplan!$A$47,Vaktplan!$CF$4:$CL$35,86-AL70,FALSE),0)</f>
        <v>0</v>
      </c>
      <c r="AH17" s="9">
        <f>IFERROR(VLOOKUP(Vaktplan!$A$47,Vaktplan!$CF$4:$CL$35,89-$AM70,FALSE),0)</f>
        <v>0</v>
      </c>
      <c r="AI17" s="9">
        <f>IF(AND(AF17=0,AG17=0),0,IF(AF17&lt;AG17,((AG17-AF17)*24)-AH17,(((1-AF17)+AG17)*24)-AH17))</f>
        <v>0</v>
      </c>
      <c r="AJ17" s="9">
        <f t="shared" si="13"/>
        <v>24</v>
      </c>
      <c r="AK17" s="9">
        <f t="shared" si="1"/>
        <v>0</v>
      </c>
      <c r="AL17" s="10"/>
      <c r="AM17" s="10"/>
    </row>
    <row r="19" spans="1:43" ht="13" x14ac:dyDescent="0.3">
      <c r="A19" s="4" t="s">
        <v>76</v>
      </c>
    </row>
    <row r="20" spans="1:43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3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3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3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3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6" spans="1:43" ht="13" x14ac:dyDescent="0.3">
      <c r="A26" s="4" t="s">
        <v>77</v>
      </c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</row>
    <row r="27" spans="1:43" ht="13" x14ac:dyDescent="0.3">
      <c r="A27" s="3" t="s">
        <v>78</v>
      </c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80" t="s">
        <v>79</v>
      </c>
      <c r="AM27" s="78"/>
      <c r="AN27" s="78"/>
      <c r="AO27" s="78"/>
    </row>
    <row r="28" spans="1:43" ht="13" x14ac:dyDescent="0.3">
      <c r="A28" s="98" t="s">
        <v>36</v>
      </c>
      <c r="B28" s="98"/>
      <c r="C28" s="98"/>
      <c r="D28" s="88"/>
      <c r="E28" s="8">
        <f>E2</f>
        <v>0</v>
      </c>
      <c r="F28" s="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>
        <v>1</v>
      </c>
      <c r="AM28" s="78"/>
      <c r="AN28" s="78"/>
      <c r="AO28" s="78"/>
    </row>
    <row r="29" spans="1:43" ht="13" x14ac:dyDescent="0.3">
      <c r="A29" s="98" t="s">
        <v>80</v>
      </c>
      <c r="B29" s="98"/>
      <c r="C29" s="98"/>
      <c r="D29" s="88"/>
      <c r="E29" s="5">
        <f>E3</f>
        <v>0</v>
      </c>
      <c r="F29" s="5"/>
      <c r="T29" s="10"/>
      <c r="U29" s="10"/>
      <c r="V29" s="10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80" t="s">
        <v>81</v>
      </c>
      <c r="AH29" s="80"/>
      <c r="AI29" s="78"/>
      <c r="AJ29" s="78"/>
      <c r="AK29" s="78"/>
      <c r="AL29" s="78">
        <v>2</v>
      </c>
      <c r="AM29" s="78"/>
      <c r="AN29" s="78"/>
      <c r="AO29" s="78"/>
      <c r="AP29" s="10"/>
      <c r="AQ29" s="10"/>
    </row>
    <row r="30" spans="1:43" ht="13" x14ac:dyDescent="0.3">
      <c r="A30" s="98" t="s">
        <v>82</v>
      </c>
      <c r="B30" s="98"/>
      <c r="C30" s="98"/>
      <c r="D30" s="88"/>
      <c r="T30" s="10"/>
      <c r="U30" s="10"/>
      <c r="V30" s="10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>
        <v>3</v>
      </c>
      <c r="AM30" s="78"/>
      <c r="AN30" s="78"/>
      <c r="AO30" s="78"/>
      <c r="AP30" s="10"/>
      <c r="AQ30" s="10"/>
    </row>
    <row r="31" spans="1:43" ht="13" x14ac:dyDescent="0.3">
      <c r="A31" s="4" t="s">
        <v>83</v>
      </c>
      <c r="B31" s="4" t="s">
        <v>84</v>
      </c>
      <c r="C31" s="4" t="s">
        <v>85</v>
      </c>
      <c r="D31" s="98" t="s">
        <v>86</v>
      </c>
      <c r="E31" s="98"/>
      <c r="F31" s="4" t="s">
        <v>87</v>
      </c>
      <c r="G31" s="4" t="s">
        <v>88</v>
      </c>
      <c r="H31" s="98" t="s">
        <v>27</v>
      </c>
      <c r="I31" s="98"/>
      <c r="J31" s="4" t="s">
        <v>28</v>
      </c>
      <c r="K31" s="4" t="s">
        <v>29</v>
      </c>
      <c r="L31" s="4" t="s">
        <v>30</v>
      </c>
      <c r="M31" s="4" t="s">
        <v>31</v>
      </c>
      <c r="N31" s="98" t="s">
        <v>32</v>
      </c>
      <c r="O31" s="98"/>
      <c r="T31" s="10"/>
      <c r="U31" s="10"/>
      <c r="V31" s="10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80" t="s">
        <v>9</v>
      </c>
      <c r="AH31" s="80"/>
      <c r="AI31" s="78"/>
      <c r="AJ31" s="78"/>
      <c r="AK31" s="78"/>
      <c r="AL31" s="78">
        <v>4</v>
      </c>
      <c r="AM31" s="78"/>
      <c r="AN31" s="78"/>
      <c r="AO31" s="78"/>
      <c r="AP31" s="10"/>
      <c r="AQ31" s="10"/>
    </row>
    <row r="32" spans="1:43" ht="13" x14ac:dyDescent="0.3">
      <c r="A32" s="3">
        <f>AK6</f>
        <v>0</v>
      </c>
      <c r="B32" s="3">
        <f>AK7</f>
        <v>0</v>
      </c>
      <c r="C32" s="3">
        <f>AK8</f>
        <v>0</v>
      </c>
      <c r="D32" s="101">
        <f>AK9</f>
        <v>0</v>
      </c>
      <c r="E32" s="101"/>
      <c r="F32" s="3">
        <f>AK10</f>
        <v>0</v>
      </c>
      <c r="G32" s="3">
        <f>AK11</f>
        <v>0</v>
      </c>
      <c r="H32" s="101">
        <f>AK12</f>
        <v>0</v>
      </c>
      <c r="I32" s="101"/>
      <c r="J32" s="3">
        <f>AK13</f>
        <v>0</v>
      </c>
      <c r="K32" s="3">
        <f>AK14</f>
        <v>0</v>
      </c>
      <c r="L32" s="3">
        <f>AK15</f>
        <v>0</v>
      </c>
      <c r="M32" s="3">
        <f>AK16</f>
        <v>0</v>
      </c>
      <c r="N32" s="101">
        <f>AK17</f>
        <v>0</v>
      </c>
      <c r="O32" s="101"/>
      <c r="T32" s="11" t="s">
        <v>70</v>
      </c>
      <c r="U32" s="10" t="s">
        <v>89</v>
      </c>
      <c r="V32" s="10" t="s">
        <v>90</v>
      </c>
      <c r="W32" s="78" t="s">
        <v>91</v>
      </c>
      <c r="X32" s="78" t="s">
        <v>92</v>
      </c>
      <c r="Y32" s="78" t="s">
        <v>93</v>
      </c>
      <c r="Z32" s="78" t="s">
        <v>94</v>
      </c>
      <c r="AA32" s="78"/>
      <c r="AB32" s="78"/>
      <c r="AC32" s="78"/>
      <c r="AD32" s="78"/>
      <c r="AE32" s="78"/>
      <c r="AF32" s="78"/>
      <c r="AG32" s="78" t="s">
        <v>10</v>
      </c>
      <c r="AH32" s="78"/>
      <c r="AI32" s="79">
        <v>42177</v>
      </c>
      <c r="AJ32" s="79"/>
      <c r="AK32" s="78"/>
      <c r="AL32" s="78">
        <v>5</v>
      </c>
      <c r="AM32" s="78"/>
      <c r="AN32" s="78"/>
      <c r="AO32" s="78"/>
      <c r="AP32" s="10"/>
      <c r="AQ32" s="10"/>
    </row>
    <row r="33" spans="1:43" ht="13" x14ac:dyDescent="0.3">
      <c r="A33" s="98" t="s">
        <v>95</v>
      </c>
      <c r="B33" s="98"/>
      <c r="C33" s="98"/>
      <c r="D33" s="88"/>
      <c r="G33" s="101"/>
      <c r="H33" s="101"/>
      <c r="I33" s="90"/>
      <c r="T33" s="10">
        <v>1</v>
      </c>
      <c r="U33" s="10">
        <f>IF(AND(B6&gt;0,G6&gt;0),0,IF(AND(G6&gt;0),0,F6+K6))</f>
        <v>48</v>
      </c>
      <c r="V33" s="10">
        <f>IF(AND(G6&gt;0,L6&gt;0),0,IF(AND(L6&gt;0),0,K6+P6))</f>
        <v>48</v>
      </c>
      <c r="W33" s="78">
        <f>IF(AND(L6&gt;0,Q6&gt;0),0,IF(AND(Q6&gt;0),0,P6+U6))</f>
        <v>48</v>
      </c>
      <c r="X33" s="78">
        <f>IF(AND(Q6&gt;0,V6&gt;0),0,IF(AND(V6&gt;0),0,U6+Z6))</f>
        <v>48</v>
      </c>
      <c r="Y33" s="78">
        <f>IF(AND(V6&gt;0,AA6&gt;0),0,IF(AND(AA6&gt;0),0,Z6+AE6))</f>
        <v>48</v>
      </c>
      <c r="Z33" s="78">
        <f>IF(AND(AA6&gt;0,AF6&gt;0),0,IF(AND(AF6&gt;0),0,AE6+AJ6))</f>
        <v>48</v>
      </c>
      <c r="AA33" s="78"/>
      <c r="AB33" s="78"/>
      <c r="AC33" s="78"/>
      <c r="AD33" s="78"/>
      <c r="AE33" s="78"/>
      <c r="AF33" s="78"/>
      <c r="AG33" s="78" t="s">
        <v>11</v>
      </c>
      <c r="AH33" s="78"/>
      <c r="AI33" s="79">
        <v>42178</v>
      </c>
      <c r="AJ33" s="79"/>
      <c r="AK33" s="78"/>
      <c r="AL33" s="78">
        <v>6</v>
      </c>
      <c r="AM33" s="78"/>
      <c r="AN33" s="78"/>
      <c r="AO33" s="78"/>
      <c r="AP33" s="10"/>
      <c r="AQ33" s="10"/>
    </row>
    <row r="34" spans="1:43" x14ac:dyDescent="0.25">
      <c r="A34" s="101" t="s">
        <v>96</v>
      </c>
      <c r="B34" s="101"/>
      <c r="C34" s="3">
        <f>(AK6+AK7+AK8+AK9+AK10+AK11+AK12+AK13+AK14+AK15+AK16+AK17)/M1</f>
        <v>0</v>
      </c>
      <c r="T34" s="10">
        <v>2</v>
      </c>
      <c r="U34" s="10">
        <f t="shared" ref="U34:U40" si="17">IF(AND(B7&gt;0,G7&gt;0),0,IF(AND(G7&gt;0),0,F7+K7))</f>
        <v>48</v>
      </c>
      <c r="V34" s="10">
        <f t="shared" ref="V34:V40" si="18">IF(AND(G7&gt;0,L7&gt;0),0,IF(AND(L7&gt;0),0,K7+P7))</f>
        <v>48</v>
      </c>
      <c r="W34" s="78">
        <f t="shared" ref="W34:W44" si="19">IF(AND(L7&gt;0,Q7&gt;0),0,IF(AND(Q7&gt;0),0,P7+U7))</f>
        <v>48</v>
      </c>
      <c r="X34" s="78">
        <f t="shared" ref="X34:X44" si="20">IF(AND(Q7&gt;0,V7&gt;0),0,IF(AND(V7&gt;0),0,U7+Z7))</f>
        <v>48</v>
      </c>
      <c r="Y34" s="78">
        <f t="shared" ref="Y34:Y44" si="21">IF(AND(V7&gt;0,AA7&gt;0),0,IF(AND(AA7&gt;0),0,Z7+AE7))</f>
        <v>48</v>
      </c>
      <c r="Z34" s="78">
        <f t="shared" ref="Z34:Z44" si="22">IF(AND(AA7&gt;0,AF7&gt;0),0,IF(AND(AF7&gt;0),0,AE7+AJ7))</f>
        <v>48</v>
      </c>
      <c r="AA34" s="78"/>
      <c r="AB34" s="78"/>
      <c r="AC34" s="78"/>
      <c r="AD34" s="78"/>
      <c r="AE34" s="78"/>
      <c r="AF34" s="78"/>
      <c r="AG34" s="78" t="s">
        <v>12</v>
      </c>
      <c r="AH34" s="78"/>
      <c r="AI34" s="79">
        <v>42179</v>
      </c>
      <c r="AJ34" s="79"/>
      <c r="AK34" s="78"/>
      <c r="AL34" s="78">
        <v>7</v>
      </c>
      <c r="AM34" s="78"/>
      <c r="AN34" s="78"/>
      <c r="AO34" s="78"/>
      <c r="AP34" s="10"/>
      <c r="AQ34" s="10"/>
    </row>
    <row r="35" spans="1:43" x14ac:dyDescent="0.25">
      <c r="T35" s="10">
        <v>3</v>
      </c>
      <c r="U35" s="10">
        <f t="shared" si="17"/>
        <v>48</v>
      </c>
      <c r="V35" s="10">
        <f t="shared" si="18"/>
        <v>48</v>
      </c>
      <c r="W35" s="78">
        <f t="shared" si="19"/>
        <v>48</v>
      </c>
      <c r="X35" s="78">
        <f t="shared" si="20"/>
        <v>48</v>
      </c>
      <c r="Y35" s="78">
        <f t="shared" si="21"/>
        <v>48</v>
      </c>
      <c r="Z35" s="78">
        <f t="shared" si="22"/>
        <v>48</v>
      </c>
      <c r="AA35" s="78"/>
      <c r="AB35" s="78"/>
      <c r="AC35" s="78"/>
      <c r="AD35" s="78"/>
      <c r="AE35" s="78"/>
      <c r="AF35" s="78"/>
      <c r="AG35" s="78" t="s">
        <v>13</v>
      </c>
      <c r="AH35" s="78"/>
      <c r="AI35" s="79">
        <v>42180</v>
      </c>
      <c r="AJ35" s="79"/>
      <c r="AK35" s="78"/>
      <c r="AL35" s="78">
        <v>8</v>
      </c>
      <c r="AM35" s="78"/>
      <c r="AN35" s="78"/>
      <c r="AO35" s="78"/>
      <c r="AP35" s="78"/>
      <c r="AQ35" s="10"/>
    </row>
    <row r="36" spans="1:43" ht="13" x14ac:dyDescent="0.3">
      <c r="A36" s="98" t="s">
        <v>97</v>
      </c>
      <c r="B36" s="98"/>
      <c r="C36" s="98"/>
      <c r="D36" s="98"/>
      <c r="E36" s="98"/>
      <c r="F36" s="88"/>
      <c r="T36" s="10">
        <v>4</v>
      </c>
      <c r="U36" s="10">
        <f t="shared" si="17"/>
        <v>48</v>
      </c>
      <c r="V36" s="10">
        <f t="shared" si="18"/>
        <v>48</v>
      </c>
      <c r="W36" s="78">
        <f t="shared" si="19"/>
        <v>48</v>
      </c>
      <c r="X36" s="78">
        <f t="shared" si="20"/>
        <v>48</v>
      </c>
      <c r="Y36" s="78">
        <f t="shared" si="21"/>
        <v>48</v>
      </c>
      <c r="Z36" s="78">
        <f t="shared" si="22"/>
        <v>48</v>
      </c>
      <c r="AA36" s="78"/>
      <c r="AB36" s="78"/>
      <c r="AC36" s="78"/>
      <c r="AD36" s="78"/>
      <c r="AE36" s="78"/>
      <c r="AF36" s="78"/>
      <c r="AG36" s="78" t="s">
        <v>14</v>
      </c>
      <c r="AH36" s="78"/>
      <c r="AI36" s="79">
        <v>42181</v>
      </c>
      <c r="AJ36" s="79"/>
      <c r="AK36" s="78"/>
      <c r="AL36" s="3">
        <v>9</v>
      </c>
      <c r="AM36" s="78"/>
      <c r="AN36" s="78"/>
      <c r="AO36" s="78"/>
      <c r="AP36" s="78"/>
      <c r="AQ36" s="10"/>
    </row>
    <row r="37" spans="1:43" x14ac:dyDescent="0.25">
      <c r="A37" s="99" t="e">
        <f>C34/E3</f>
        <v>#DIV/0!</v>
      </c>
      <c r="B37" s="99"/>
      <c r="C37" s="99"/>
      <c r="T37" s="10">
        <v>5</v>
      </c>
      <c r="U37" s="10">
        <f t="shared" si="17"/>
        <v>48</v>
      </c>
      <c r="V37" s="10">
        <f t="shared" si="18"/>
        <v>48</v>
      </c>
      <c r="W37" s="78">
        <f t="shared" si="19"/>
        <v>48</v>
      </c>
      <c r="X37" s="78">
        <f t="shared" si="20"/>
        <v>48</v>
      </c>
      <c r="Y37" s="78">
        <f t="shared" si="21"/>
        <v>48</v>
      </c>
      <c r="Z37" s="78">
        <f t="shared" si="22"/>
        <v>48</v>
      </c>
      <c r="AA37" s="78"/>
      <c r="AB37" s="78"/>
      <c r="AC37" s="78"/>
      <c r="AD37" s="78"/>
      <c r="AE37" s="78"/>
      <c r="AF37" s="78"/>
      <c r="AG37" s="78" t="s">
        <v>15</v>
      </c>
      <c r="AH37" s="78"/>
      <c r="AI37" s="79">
        <v>42182</v>
      </c>
      <c r="AJ37" s="79"/>
      <c r="AK37" s="78"/>
      <c r="AL37" s="3">
        <v>10</v>
      </c>
      <c r="AM37" s="78"/>
      <c r="AN37" s="78"/>
      <c r="AO37" s="78"/>
      <c r="AP37" s="78"/>
      <c r="AQ37" s="10"/>
    </row>
    <row r="38" spans="1:43" x14ac:dyDescent="0.25">
      <c r="T38" s="10">
        <v>6</v>
      </c>
      <c r="U38" s="10">
        <f t="shared" si="17"/>
        <v>48</v>
      </c>
      <c r="V38" s="10">
        <f t="shared" si="18"/>
        <v>48</v>
      </c>
      <c r="W38" s="78">
        <f t="shared" si="19"/>
        <v>48</v>
      </c>
      <c r="X38" s="78">
        <f t="shared" si="20"/>
        <v>48</v>
      </c>
      <c r="Y38" s="78">
        <f t="shared" si="21"/>
        <v>48</v>
      </c>
      <c r="Z38" s="78">
        <f t="shared" si="22"/>
        <v>48</v>
      </c>
      <c r="AA38" s="78"/>
      <c r="AB38" s="78"/>
      <c r="AC38" s="78"/>
      <c r="AD38" s="78"/>
      <c r="AE38" s="78"/>
      <c r="AF38" s="78"/>
      <c r="AG38" s="78" t="s">
        <v>16</v>
      </c>
      <c r="AH38" s="78"/>
      <c r="AI38" s="79">
        <v>42183</v>
      </c>
      <c r="AJ38" s="79"/>
      <c r="AK38" s="78"/>
      <c r="AL38" s="3">
        <v>11</v>
      </c>
      <c r="AM38" s="78"/>
      <c r="AN38" s="78"/>
      <c r="AO38" s="78"/>
      <c r="AP38" s="78"/>
      <c r="AQ38" s="10"/>
    </row>
    <row r="39" spans="1:43" x14ac:dyDescent="0.25">
      <c r="T39" s="10">
        <v>7</v>
      </c>
      <c r="U39" s="10">
        <f t="shared" si="17"/>
        <v>48</v>
      </c>
      <c r="V39" s="10">
        <f t="shared" si="18"/>
        <v>48</v>
      </c>
      <c r="W39" s="78">
        <f t="shared" si="19"/>
        <v>48</v>
      </c>
      <c r="X39" s="78">
        <f t="shared" si="20"/>
        <v>48</v>
      </c>
      <c r="Y39" s="78">
        <f t="shared" si="21"/>
        <v>48</v>
      </c>
      <c r="Z39" s="78">
        <f t="shared" si="22"/>
        <v>48</v>
      </c>
      <c r="AA39" s="78"/>
      <c r="AB39" s="78"/>
      <c r="AC39" s="78"/>
      <c r="AD39" s="78"/>
      <c r="AE39" s="78"/>
      <c r="AF39" s="78"/>
      <c r="AG39" s="100">
        <f>IF(E1=AG32,AI32,IF(E1=AG33,AI33,IF(E1=AG34,AI34,IF(E1=AG35,AI35,IF(E1=AG36,AI36,IF(E1=AG37,AI37,IF(E1=AG38,AI38,AI32)))))))</f>
        <v>42177</v>
      </c>
      <c r="AH39" s="100"/>
      <c r="AI39" s="100"/>
      <c r="AJ39" s="100"/>
      <c r="AK39" s="100"/>
      <c r="AL39" s="3">
        <v>12</v>
      </c>
      <c r="AM39" s="78"/>
      <c r="AN39" s="78"/>
      <c r="AO39" s="78"/>
      <c r="AP39" s="78"/>
      <c r="AQ39" s="10"/>
    </row>
    <row r="40" spans="1:43" ht="13" x14ac:dyDescent="0.3">
      <c r="A40" s="4" t="s">
        <v>98</v>
      </c>
      <c r="T40" s="10">
        <v>8</v>
      </c>
      <c r="U40" s="10">
        <f t="shared" si="17"/>
        <v>48</v>
      </c>
      <c r="V40" s="10">
        <f t="shared" si="18"/>
        <v>48</v>
      </c>
      <c r="W40" s="78">
        <f t="shared" si="19"/>
        <v>48</v>
      </c>
      <c r="X40" s="78">
        <f t="shared" si="20"/>
        <v>48</v>
      </c>
      <c r="Y40" s="78">
        <f t="shared" si="21"/>
        <v>48</v>
      </c>
      <c r="Z40" s="78">
        <f t="shared" si="22"/>
        <v>48</v>
      </c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10"/>
    </row>
    <row r="41" spans="1:43" x14ac:dyDescent="0.25">
      <c r="A41" s="3" t="s">
        <v>99</v>
      </c>
      <c r="T41" s="10"/>
      <c r="U41" s="10"/>
      <c r="V41" s="10"/>
      <c r="W41" s="78">
        <f t="shared" si="19"/>
        <v>48</v>
      </c>
      <c r="X41" s="78">
        <f t="shared" si="20"/>
        <v>48</v>
      </c>
      <c r="Y41" s="78">
        <f t="shared" si="21"/>
        <v>48</v>
      </c>
      <c r="Z41" s="78">
        <f t="shared" si="22"/>
        <v>48</v>
      </c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10"/>
    </row>
    <row r="42" spans="1:43" ht="13" x14ac:dyDescent="0.3">
      <c r="A42" s="3" t="s">
        <v>100</v>
      </c>
      <c r="O42" s="81">
        <v>0.29166666666666669</v>
      </c>
      <c r="P42" s="81">
        <v>0.33333333333333331</v>
      </c>
      <c r="Q42" s="3">
        <f>(P42-O42)*24</f>
        <v>0.99999999999999911</v>
      </c>
      <c r="T42" s="10"/>
      <c r="U42" s="10"/>
      <c r="V42" s="10"/>
      <c r="W42" s="78">
        <f t="shared" si="19"/>
        <v>48</v>
      </c>
      <c r="X42" s="78">
        <f t="shared" si="20"/>
        <v>48</v>
      </c>
      <c r="Y42" s="78">
        <f t="shared" si="21"/>
        <v>48</v>
      </c>
      <c r="Z42" s="78">
        <f t="shared" si="22"/>
        <v>48</v>
      </c>
      <c r="AA42" s="78"/>
      <c r="AB42" s="78"/>
      <c r="AC42" s="78"/>
      <c r="AD42" s="78"/>
      <c r="AE42" s="78"/>
      <c r="AF42" s="78"/>
      <c r="AG42" s="80" t="s">
        <v>101</v>
      </c>
      <c r="AH42" s="80"/>
      <c r="AI42" s="78"/>
      <c r="AJ42" s="78"/>
      <c r="AK42" s="78"/>
      <c r="AL42" s="80" t="s">
        <v>102</v>
      </c>
      <c r="AM42" s="78"/>
      <c r="AN42" s="78"/>
      <c r="AO42" s="78"/>
      <c r="AP42" s="78"/>
      <c r="AQ42" s="10"/>
    </row>
    <row r="43" spans="1:43" x14ac:dyDescent="0.25">
      <c r="T43" s="10"/>
      <c r="U43" s="10"/>
      <c r="V43" s="10"/>
      <c r="W43" s="78">
        <f t="shared" si="19"/>
        <v>48</v>
      </c>
      <c r="X43" s="78">
        <f t="shared" si="20"/>
        <v>48</v>
      </c>
      <c r="Y43" s="78">
        <f t="shared" si="21"/>
        <v>48</v>
      </c>
      <c r="Z43" s="78">
        <f t="shared" si="22"/>
        <v>48</v>
      </c>
      <c r="AA43" s="78"/>
      <c r="AB43" s="78"/>
      <c r="AC43" s="78"/>
      <c r="AD43" s="78"/>
      <c r="AE43" s="78"/>
      <c r="AF43" s="78"/>
      <c r="AG43" s="78">
        <v>33.6</v>
      </c>
      <c r="AH43" s="78"/>
      <c r="AI43" s="78"/>
      <c r="AJ43" s="78"/>
      <c r="AK43" s="78"/>
      <c r="AL43" s="78" t="s">
        <v>103</v>
      </c>
      <c r="AM43" s="78"/>
      <c r="AN43" s="78"/>
      <c r="AO43" s="78"/>
      <c r="AP43" s="78"/>
      <c r="AQ43" s="10"/>
    </row>
    <row r="44" spans="1:43" x14ac:dyDescent="0.25">
      <c r="A44" s="3" t="s">
        <v>104</v>
      </c>
      <c r="T44" s="10"/>
      <c r="U44" s="10"/>
      <c r="V44" s="10"/>
      <c r="W44" s="78">
        <f t="shared" si="19"/>
        <v>48</v>
      </c>
      <c r="X44" s="78">
        <f t="shared" si="20"/>
        <v>48</v>
      </c>
      <c r="Y44" s="78">
        <f t="shared" si="21"/>
        <v>48</v>
      </c>
      <c r="Z44" s="78">
        <f t="shared" si="22"/>
        <v>48</v>
      </c>
      <c r="AA44" s="78"/>
      <c r="AB44" s="78"/>
      <c r="AC44" s="78"/>
      <c r="AD44" s="78"/>
      <c r="AE44" s="78"/>
      <c r="AF44" s="78"/>
      <c r="AG44" s="78">
        <v>35.5</v>
      </c>
      <c r="AH44" s="78"/>
      <c r="AI44" s="78"/>
      <c r="AJ44" s="78"/>
      <c r="AK44" s="78"/>
      <c r="AL44" s="78" t="s">
        <v>105</v>
      </c>
      <c r="AM44" s="78"/>
      <c r="AN44" s="78"/>
      <c r="AO44" s="78"/>
      <c r="AP44" s="78"/>
      <c r="AQ44" s="10"/>
    </row>
    <row r="45" spans="1:43" x14ac:dyDescent="0.25">
      <c r="A45" s="1">
        <v>11</v>
      </c>
      <c r="B45" s="5">
        <f>COUNTIF($F$6:$F$13,"&lt;" &amp; A45)+COUNTIF($K$6:$K$13,"&lt;" &amp; A45)+COUNTIF($P$6:$P$13,"&lt;" &amp; A45)+COUNTIF($U$6:$U$13,"&lt;" &amp; A45)+COUNTIF($Z$6:$Z$13,"&lt;" &amp; A45)+COUNTIF($AE$6:$AE$13,"&lt;" &amp; A45)+COUNTIF($AJ$6:$AJ$13,"&lt;" &amp; A45)</f>
        <v>0</v>
      </c>
      <c r="T45" s="10"/>
      <c r="U45" s="10"/>
      <c r="V45" s="10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>
        <v>37.5</v>
      </c>
      <c r="AH45" s="78"/>
      <c r="AI45" s="78"/>
      <c r="AJ45" s="78"/>
      <c r="AK45" s="78"/>
      <c r="AL45" s="78"/>
      <c r="AM45" s="78"/>
      <c r="AN45" s="78"/>
      <c r="AO45" s="78"/>
      <c r="AP45" s="78"/>
      <c r="AQ45" s="10"/>
    </row>
    <row r="46" spans="1:43" x14ac:dyDescent="0.25">
      <c r="T46" s="10"/>
      <c r="U46" s="10"/>
      <c r="V46" s="10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78"/>
      <c r="AQ46" s="10"/>
    </row>
    <row r="47" spans="1:43" x14ac:dyDescent="0.25">
      <c r="T47" s="10"/>
      <c r="U47" s="10"/>
      <c r="V47" s="10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10"/>
    </row>
    <row r="48" spans="1:43" x14ac:dyDescent="0.25">
      <c r="T48" s="10"/>
      <c r="U48" s="10"/>
      <c r="V48" s="10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78"/>
      <c r="AO48" s="78"/>
      <c r="AP48" s="78"/>
      <c r="AQ48" s="10"/>
    </row>
    <row r="49" spans="1:43" ht="13" x14ac:dyDescent="0.3">
      <c r="A49" s="4" t="s">
        <v>106</v>
      </c>
      <c r="T49" s="10"/>
      <c r="U49" s="10"/>
      <c r="V49" s="10"/>
      <c r="W49" s="78"/>
      <c r="X49" s="78"/>
      <c r="Y49" s="78"/>
      <c r="Z49" s="78"/>
      <c r="AA49" s="78"/>
      <c r="AB49" s="80" t="s">
        <v>107</v>
      </c>
      <c r="AC49" s="80"/>
      <c r="AD49" s="78"/>
      <c r="AE49" s="78"/>
      <c r="AF49" s="78"/>
      <c r="AG49" s="78"/>
      <c r="AH49" s="78"/>
      <c r="AI49" s="78"/>
      <c r="AJ49" s="78"/>
      <c r="AK49" s="78"/>
      <c r="AL49" s="78"/>
      <c r="AM49" s="78"/>
      <c r="AN49" s="78"/>
      <c r="AO49" s="78"/>
      <c r="AP49" s="78"/>
      <c r="AQ49" s="10"/>
    </row>
    <row r="50" spans="1:43" x14ac:dyDescent="0.25">
      <c r="A50" s="3" t="s">
        <v>108</v>
      </c>
      <c r="T50" s="10"/>
      <c r="U50" s="10"/>
      <c r="V50" s="10"/>
      <c r="W50" s="78"/>
      <c r="X50" s="78"/>
      <c r="Y50" s="78"/>
      <c r="Z50" s="78"/>
      <c r="AA50" s="78"/>
      <c r="AB50" s="78" t="s">
        <v>109</v>
      </c>
      <c r="AC50" s="78"/>
      <c r="AD50" s="78"/>
      <c r="AE50" s="78"/>
      <c r="AF50" s="78"/>
      <c r="AG50" s="78"/>
      <c r="AH50" s="78"/>
      <c r="AI50" s="78"/>
      <c r="AJ50" s="78"/>
      <c r="AK50" s="78"/>
      <c r="AL50" s="78"/>
      <c r="AM50" s="78"/>
      <c r="AN50" s="78"/>
      <c r="AO50" s="78"/>
      <c r="AP50" s="78"/>
      <c r="AQ50" s="10"/>
    </row>
    <row r="51" spans="1:43" ht="13" x14ac:dyDescent="0.3">
      <c r="A51" s="4" t="s">
        <v>110</v>
      </c>
      <c r="T51" s="10"/>
      <c r="U51" s="10"/>
      <c r="V51" s="10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  <c r="AN51" s="78"/>
      <c r="AO51" s="78"/>
      <c r="AP51" s="78"/>
      <c r="AQ51" s="10"/>
    </row>
    <row r="52" spans="1:43" x14ac:dyDescent="0.25">
      <c r="A52" s="3" t="s">
        <v>111</v>
      </c>
      <c r="T52" s="10"/>
      <c r="U52" s="10"/>
      <c r="V52" s="10"/>
      <c r="W52" s="78"/>
      <c r="X52" s="78"/>
      <c r="Y52" s="78"/>
      <c r="Z52" s="78"/>
      <c r="AA52" s="78"/>
      <c r="AB52" s="78" t="s">
        <v>112</v>
      </c>
      <c r="AC52" s="78"/>
      <c r="AD52" s="78"/>
      <c r="AE52" s="78"/>
      <c r="AF52" s="78"/>
      <c r="AG52" s="78"/>
      <c r="AH52" s="78"/>
      <c r="AI52" s="78"/>
      <c r="AJ52" s="78"/>
      <c r="AK52" s="78"/>
      <c r="AL52" s="78"/>
      <c r="AM52" s="78"/>
      <c r="AN52" s="78"/>
      <c r="AO52" s="78"/>
      <c r="AP52" s="78"/>
      <c r="AQ52" s="10"/>
    </row>
    <row r="53" spans="1:43" x14ac:dyDescent="0.25">
      <c r="A53" s="3" t="s">
        <v>113</v>
      </c>
      <c r="T53" s="10"/>
      <c r="U53" s="10"/>
      <c r="V53" s="10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78"/>
      <c r="AO53" s="78"/>
      <c r="AP53" s="78"/>
      <c r="AQ53" s="10"/>
    </row>
    <row r="54" spans="1:43" x14ac:dyDescent="0.25">
      <c r="A54" s="3" t="s">
        <v>114</v>
      </c>
      <c r="T54" s="10"/>
      <c r="U54" s="10"/>
      <c r="V54" s="10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78"/>
      <c r="AL54" s="78"/>
      <c r="AM54" s="78"/>
      <c r="AN54" s="78"/>
      <c r="AO54" s="78"/>
      <c r="AP54" s="78"/>
      <c r="AQ54" s="10"/>
    </row>
    <row r="55" spans="1:43" x14ac:dyDescent="0.25">
      <c r="T55" s="10"/>
      <c r="U55" s="10"/>
      <c r="V55" s="10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10"/>
    </row>
    <row r="56" spans="1:43" ht="13" x14ac:dyDescent="0.3">
      <c r="A56" s="4" t="s">
        <v>115</v>
      </c>
      <c r="T56" s="10"/>
      <c r="U56" s="10"/>
      <c r="V56" s="10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78"/>
      <c r="AO56" s="78"/>
      <c r="AP56" s="78"/>
      <c r="AQ56" s="10"/>
    </row>
    <row r="57" spans="1:43" x14ac:dyDescent="0.25">
      <c r="A57" s="3" t="s">
        <v>116</v>
      </c>
      <c r="T57" s="10"/>
      <c r="U57" s="10"/>
      <c r="V57" s="10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/>
      <c r="AO57" s="78"/>
      <c r="AP57" s="78"/>
      <c r="AQ57" s="10"/>
    </row>
    <row r="58" spans="1:43" ht="13" x14ac:dyDescent="0.3">
      <c r="A58" s="4" t="s">
        <v>110</v>
      </c>
      <c r="T58" s="10"/>
      <c r="U58" s="10"/>
      <c r="V58" s="10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 t="s">
        <v>117</v>
      </c>
      <c r="AH58" s="78"/>
      <c r="AI58" s="78"/>
      <c r="AJ58" s="78"/>
      <c r="AK58" s="78"/>
      <c r="AL58" s="78"/>
      <c r="AM58" s="78"/>
      <c r="AN58" s="78"/>
      <c r="AO58" s="78"/>
      <c r="AP58" s="78"/>
      <c r="AQ58" s="10"/>
    </row>
    <row r="59" spans="1:43" x14ac:dyDescent="0.25">
      <c r="A59" s="3" t="s">
        <v>111</v>
      </c>
      <c r="T59" s="10"/>
      <c r="U59" s="10"/>
      <c r="V59" s="10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>
        <v>0</v>
      </c>
      <c r="AH59" s="78">
        <v>1</v>
      </c>
      <c r="AI59" s="78">
        <v>2</v>
      </c>
      <c r="AJ59" s="78">
        <v>3</v>
      </c>
      <c r="AK59" s="78">
        <v>4</v>
      </c>
      <c r="AL59" s="78">
        <v>5</v>
      </c>
      <c r="AM59" s="78">
        <v>6</v>
      </c>
      <c r="AN59" s="78"/>
      <c r="AO59" s="78"/>
      <c r="AP59" s="78"/>
      <c r="AQ59" s="10"/>
    </row>
    <row r="60" spans="1:43" x14ac:dyDescent="0.25">
      <c r="A60" s="3" t="s">
        <v>113</v>
      </c>
      <c r="T60" s="10"/>
      <c r="U60" s="10"/>
      <c r="V60" s="10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>
        <v>7</v>
      </c>
      <c r="AH60" s="78">
        <v>8</v>
      </c>
      <c r="AI60" s="78">
        <v>9</v>
      </c>
      <c r="AJ60" s="78">
        <v>10</v>
      </c>
      <c r="AK60" s="78">
        <v>11</v>
      </c>
      <c r="AL60" s="78">
        <v>12</v>
      </c>
      <c r="AM60" s="78">
        <v>13</v>
      </c>
      <c r="AN60" s="78"/>
      <c r="AO60" s="78"/>
      <c r="AP60" s="78"/>
      <c r="AQ60" s="10"/>
    </row>
    <row r="61" spans="1:43" x14ac:dyDescent="0.25">
      <c r="T61" s="10"/>
      <c r="U61" s="10"/>
      <c r="V61" s="10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>
        <v>14</v>
      </c>
      <c r="AH61" s="78">
        <v>15</v>
      </c>
      <c r="AI61" s="78">
        <v>16</v>
      </c>
      <c r="AJ61" s="78">
        <v>17</v>
      </c>
      <c r="AK61" s="78">
        <v>18</v>
      </c>
      <c r="AL61" s="78">
        <v>19</v>
      </c>
      <c r="AM61" s="78">
        <v>20</v>
      </c>
      <c r="AN61" s="78"/>
      <c r="AO61" s="78"/>
      <c r="AP61" s="78"/>
      <c r="AQ61" s="10"/>
    </row>
    <row r="62" spans="1:43" ht="13" x14ac:dyDescent="0.3">
      <c r="A62" s="4" t="s">
        <v>118</v>
      </c>
      <c r="T62" s="10"/>
      <c r="U62" s="10"/>
      <c r="V62" s="10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>
        <v>21</v>
      </c>
      <c r="AH62" s="78">
        <v>22</v>
      </c>
      <c r="AI62" s="78">
        <v>23</v>
      </c>
      <c r="AJ62" s="78">
        <v>24</v>
      </c>
      <c r="AK62" s="78">
        <v>25</v>
      </c>
      <c r="AL62" s="78">
        <v>26</v>
      </c>
      <c r="AM62" s="78">
        <v>27</v>
      </c>
      <c r="AN62" s="78"/>
      <c r="AO62" s="78"/>
      <c r="AP62" s="78"/>
      <c r="AQ62" s="10"/>
    </row>
    <row r="63" spans="1:43" x14ac:dyDescent="0.25">
      <c r="A63" s="3" t="s">
        <v>119</v>
      </c>
      <c r="T63" s="10"/>
      <c r="U63" s="10"/>
      <c r="V63" s="10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>
        <v>28</v>
      </c>
      <c r="AH63" s="78">
        <v>29</v>
      </c>
      <c r="AI63" s="78">
        <v>30</v>
      </c>
      <c r="AJ63" s="78">
        <v>31</v>
      </c>
      <c r="AK63" s="78">
        <v>32</v>
      </c>
      <c r="AL63" s="78">
        <v>33</v>
      </c>
      <c r="AM63" s="78">
        <v>34</v>
      </c>
      <c r="AN63" s="78"/>
      <c r="AO63" s="78"/>
      <c r="AP63" s="78"/>
      <c r="AQ63" s="10"/>
    </row>
    <row r="64" spans="1:43" x14ac:dyDescent="0.25">
      <c r="A64" s="3" t="s">
        <v>120</v>
      </c>
      <c r="T64" s="10"/>
      <c r="U64" s="10"/>
      <c r="V64" s="10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>
        <v>35</v>
      </c>
      <c r="AH64" s="78">
        <v>36</v>
      </c>
      <c r="AI64" s="78">
        <v>37</v>
      </c>
      <c r="AJ64" s="78">
        <v>38</v>
      </c>
      <c r="AK64" s="78">
        <v>39</v>
      </c>
      <c r="AL64" s="78">
        <v>40</v>
      </c>
      <c r="AM64" s="78">
        <v>41</v>
      </c>
      <c r="AN64" s="78"/>
      <c r="AO64" s="78"/>
      <c r="AP64" s="78"/>
      <c r="AQ64" s="10"/>
    </row>
    <row r="65" spans="1:43" x14ac:dyDescent="0.25">
      <c r="T65" s="10"/>
      <c r="U65" s="10"/>
      <c r="V65" s="10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>
        <v>42</v>
      </c>
      <c r="AH65" s="78">
        <v>43</v>
      </c>
      <c r="AI65" s="78">
        <v>44</v>
      </c>
      <c r="AJ65" s="78">
        <v>45</v>
      </c>
      <c r="AK65" s="78">
        <v>46</v>
      </c>
      <c r="AL65" s="78">
        <v>47</v>
      </c>
      <c r="AM65" s="78">
        <v>48</v>
      </c>
      <c r="AN65" s="78"/>
      <c r="AO65" s="78"/>
      <c r="AP65" s="78"/>
      <c r="AQ65" s="10"/>
    </row>
    <row r="66" spans="1:43" ht="13" x14ac:dyDescent="0.3">
      <c r="A66" s="3" t="s">
        <v>121</v>
      </c>
      <c r="B66" s="4"/>
      <c r="T66" s="10"/>
      <c r="U66" s="10"/>
      <c r="V66" s="10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>
        <v>49</v>
      </c>
      <c r="AH66" s="78">
        <v>50</v>
      </c>
      <c r="AI66" s="78">
        <v>51</v>
      </c>
      <c r="AJ66" s="78">
        <v>52</v>
      </c>
      <c r="AK66" s="78">
        <v>53</v>
      </c>
      <c r="AL66" s="78">
        <v>54</v>
      </c>
      <c r="AM66" s="78">
        <v>55</v>
      </c>
      <c r="AN66" s="78"/>
      <c r="AO66" s="78"/>
      <c r="AP66" s="78"/>
      <c r="AQ66" s="10"/>
    </row>
    <row r="67" spans="1:43" ht="13" x14ac:dyDescent="0.3">
      <c r="A67" s="1">
        <v>9</v>
      </c>
      <c r="B67" s="5">
        <f>COUNTIF($E$6:$E$13,"&gt;" &amp; A67)+COUNTIF($J$6:$J$13,"&gt;" &amp; A67)+COUNTIF($O$6:$O$13,"&gt;" &amp; A67)+COUNTIF($T$6:$T$13,"&gt;" &amp; A67)+COUNTIF($Y$6:$Y$13,"&gt;" &amp; A67)+COUNTIF($AD$6:$AD$13,"&gt;" &amp; A67)+COUNTIF($AI$6:$AI$13,"&gt;" &amp; A67)</f>
        <v>0</v>
      </c>
      <c r="C67" s="3" t="s">
        <v>122</v>
      </c>
      <c r="E67" s="3" t="s">
        <v>123</v>
      </c>
      <c r="H67" s="1" t="s">
        <v>124</v>
      </c>
      <c r="L67" s="3" t="s">
        <v>125</v>
      </c>
      <c r="T67" s="10"/>
      <c r="U67" s="10"/>
      <c r="V67" s="10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>
        <v>56</v>
      </c>
      <c r="AH67" s="78">
        <v>57</v>
      </c>
      <c r="AI67" s="78">
        <v>58</v>
      </c>
      <c r="AJ67" s="78">
        <v>59</v>
      </c>
      <c r="AK67" s="78">
        <v>60</v>
      </c>
      <c r="AL67" s="78">
        <v>61</v>
      </c>
      <c r="AM67" s="78">
        <v>62</v>
      </c>
      <c r="AN67" s="78"/>
      <c r="AO67" s="78"/>
      <c r="AP67" s="78"/>
      <c r="AQ67" s="10"/>
    </row>
    <row r="68" spans="1:43" x14ac:dyDescent="0.25">
      <c r="T68" s="10"/>
      <c r="U68" s="10"/>
      <c r="V68" s="10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>
        <v>63</v>
      </c>
      <c r="AH68" s="78">
        <v>64</v>
      </c>
      <c r="AI68" s="78">
        <v>65</v>
      </c>
      <c r="AJ68" s="78">
        <v>66</v>
      </c>
      <c r="AK68" s="78">
        <v>67</v>
      </c>
      <c r="AL68" s="78">
        <v>68</v>
      </c>
      <c r="AM68" s="78">
        <v>69</v>
      </c>
      <c r="AN68" s="78"/>
      <c r="AO68" s="78"/>
      <c r="AP68" s="78"/>
      <c r="AQ68" s="10"/>
    </row>
    <row r="69" spans="1:43" x14ac:dyDescent="0.25">
      <c r="A69" s="3" t="s">
        <v>126</v>
      </c>
      <c r="T69" s="10"/>
      <c r="U69" s="10"/>
      <c r="V69" s="10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>
        <v>70</v>
      </c>
      <c r="AH69" s="78">
        <v>71</v>
      </c>
      <c r="AI69" s="78">
        <v>72</v>
      </c>
      <c r="AJ69" s="78">
        <v>73</v>
      </c>
      <c r="AK69" s="78">
        <v>74</v>
      </c>
      <c r="AL69" s="78">
        <v>75</v>
      </c>
      <c r="AM69" s="78">
        <v>76</v>
      </c>
      <c r="AN69" s="78"/>
      <c r="AO69" s="78"/>
      <c r="AP69" s="78"/>
      <c r="AQ69" s="10"/>
    </row>
    <row r="70" spans="1:43" x14ac:dyDescent="0.25">
      <c r="A70" s="1">
        <v>20</v>
      </c>
      <c r="B70" s="5">
        <f>COUNTIF($AK$6:$AK$13,"&gt;" &amp; A70)</f>
        <v>0</v>
      </c>
      <c r="C70" s="3" t="s">
        <v>127</v>
      </c>
      <c r="E70" s="3" t="s">
        <v>128</v>
      </c>
      <c r="H70" s="1" t="s">
        <v>124</v>
      </c>
      <c r="T70" s="10"/>
      <c r="U70" s="10"/>
      <c r="V70" s="10"/>
      <c r="W70" s="78"/>
      <c r="X70" s="78"/>
      <c r="Y70" s="78"/>
      <c r="Z70" s="78"/>
      <c r="AA70" s="78"/>
      <c r="AB70" s="78"/>
      <c r="AC70" s="78"/>
      <c r="AD70" s="78"/>
      <c r="AE70" s="78"/>
      <c r="AF70" s="78"/>
      <c r="AG70" s="78">
        <v>77</v>
      </c>
      <c r="AH70" s="78">
        <v>78</v>
      </c>
      <c r="AI70" s="78">
        <v>79</v>
      </c>
      <c r="AJ70" s="78">
        <v>80</v>
      </c>
      <c r="AK70" s="78">
        <v>81</v>
      </c>
      <c r="AL70" s="78">
        <v>82</v>
      </c>
      <c r="AM70" s="78">
        <v>83</v>
      </c>
      <c r="AN70" s="78"/>
      <c r="AO70" s="78"/>
      <c r="AP70" s="78"/>
      <c r="AQ70" s="10"/>
    </row>
    <row r="71" spans="1:43" x14ac:dyDescent="0.25">
      <c r="W71" s="78"/>
      <c r="X71" s="78"/>
      <c r="Y71" s="78"/>
      <c r="Z71" s="78"/>
      <c r="AA71" s="78"/>
      <c r="AB71" s="78"/>
      <c r="AC71" s="78"/>
      <c r="AD71" s="78"/>
      <c r="AE71" s="78"/>
      <c r="AF71" s="78"/>
      <c r="AG71" s="78">
        <v>84</v>
      </c>
      <c r="AH71" s="78">
        <v>85</v>
      </c>
      <c r="AI71" s="78">
        <v>86</v>
      </c>
      <c r="AJ71" s="78">
        <v>87</v>
      </c>
      <c r="AK71" s="78">
        <v>88</v>
      </c>
      <c r="AL71" s="78">
        <v>89</v>
      </c>
      <c r="AM71" s="78">
        <v>90</v>
      </c>
      <c r="AN71" s="78"/>
      <c r="AO71" s="78"/>
      <c r="AP71" s="78"/>
    </row>
    <row r="72" spans="1:43" x14ac:dyDescent="0.25"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  <c r="AL72" s="78"/>
      <c r="AM72" s="78"/>
      <c r="AN72" s="78"/>
      <c r="AO72" s="78"/>
      <c r="AP72" s="78"/>
    </row>
    <row r="73" spans="1:43" x14ac:dyDescent="0.25">
      <c r="W73" s="78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8"/>
      <c r="AK73" s="78"/>
      <c r="AL73" s="78"/>
      <c r="AM73" s="78"/>
      <c r="AN73" s="78"/>
      <c r="AO73" s="78"/>
      <c r="AP73" s="78"/>
    </row>
    <row r="74" spans="1:43" x14ac:dyDescent="0.25"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78"/>
      <c r="AO74" s="78"/>
      <c r="AP74" s="78"/>
    </row>
    <row r="75" spans="1:43" x14ac:dyDescent="0.25"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  <c r="AK75" s="78"/>
      <c r="AL75" s="78"/>
      <c r="AM75" s="78"/>
      <c r="AN75" s="78"/>
      <c r="AO75" s="78"/>
      <c r="AP75" s="78"/>
    </row>
    <row r="76" spans="1:43" x14ac:dyDescent="0.25">
      <c r="W76" s="78"/>
      <c r="X76" s="78"/>
      <c r="Y76" s="78"/>
      <c r="Z76" s="78"/>
      <c r="AA76" s="78"/>
      <c r="AB76" s="78"/>
      <c r="AC76" s="78"/>
      <c r="AD76" s="78"/>
      <c r="AE76" s="78"/>
      <c r="AF76" s="78"/>
      <c r="AG76" s="78"/>
      <c r="AH76" s="78"/>
      <c r="AI76" s="78"/>
      <c r="AJ76" s="78"/>
      <c r="AK76" s="78"/>
      <c r="AL76" s="78"/>
      <c r="AM76" s="78"/>
      <c r="AN76" s="78"/>
      <c r="AO76" s="78"/>
      <c r="AP76" s="78"/>
    </row>
    <row r="77" spans="1:43" x14ac:dyDescent="0.25"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78"/>
      <c r="AK77" s="78"/>
      <c r="AL77" s="78"/>
      <c r="AM77" s="78"/>
      <c r="AN77" s="78"/>
      <c r="AO77" s="78"/>
      <c r="AP77" s="78"/>
    </row>
    <row r="78" spans="1:43" x14ac:dyDescent="0.25">
      <c r="W78" s="78"/>
      <c r="X78" s="78"/>
      <c r="Y78" s="78"/>
      <c r="Z78" s="78"/>
      <c r="AA78" s="78"/>
      <c r="AB78" s="78"/>
      <c r="AC78" s="78"/>
      <c r="AD78" s="78"/>
      <c r="AE78" s="78"/>
      <c r="AF78" s="78"/>
      <c r="AG78" s="78"/>
      <c r="AH78" s="78"/>
      <c r="AI78" s="78"/>
      <c r="AJ78" s="78"/>
      <c r="AK78" s="78"/>
      <c r="AL78" s="78"/>
      <c r="AM78" s="78"/>
      <c r="AN78" s="78"/>
      <c r="AO78" s="78"/>
      <c r="AP78" s="78"/>
    </row>
    <row r="79" spans="1:43" x14ac:dyDescent="0.25">
      <c r="W79" s="78"/>
      <c r="X79" s="78"/>
      <c r="Y79" s="78"/>
      <c r="Z79" s="78"/>
      <c r="AA79" s="78"/>
      <c r="AB79" s="78"/>
      <c r="AC79" s="78"/>
      <c r="AD79" s="78"/>
      <c r="AE79" s="78"/>
      <c r="AF79" s="78"/>
      <c r="AG79" s="78"/>
      <c r="AH79" s="78"/>
      <c r="AI79" s="78"/>
      <c r="AJ79" s="78"/>
      <c r="AK79" s="78"/>
      <c r="AL79" s="78"/>
      <c r="AM79" s="78"/>
      <c r="AN79" s="78"/>
      <c r="AO79" s="78"/>
      <c r="AP79" s="78"/>
    </row>
    <row r="80" spans="1:43" x14ac:dyDescent="0.25">
      <c r="W80" s="78"/>
      <c r="X80" s="78"/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  <c r="AJ80" s="78"/>
      <c r="AK80" s="78"/>
      <c r="AL80" s="78"/>
      <c r="AM80" s="78"/>
      <c r="AN80" s="78"/>
      <c r="AO80" s="78"/>
      <c r="AP80" s="78"/>
    </row>
    <row r="81" spans="1:42" x14ac:dyDescent="0.25"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  <c r="AJ81" s="78"/>
      <c r="AK81" s="78"/>
      <c r="AL81" s="78"/>
      <c r="AM81" s="78"/>
      <c r="AN81" s="78"/>
      <c r="AO81" s="78"/>
      <c r="AP81" s="78"/>
    </row>
    <row r="82" spans="1:42" x14ac:dyDescent="0.25"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8"/>
      <c r="AH82" s="78"/>
      <c r="AI82" s="78"/>
      <c r="AJ82" s="78"/>
      <c r="AK82" s="78"/>
      <c r="AL82" s="78"/>
      <c r="AM82" s="78"/>
      <c r="AN82" s="78"/>
      <c r="AO82" s="78"/>
      <c r="AP82" s="78"/>
    </row>
    <row r="83" spans="1:42" x14ac:dyDescent="0.25"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</row>
    <row r="84" spans="1:42" x14ac:dyDescent="0.25"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</row>
    <row r="85" spans="1:42" x14ac:dyDescent="0.25"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</row>
    <row r="86" spans="1:42" x14ac:dyDescent="0.25"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8"/>
      <c r="AO86" s="78"/>
      <c r="AP86" s="78"/>
    </row>
    <row r="87" spans="1:42" x14ac:dyDescent="0.25"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  <c r="AN87" s="78"/>
      <c r="AO87" s="78"/>
      <c r="AP87" s="78"/>
    </row>
    <row r="95" spans="1:42" ht="13" x14ac:dyDescent="0.3">
      <c r="A95" s="4"/>
    </row>
  </sheetData>
  <sheetProtection algorithmName="SHA-512" hashValue="UkRdE9WcbRdAuWXBtCvH5SIyndXTe2Bl2Me5sAqWq7rzBKmPHGJsynBIeo7C6YdpvFbg+LNv733Txuc0kYsjzw==" saltValue="krhKfA6jQ74oYeXmH1WnZg==" spinCount="100000" sheet="1" objects="1" scenarios="1"/>
  <mergeCells count="27">
    <mergeCell ref="A1:C1"/>
    <mergeCell ref="H1:L1"/>
    <mergeCell ref="A2:C2"/>
    <mergeCell ref="A3:C3"/>
    <mergeCell ref="B4:F4"/>
    <mergeCell ref="G4:J4"/>
    <mergeCell ref="L4:O4"/>
    <mergeCell ref="I2:J2"/>
    <mergeCell ref="Q4:T4"/>
    <mergeCell ref="V4:Y4"/>
    <mergeCell ref="AA4:AD4"/>
    <mergeCell ref="AF4:AI4"/>
    <mergeCell ref="AG39:AK39"/>
    <mergeCell ref="A28:C28"/>
    <mergeCell ref="A29:C29"/>
    <mergeCell ref="A30:C30"/>
    <mergeCell ref="D32:E32"/>
    <mergeCell ref="H32:I32"/>
    <mergeCell ref="A37:C37"/>
    <mergeCell ref="D31:E31"/>
    <mergeCell ref="H31:I31"/>
    <mergeCell ref="A36:E36"/>
    <mergeCell ref="N32:O32"/>
    <mergeCell ref="A33:C33"/>
    <mergeCell ref="G33:H33"/>
    <mergeCell ref="A34:B34"/>
    <mergeCell ref="N31:O31"/>
  </mergeCells>
  <conditionalFormatting sqref="A6:A17">
    <cfRule type="cellIs" dxfId="892" priority="373" operator="equal">
      <formula>0</formula>
    </cfRule>
  </conditionalFormatting>
  <conditionalFormatting sqref="A37">
    <cfRule type="cellIs" dxfId="891" priority="253" operator="notEqual">
      <formula>$E$2</formula>
    </cfRule>
    <cfRule type="cellIs" dxfId="890" priority="254" operator="equal">
      <formula>$E$2</formula>
    </cfRule>
  </conditionalFormatting>
  <conditionalFormatting sqref="A32:D32 F32:H32 C34">
    <cfRule type="cellIs" dxfId="889" priority="251" operator="notEqual">
      <formula>$E$3</formula>
    </cfRule>
    <cfRule type="cellIs" dxfId="888" priority="252" operator="equal">
      <formula>$E$3</formula>
    </cfRule>
  </conditionalFormatting>
  <conditionalFormatting sqref="B6:D17">
    <cfRule type="expression" dxfId="887" priority="112">
      <formula>$A6=0</formula>
    </cfRule>
  </conditionalFormatting>
  <conditionalFormatting sqref="E6:E17">
    <cfRule type="expression" dxfId="886" priority="116">
      <formula>AND($H$67="ja",E6&gt;$A$67)</formula>
    </cfRule>
    <cfRule type="cellIs" dxfId="885" priority="117" operator="greaterThanOrEqual">
      <formula>0</formula>
    </cfRule>
  </conditionalFormatting>
  <conditionalFormatting sqref="F6:F17">
    <cfRule type="cellIs" dxfId="884" priority="31" operator="lessThan">
      <formula>$A$45</formula>
    </cfRule>
    <cfRule type="cellIs" dxfId="883" priority="32" operator="equal">
      <formula>0</formula>
    </cfRule>
    <cfRule type="cellIs" dxfId="882" priority="33" operator="notEqual">
      <formula>0</formula>
    </cfRule>
  </conditionalFormatting>
  <conditionalFormatting sqref="G6:I17">
    <cfRule type="expression" dxfId="881" priority="52">
      <formula>$A6=0</formula>
    </cfRule>
  </conditionalFormatting>
  <conditionalFormatting sqref="J6:J17">
    <cfRule type="expression" dxfId="880" priority="104">
      <formula>AND($H$67="ja",J6&gt;$A$67)</formula>
    </cfRule>
    <cfRule type="cellIs" dxfId="879" priority="105" operator="greaterThanOrEqual">
      <formula>0</formula>
    </cfRule>
  </conditionalFormatting>
  <conditionalFormatting sqref="J32:N32">
    <cfRule type="cellIs" dxfId="878" priority="249" operator="notEqual">
      <formula>$E$3</formula>
    </cfRule>
    <cfRule type="cellIs" dxfId="877" priority="250" operator="equal">
      <formula>$E$3</formula>
    </cfRule>
  </conditionalFormatting>
  <conditionalFormatting sqref="K6:K17">
    <cfRule type="cellIs" dxfId="876" priority="28" operator="lessThan">
      <formula>$A$45</formula>
    </cfRule>
    <cfRule type="cellIs" dxfId="875" priority="29" operator="equal">
      <formula>0</formula>
    </cfRule>
    <cfRule type="cellIs" dxfId="874" priority="30" operator="notEqual">
      <formula>0</formula>
    </cfRule>
  </conditionalFormatting>
  <conditionalFormatting sqref="L6:N17">
    <cfRule type="expression" dxfId="873" priority="48">
      <formula>$A6=0</formula>
    </cfRule>
  </conditionalFormatting>
  <conditionalFormatting sqref="O6:O17">
    <cfRule type="cellIs" dxfId="872" priority="97" operator="greaterThanOrEqual">
      <formula>0</formula>
    </cfRule>
    <cfRule type="expression" dxfId="871" priority="96">
      <formula>AND($H$67="ja",O6&gt;$A$67)</formula>
    </cfRule>
  </conditionalFormatting>
  <conditionalFormatting sqref="P6:P17">
    <cfRule type="cellIs" dxfId="870" priority="22" operator="lessThan">
      <formula>$A$45</formula>
    </cfRule>
    <cfRule type="cellIs" dxfId="869" priority="23" operator="equal">
      <formula>0</formula>
    </cfRule>
    <cfRule type="cellIs" dxfId="868" priority="24" operator="notEqual">
      <formula>0</formula>
    </cfRule>
  </conditionalFormatting>
  <conditionalFormatting sqref="Q6:S17">
    <cfRule type="expression" dxfId="867" priority="47">
      <formula>$A6=0</formula>
    </cfRule>
  </conditionalFormatting>
  <conditionalFormatting sqref="T6:T17">
    <cfRule type="cellIs" dxfId="866" priority="89" operator="greaterThanOrEqual">
      <formula>0</formula>
    </cfRule>
    <cfRule type="expression" dxfId="865" priority="88">
      <formula>AND($H$67="ja",T6&gt;$A$67)</formula>
    </cfRule>
  </conditionalFormatting>
  <conditionalFormatting sqref="U6:U17">
    <cfRule type="cellIs" dxfId="864" priority="17" operator="equal">
      <formula>0</formula>
    </cfRule>
    <cfRule type="cellIs" dxfId="863" priority="16" operator="lessThan">
      <formula>$A$45</formula>
    </cfRule>
    <cfRule type="cellIs" dxfId="862" priority="18" operator="notEqual">
      <formula>0</formula>
    </cfRule>
  </conditionalFormatting>
  <conditionalFormatting sqref="V6:X17">
    <cfRule type="expression" dxfId="861" priority="46">
      <formula>$A6=0</formula>
    </cfRule>
  </conditionalFormatting>
  <conditionalFormatting sqref="Y6:Y17 AD6:AD17 AI6:AI17">
    <cfRule type="expression" dxfId="860" priority="59">
      <formula>AND($H$67="ja",Y6&gt;$A$67)</formula>
    </cfRule>
    <cfRule type="cellIs" dxfId="859" priority="60" operator="greaterThanOrEqual">
      <formula>0</formula>
    </cfRule>
  </conditionalFormatting>
  <conditionalFormatting sqref="Z6:Z17">
    <cfRule type="cellIs" dxfId="858" priority="11" operator="equal">
      <formula>0</formula>
    </cfRule>
    <cfRule type="cellIs" dxfId="857" priority="10" operator="lessThan">
      <formula>$A$45</formula>
    </cfRule>
    <cfRule type="cellIs" dxfId="856" priority="12" operator="notEqual">
      <formula>0</formula>
    </cfRule>
  </conditionalFormatting>
  <conditionalFormatting sqref="AA6:AC17">
    <cfRule type="expression" dxfId="855" priority="43">
      <formula>$A6=0</formula>
    </cfRule>
  </conditionalFormatting>
  <conditionalFormatting sqref="AE6:AE17">
    <cfRule type="cellIs" dxfId="854" priority="5" operator="equal">
      <formula>0</formula>
    </cfRule>
    <cfRule type="cellIs" dxfId="853" priority="4" operator="lessThan">
      <formula>$A$45</formula>
    </cfRule>
    <cfRule type="cellIs" dxfId="852" priority="6" operator="notEqual">
      <formula>0</formula>
    </cfRule>
  </conditionalFormatting>
  <conditionalFormatting sqref="AF6:AH17">
    <cfRule type="expression" dxfId="851" priority="34">
      <formula>$A6=0</formula>
    </cfRule>
  </conditionalFormatting>
  <conditionalFormatting sqref="AJ6:AJ17">
    <cfRule type="cellIs" dxfId="850" priority="3" operator="notEqual">
      <formula>0</formula>
    </cfRule>
    <cfRule type="cellIs" dxfId="849" priority="2" operator="equal">
      <formula>0</formula>
    </cfRule>
    <cfRule type="cellIs" dxfId="848" priority="1" operator="lessThan">
      <formula>$A$45</formula>
    </cfRule>
  </conditionalFormatting>
  <conditionalFormatting sqref="AK6:AK17">
    <cfRule type="expression" dxfId="847" priority="58">
      <formula>AND($H$70="ja",AK6&gt;$A$70)</formula>
    </cfRule>
    <cfRule type="cellIs" dxfId="846" priority="61" operator="greaterThanOrEqual">
      <formula>0</formula>
    </cfRule>
  </conditionalFormatting>
  <dataValidations count="1">
    <dataValidation type="list" allowBlank="1" showInputMessage="1" showErrorMessage="1" sqref="H67 H70" xr:uid="{00000000-0002-0000-0800-000000000000}">
      <formula1>Ja_og_nei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2"/>
  <dimension ref="A1:AQ95"/>
  <sheetViews>
    <sheetView zoomScale="70" zoomScaleNormal="70" workbookViewId="0">
      <pane ySplit="24" topLeftCell="A25" activePane="bottomLeft" state="frozen"/>
      <selection pane="bottomLeft" activeCell="C11" sqref="C11"/>
    </sheetView>
  </sheetViews>
  <sheetFormatPr defaultColWidth="9.08984375" defaultRowHeight="12.5" x14ac:dyDescent="0.25"/>
  <cols>
    <col min="1" max="1" width="10.7265625" style="3" customWidth="1"/>
    <col min="2" max="2" width="7.6328125" style="3" customWidth="1"/>
    <col min="3" max="3" width="7.81640625" style="3" customWidth="1"/>
    <col min="4" max="4" width="4.36328125" style="3" bestFit="1" customWidth="1"/>
    <col min="5" max="6" width="10" style="3" customWidth="1"/>
    <col min="7" max="7" width="7" style="3" customWidth="1"/>
    <col min="8" max="8" width="7.6328125" style="3" customWidth="1"/>
    <col min="9" max="9" width="4.36328125" style="3" bestFit="1" customWidth="1"/>
    <col min="10" max="11" width="10" style="3" customWidth="1"/>
    <col min="12" max="12" width="7.26953125" style="3" customWidth="1"/>
    <col min="13" max="13" width="7.7265625" style="3" customWidth="1"/>
    <col min="14" max="14" width="4.36328125" style="3" bestFit="1" customWidth="1"/>
    <col min="15" max="15" width="10.08984375" style="3" bestFit="1" customWidth="1"/>
    <col min="16" max="16" width="10.08984375" style="3" customWidth="1"/>
    <col min="17" max="17" width="7.6328125" style="3" customWidth="1"/>
    <col min="18" max="18" width="7.7265625" style="3" customWidth="1"/>
    <col min="19" max="19" width="4.36328125" style="3" bestFit="1" customWidth="1"/>
    <col min="20" max="20" width="10.08984375" style="3" bestFit="1" customWidth="1"/>
    <col min="21" max="21" width="10.08984375" style="3" customWidth="1"/>
    <col min="22" max="22" width="8.36328125" style="3" customWidth="1"/>
    <col min="23" max="23" width="8.81640625" style="3" customWidth="1"/>
    <col min="24" max="24" width="4.36328125" style="3" bestFit="1" customWidth="1"/>
    <col min="25" max="26" width="10" style="3" customWidth="1"/>
    <col min="27" max="28" width="7.81640625" style="3" customWidth="1"/>
    <col min="29" max="29" width="4.36328125" style="3" bestFit="1" customWidth="1"/>
    <col min="30" max="31" width="9.7265625" style="3" customWidth="1"/>
    <col min="32" max="32" width="6.81640625" style="3" customWidth="1"/>
    <col min="33" max="33" width="7.6328125" style="3" customWidth="1"/>
    <col min="34" max="34" width="4.36328125" style="3" bestFit="1" customWidth="1"/>
    <col min="35" max="36" width="9.6328125" style="3" customWidth="1"/>
    <col min="37" max="37" width="18.6328125" style="3" bestFit="1" customWidth="1"/>
    <col min="38" max="16384" width="9.08984375" style="3"/>
  </cols>
  <sheetData>
    <row r="1" spans="1:39" ht="13" x14ac:dyDescent="0.3">
      <c r="A1" s="98" t="s">
        <v>66</v>
      </c>
      <c r="B1" s="98"/>
      <c r="C1" s="98"/>
      <c r="D1" s="88"/>
      <c r="E1" s="5" t="str">
        <f>Vaktplan!G38</f>
        <v>mandag</v>
      </c>
      <c r="H1" s="98" t="s">
        <v>67</v>
      </c>
      <c r="I1" s="98"/>
      <c r="J1" s="98"/>
      <c r="K1" s="98"/>
      <c r="L1" s="98"/>
      <c r="M1" s="5">
        <f>Vaktplan!AJ48</f>
        <v>12</v>
      </c>
    </row>
    <row r="2" spans="1:39" ht="13" x14ac:dyDescent="0.3">
      <c r="A2" s="98" t="s">
        <v>36</v>
      </c>
      <c r="B2" s="98"/>
      <c r="C2" s="98"/>
      <c r="D2" s="88"/>
      <c r="E2" s="8">
        <f>Vaktplan!AM48</f>
        <v>0</v>
      </c>
      <c r="I2" s="106"/>
      <c r="J2" s="106"/>
    </row>
    <row r="3" spans="1:39" ht="13" x14ac:dyDescent="0.3">
      <c r="A3" s="98" t="s">
        <v>68</v>
      </c>
      <c r="B3" s="98"/>
      <c r="C3" s="98"/>
      <c r="D3" s="88"/>
      <c r="E3" s="5">
        <f>Vaktplan!AQ48</f>
        <v>0</v>
      </c>
      <c r="F3" s="4" t="s">
        <v>69</v>
      </c>
    </row>
    <row r="4" spans="1:39" ht="13" x14ac:dyDescent="0.3">
      <c r="A4" s="89" t="s">
        <v>70</v>
      </c>
      <c r="B4" s="103" t="str">
        <f>TEXT(AG39,"DDDD")</f>
        <v>Monday</v>
      </c>
      <c r="C4" s="104"/>
      <c r="D4" s="104"/>
      <c r="E4" s="104"/>
      <c r="F4" s="105"/>
      <c r="G4" s="102" t="str">
        <f>TEXT($AG$39+1,"DDDD")</f>
        <v>Tuesday</v>
      </c>
      <c r="H4" s="102"/>
      <c r="I4" s="102"/>
      <c r="J4" s="102"/>
      <c r="K4" s="89"/>
      <c r="L4" s="102" t="str">
        <f>TEXT($AG$39+2,"DDDD")</f>
        <v>Wednesday</v>
      </c>
      <c r="M4" s="102"/>
      <c r="N4" s="102"/>
      <c r="O4" s="102"/>
      <c r="P4" s="89"/>
      <c r="Q4" s="102" t="str">
        <f>TEXT($AG$39+3,"DDDD")</f>
        <v>Thursday</v>
      </c>
      <c r="R4" s="102"/>
      <c r="S4" s="102"/>
      <c r="T4" s="102"/>
      <c r="U4" s="89"/>
      <c r="V4" s="102" t="str">
        <f>TEXT($AG$39+4,"DDDD")</f>
        <v>Friday</v>
      </c>
      <c r="W4" s="102"/>
      <c r="X4" s="102"/>
      <c r="Y4" s="102"/>
      <c r="Z4" s="89"/>
      <c r="AA4" s="102" t="str">
        <f>TEXT($AG$39+5,"DDDD")</f>
        <v>Saturday</v>
      </c>
      <c r="AB4" s="102"/>
      <c r="AC4" s="102"/>
      <c r="AD4" s="102"/>
      <c r="AE4" s="89"/>
      <c r="AF4" s="102" t="str">
        <f>TEXT($AG$39+6,"DDDD")</f>
        <v>Sunday</v>
      </c>
      <c r="AG4" s="102"/>
      <c r="AH4" s="102"/>
      <c r="AI4" s="102"/>
      <c r="AJ4" s="89"/>
      <c r="AK4" s="7" t="s">
        <v>71</v>
      </c>
    </row>
    <row r="5" spans="1:39" x14ac:dyDescent="0.25">
      <c r="A5" s="6"/>
      <c r="B5" s="6" t="s">
        <v>72</v>
      </c>
      <c r="C5" s="6" t="s">
        <v>73</v>
      </c>
      <c r="D5" s="6" t="s">
        <v>55</v>
      </c>
      <c r="E5" s="6" t="s">
        <v>74</v>
      </c>
      <c r="F5" s="6" t="s">
        <v>75</v>
      </c>
      <c r="G5" s="6" t="s">
        <v>72</v>
      </c>
      <c r="H5" s="6" t="s">
        <v>73</v>
      </c>
      <c r="I5" s="6" t="s">
        <v>55</v>
      </c>
      <c r="J5" s="6" t="s">
        <v>74</v>
      </c>
      <c r="K5" s="6" t="s">
        <v>75</v>
      </c>
      <c r="L5" s="6" t="s">
        <v>72</v>
      </c>
      <c r="M5" s="6" t="s">
        <v>73</v>
      </c>
      <c r="N5" s="6" t="s">
        <v>55</v>
      </c>
      <c r="O5" s="6" t="s">
        <v>74</v>
      </c>
      <c r="P5" s="6" t="s">
        <v>75</v>
      </c>
      <c r="Q5" s="6" t="s">
        <v>72</v>
      </c>
      <c r="R5" s="6" t="s">
        <v>73</v>
      </c>
      <c r="S5" s="6" t="s">
        <v>55</v>
      </c>
      <c r="T5" s="6" t="s">
        <v>74</v>
      </c>
      <c r="U5" s="6" t="s">
        <v>75</v>
      </c>
      <c r="V5" s="6" t="s">
        <v>72</v>
      </c>
      <c r="W5" s="6" t="s">
        <v>73</v>
      </c>
      <c r="X5" s="6" t="s">
        <v>55</v>
      </c>
      <c r="Y5" s="6" t="s">
        <v>74</v>
      </c>
      <c r="Z5" s="6" t="s">
        <v>75</v>
      </c>
      <c r="AA5" s="6" t="s">
        <v>72</v>
      </c>
      <c r="AB5" s="6" t="s">
        <v>73</v>
      </c>
      <c r="AC5" s="6" t="s">
        <v>55</v>
      </c>
      <c r="AD5" s="6" t="s">
        <v>74</v>
      </c>
      <c r="AE5" s="6" t="s">
        <v>75</v>
      </c>
      <c r="AF5" s="6" t="s">
        <v>72</v>
      </c>
      <c r="AG5" s="6" t="s">
        <v>73</v>
      </c>
      <c r="AH5" s="6" t="s">
        <v>55</v>
      </c>
      <c r="AI5" s="6" t="s">
        <v>74</v>
      </c>
      <c r="AJ5" s="6" t="s">
        <v>75</v>
      </c>
      <c r="AK5" s="6"/>
    </row>
    <row r="6" spans="1:39" ht="13" x14ac:dyDescent="0.25">
      <c r="A6" s="7">
        <f>IF(M1&gt;=1,1,0)</f>
        <v>1</v>
      </c>
      <c r="B6" s="77">
        <f>IFERROR(VLOOKUP(Vaktplan!$A$48,Vaktplan!$A$4:$CL$35,87-AH59,FALSE),0)</f>
        <v>0</v>
      </c>
      <c r="C6" s="77">
        <f>IFERROR(VLOOKUP(Vaktplan!$A$48,Vaktplan!$A$4:$CL$35,87-AG59,FALSE),0)</f>
        <v>0</v>
      </c>
      <c r="D6" s="9">
        <f>IFERROR(VLOOKUP(Vaktplan!$A$48,Vaktplan!$A$4:$CL$35,89-AG59,FALSE),0)</f>
        <v>0</v>
      </c>
      <c r="E6" s="9">
        <f>IF(AND(B6=0,C6=0),0,IF(B6&lt;C6,((C6-B6)*24)-D6,(((1-B6)+C6)*24)-D6))</f>
        <v>0</v>
      </c>
      <c r="F6" s="9">
        <f>IF(AND(C6=0,G6=0),24,IF(C6=0,12+(G6*24),IF(C6&lt;G6,((G6-C6)*24),IF(G6=0,(1-C6+0.5)*24,((1-C6)+G6)*24))))</f>
        <v>24</v>
      </c>
      <c r="G6" s="77">
        <f>IFERROR(VLOOKUP(Vaktplan!$A$48,Vaktplan!$B$4:$CL$35,86-AH59,FALSE),0)</f>
        <v>0</v>
      </c>
      <c r="H6" s="77">
        <f>IFERROR(VLOOKUP(Vaktplan!$A$48,Vaktplan!$B$4:$CL$35,86-AG59,FALSE),0)</f>
        <v>0</v>
      </c>
      <c r="I6" s="9">
        <f>IFERROR(VLOOKUP(Vaktplan!$A$48,Vaktplan!$B$4:$CL$35,89-$AH59,FALSE),0)</f>
        <v>0</v>
      </c>
      <c r="J6" s="9">
        <f>IF(AND(G6=0,H6=0),0,IF(G6&lt;H6,((H6-G6)*24)-I6,(((1-G6)+H6)*24)-I6))</f>
        <v>0</v>
      </c>
      <c r="K6" s="9">
        <f>IF(AND(H6=0,L6=0),24,IF(H6=0,12+(L6*24),IF(H6&lt;L6,((L6-H6)*24),IF(L6=0,(1-H6+0.5)*24,((1-H6)+L6)*24))))</f>
        <v>24</v>
      </c>
      <c r="L6" s="77">
        <f>IFERROR(VLOOKUP(Vaktplan!$A$48,Vaktplan!$C$4:$CL$35,86-AI59,FALSE),0)</f>
        <v>0</v>
      </c>
      <c r="M6" s="77">
        <f>IFERROR(VLOOKUP(Vaktplan!$A$48,Vaktplan!$C$4:$CL$35,86-AH59,FALSE),0)</f>
        <v>0</v>
      </c>
      <c r="N6" s="9">
        <f>IFERROR(VLOOKUP(Vaktplan!$A$48,Vaktplan!$C$4:$CL$35,89-$AI59,FALSE),0)</f>
        <v>0</v>
      </c>
      <c r="O6" s="9">
        <f>IF(AND(L6=0,M6=0),0,IF(L6&lt;M6,((M6-L6)*24)-N6,(((1-L6)+M6)*24)-N6))</f>
        <v>0</v>
      </c>
      <c r="P6" s="9">
        <f>IF(AND(M6=0,Q6=0),24,IF(M6=0,12+(Q6*24),IF(M6&lt;Q6,((Q6-M6)*24),IF(Q6=0,(1-M6+0.5)*24,((1-M6)+Q6)*24))))</f>
        <v>24</v>
      </c>
      <c r="Q6" s="77">
        <f>IFERROR(VLOOKUP(Vaktplan!$A$48,Vaktplan!$D$4:$CL$35,86-AJ59,FALSE),0)</f>
        <v>0</v>
      </c>
      <c r="R6" s="77">
        <f>IFERROR(VLOOKUP(Vaktplan!$A$48,Vaktplan!$D$4:$CL$35,86-AI59,FALSE),0)</f>
        <v>0</v>
      </c>
      <c r="S6" s="9">
        <f>IFERROR(VLOOKUP(Vaktplan!$A$48,Vaktplan!$D$4:$CL$35,89-$AJ59,FALSE),0)</f>
        <v>0</v>
      </c>
      <c r="T6" s="9">
        <f t="shared" ref="T6:T17" si="0">IF(AND(Q6=0,R6=0),0,IF(Q6&lt;R6,((R6-Q6)*24)-S6,(((1-Q6)+R6)*24)-S6))</f>
        <v>0</v>
      </c>
      <c r="U6" s="9">
        <f>IF(AND(R6=0,V6=0),24,IF(R6=0,12+(V6*24),IF(R6&lt;V6,((V6-R6)*24),IF(V6=0,(1-R6+0.5)*24,((1-R6)+V6)*24))))</f>
        <v>24</v>
      </c>
      <c r="V6" s="77">
        <f>IFERROR(VLOOKUP(Vaktplan!$A$48,Vaktplan!$E$4:$CL$35,86-AK59,FALSE),0)</f>
        <v>0</v>
      </c>
      <c r="W6" s="77">
        <f>IFERROR(VLOOKUP(Vaktplan!$A$48,Vaktplan!$E$4:$CL$35,86-AJ59,FALSE),0)</f>
        <v>0</v>
      </c>
      <c r="X6" s="9">
        <f>IFERROR(VLOOKUP(Vaktplan!$A$48,Vaktplan!$E$4:$CL$35,89-$AK59,FALSE),0)</f>
        <v>0</v>
      </c>
      <c r="Y6" s="9">
        <f>IF(AND(V6=0,W6=0),0,IF(V6&lt;W6,((W6-V6)*24)-X6,(((1-V6)+W6)*24)-X6))</f>
        <v>0</v>
      </c>
      <c r="Z6" s="9">
        <f>IF(AND(W6=0,AA6=0),24,IF(W6=0,12+(AA6*24),IF(W6&lt;AA6,((AA6-W6)*24),IF(AA6=0,(1-W6+0.5)*24,((1-W6)+AA6)*24))))</f>
        <v>24</v>
      </c>
      <c r="AA6" s="77">
        <f>IFERROR(VLOOKUP(Vaktplan!$A$48,Vaktplan!$F$4:$CL$35,86-AL59,FALSE),0)</f>
        <v>0</v>
      </c>
      <c r="AB6" s="77">
        <f>IFERROR(VLOOKUP(Vaktplan!$A$48,Vaktplan!$F$4:$CL$35,86-AK59,FALSE),0)</f>
        <v>0</v>
      </c>
      <c r="AC6" s="9">
        <f>IFERROR(VLOOKUP(Vaktplan!$A$48,Vaktplan!$F$4:$CL$35,89-$AL59,FALSE),0)</f>
        <v>0</v>
      </c>
      <c r="AD6" s="9">
        <f>IF(AND(AA6=0,AB6=0),0,IF(AA6&lt;AB6,((AB6-AA6)*24)-AC6,(((1-AA6)+AB6)*24)-AC6))</f>
        <v>0</v>
      </c>
      <c r="AE6" s="9">
        <f>IF(AND(AB6=0,AF6=0),24,IF(AB6=0,12+(AF6*24),IF(AB6&lt;AF6,((AF6-AB6)*24),IF(AF6=0,(1-AB6+0.5)*24,((1-AB6)+AF6)*24))))</f>
        <v>24</v>
      </c>
      <c r="AF6" s="77">
        <f>IFERROR(VLOOKUP(Vaktplan!$A$48,Vaktplan!$G$4:$CL$35,86-AM59,FALSE),0)</f>
        <v>0</v>
      </c>
      <c r="AG6" s="77">
        <f>IFERROR(VLOOKUP(Vaktplan!$A$48,Vaktplan!$G$4:$CL$35,86-AL59,FALSE),0)</f>
        <v>0</v>
      </c>
      <c r="AH6" s="9">
        <f>IFERROR(VLOOKUP(Vaktplan!$A$48,Vaktplan!$G$4:$CL$35,89-$AM59,FALSE),0)</f>
        <v>0</v>
      </c>
      <c r="AI6" s="9">
        <f>IF(AND(AF6=0,AG6=0),0,IF(AF6&lt;AG6,((AG6-AF6)*24)-AH6,(((1-AF6)+AG6)*24)-AH6))</f>
        <v>0</v>
      </c>
      <c r="AJ6" s="9">
        <f>IF($M$1=AL28,IF(AND(AG6=0,B6=0),24,IF(AG6=0,12+($B$6*24),IF(AG6&lt;$B$6,(($B$6-AG6)*24),IF($B$6=0,(1-AG6+1)*24,((1-AG6)+$B$6)*24)))),IF(AND(AG6=0,B7=0),24,IF(AG6=0,12+(B7*24),IF(AG6&lt;B7,((B7-AG6)*24),IF(B7=0,(1-AG6+1)*24,((1-AG6)+B7)*24)))))</f>
        <v>24</v>
      </c>
      <c r="AK6" s="9">
        <f t="shared" ref="AK6:AK17" si="1">E6+J6+O6+T6+Y6+AD6+AI6</f>
        <v>0</v>
      </c>
      <c r="AL6" s="10">
        <f>AJ6</f>
        <v>24</v>
      </c>
      <c r="AM6" s="10">
        <f>AK6</f>
        <v>0</v>
      </c>
    </row>
    <row r="7" spans="1:39" ht="13" x14ac:dyDescent="0.25">
      <c r="A7" s="7">
        <f>IF($M$1&gt;=2,2,0)</f>
        <v>2</v>
      </c>
      <c r="B7" s="77">
        <f>IFERROR(VLOOKUP(Vaktplan!$A$48,Vaktplan!$H$4:$CL$35,87-AH60,FALSE),0)</f>
        <v>0</v>
      </c>
      <c r="C7" s="77">
        <f>IFERROR(VLOOKUP(Vaktplan!$A$48,Vaktplan!$H$4:$CL$35,87-AG60,FALSE),0)</f>
        <v>0</v>
      </c>
      <c r="D7" s="9">
        <f>IFERROR(VLOOKUP(Vaktplan!$A$48,Vaktplan!$H$4:$CL$35,89-AG60,FALSE),0)</f>
        <v>0</v>
      </c>
      <c r="E7" s="9">
        <f>IF(AND(B7=0,C7=0),0,IF(B7&lt;C7,((C7-B7)*24)-D7,(((1-B7)+C7)*24)-D7))</f>
        <v>0</v>
      </c>
      <c r="F7" s="9">
        <f t="shared" ref="F7:F17" si="2">IF(AND(C7=0,G7=0),24,IF(C7=0,12+(G7*24),IF(C7&lt;G7,((G7-C7)*24),IF(G7=0,(1-C7+0.5)*24,((1-C7)+G7)*24))))</f>
        <v>24</v>
      </c>
      <c r="G7" s="77">
        <f>IFERROR(VLOOKUP(Vaktplan!$A$48,Vaktplan!$I$4:$CL$35,86-AH60,FALSE),0)</f>
        <v>0</v>
      </c>
      <c r="H7" s="77">
        <f>IFERROR(VLOOKUP(Vaktplan!$A$48,Vaktplan!$I$4:$CL$35,86-AG60,FALSE),0)</f>
        <v>0</v>
      </c>
      <c r="I7" s="9">
        <f>IFERROR(VLOOKUP(Vaktplan!$A$48,Vaktplan!$I$4:$CL$35,89-$AH60,FALSE),0)</f>
        <v>0</v>
      </c>
      <c r="J7" s="9">
        <f t="shared" ref="J7:J17" si="3">IF(AND(G7=0,H7=0),0,IF(G7&lt;H7,((H7-G7)*24)-I7,(((1-G7)+H7)*24)-I7))</f>
        <v>0</v>
      </c>
      <c r="K7" s="9">
        <f t="shared" ref="K7:K17" si="4">IF(AND(H7=0,L7=0),24,IF(H7=0,12+(L7*24),IF(H7&lt;L7,((L7-H7)*24),IF(L7=0,(1-H7+0.5)*24,((1-H7)+L7)*24))))</f>
        <v>24</v>
      </c>
      <c r="L7" s="77">
        <f>IFERROR(VLOOKUP(Vaktplan!$A$48,Vaktplan!$J$4:$CL$35,86-AI60,FALSE),0)</f>
        <v>0</v>
      </c>
      <c r="M7" s="77">
        <f>IFERROR(VLOOKUP(Vaktplan!$A$48,Vaktplan!$J$4:$CL$35,86-AH60,FALSE),0)</f>
        <v>0</v>
      </c>
      <c r="N7" s="9">
        <f>IFERROR(VLOOKUP(Vaktplan!$A$48,Vaktplan!$J$4:$CL$35,89-$AI60,FALSE),0)</f>
        <v>0</v>
      </c>
      <c r="O7" s="9">
        <f t="shared" ref="O7:O17" si="5">IF(AND(L7=0,M7=0),0,IF(L7&lt;M7,((M7-L7)*24)-N7,(((1-L7)+M7)*24)-N7))</f>
        <v>0</v>
      </c>
      <c r="P7" s="9">
        <f t="shared" ref="P7:P17" si="6">IF(AND(M7=0,Q7=0),24,IF(M7=0,12+(Q7*24),IF(M7&lt;Q7,((Q7-M7)*24),IF(Q7=0,(1-M7+0.5)*24,((1-M7)+Q7)*24))))</f>
        <v>24</v>
      </c>
      <c r="Q7" s="77">
        <f>IFERROR(VLOOKUP(Vaktplan!$A$48,Vaktplan!$K$4:$CL$35,86-AJ60,FALSE),0)</f>
        <v>0</v>
      </c>
      <c r="R7" s="77">
        <f>IFERROR(VLOOKUP(Vaktplan!$A$48,Vaktplan!$K$4:$CL$35,86-AI60,FALSE),0)</f>
        <v>0</v>
      </c>
      <c r="S7" s="9">
        <f>IFERROR(VLOOKUP(Vaktplan!$A$48,Vaktplan!$K$4:$CL$35,89-$AJ60,FALSE),0)</f>
        <v>0</v>
      </c>
      <c r="T7" s="9">
        <f t="shared" si="0"/>
        <v>0</v>
      </c>
      <c r="U7" s="9">
        <f t="shared" ref="U7:U17" si="7">IF(AND(R7=0,V7=0),24,IF(R7=0,12+(V7*24),IF(R7&lt;V7,((V7-R7)*24),IF(V7=0,(1-R7+0.5)*24,((1-R7)+V7)*24))))</f>
        <v>24</v>
      </c>
      <c r="V7" s="77">
        <f>IFERROR(VLOOKUP(Vaktplan!$A$48,Vaktplan!$L$4:$CL$35,86-AK60,FALSE),0)</f>
        <v>0</v>
      </c>
      <c r="W7" s="77">
        <f>IFERROR(VLOOKUP(Vaktplan!$A$48,Vaktplan!$L$4:$CL$35,86-AJ60,FALSE),0)</f>
        <v>0</v>
      </c>
      <c r="X7" s="9">
        <f>IFERROR(VLOOKUP(Vaktplan!$A$48,Vaktplan!$L$4:$CL$35,89-$AK60,FALSE),0)</f>
        <v>0</v>
      </c>
      <c r="Y7" s="9">
        <f t="shared" ref="Y7:Y13" si="8">IF(AND(V7=0,W7=0),0,IF(V7&lt;W7,((W7-V7)*24)-X7,(((1-V7)+W7)*24)-X7))</f>
        <v>0</v>
      </c>
      <c r="Z7" s="9">
        <f t="shared" ref="Z7:Z17" si="9">IF(AND(W7=0,AA7=0),24,IF(W7=0,12+(AA7*24),IF(W7&lt;AA7,((AA7-W7)*24),IF(AA7=0,(1-W7+0.5)*24,((1-W7)+AA7)*24))))</f>
        <v>24</v>
      </c>
      <c r="AA7" s="77">
        <f>IFERROR(VLOOKUP(Vaktplan!$A$48,Vaktplan!$M$4:$CL$35,86-AL60,FALSE),0)</f>
        <v>0</v>
      </c>
      <c r="AB7" s="77">
        <f>IFERROR(VLOOKUP(Vaktplan!$A$48,Vaktplan!$M$4:$CL$35,86-AK60,FALSE),0)</f>
        <v>0</v>
      </c>
      <c r="AC7" s="9">
        <f>IFERROR(VLOOKUP(Vaktplan!$A$48,Vaktplan!$M$4:$CL$35,89-$AL60,FALSE),0)</f>
        <v>0</v>
      </c>
      <c r="AD7" s="9">
        <f t="shared" ref="AD7:AD13" si="10">IF(AND(AA7=0,AB7=0),0,IF(AA7&lt;AB7,((AB7-AA7)*24)-AC7,(((1-AA7)+AB7)*24)-AC7))</f>
        <v>0</v>
      </c>
      <c r="AE7" s="9">
        <f t="shared" ref="AE7:AE17" si="11">IF(AND(AB7=0,AF7=0),24,IF(AB7=0,12+(AF7*24),IF(AB7&lt;AF7,((AF7-AB7)*24),IF(AF7=0,(1-AB7+0.5)*24,((1-AB7)+AF7)*24))))</f>
        <v>24</v>
      </c>
      <c r="AF7" s="77">
        <f>IFERROR(VLOOKUP(Vaktplan!$A$48,Vaktplan!$N$4:$CL$35,86-AM60,FALSE),0)</f>
        <v>0</v>
      </c>
      <c r="AG7" s="77">
        <f>IFERROR(VLOOKUP(Vaktplan!$A$48,Vaktplan!$N$4:$CL$35,86-AL60,FALSE),0)</f>
        <v>0</v>
      </c>
      <c r="AH7" s="9">
        <f>IFERROR(VLOOKUP(Vaktplan!$A$48,Vaktplan!$N$4:$CL$35,89-$AM60,FALSE),0)</f>
        <v>0</v>
      </c>
      <c r="AI7" s="9">
        <f t="shared" ref="AI7:AI13" si="12">IF(AND(AF7=0,AG7=0),0,IF(AF7&lt;AG7,((AG7-AF7)*24)-AH7,(((1-AF7)+AG7)*24)-AH7))</f>
        <v>0</v>
      </c>
      <c r="AJ7" s="9">
        <f t="shared" ref="AJ7:AJ17" si="13">IF($M$1=AL29,IF(AND(AG7=0,B7=0),24,IF(AG7=0,12+($B$6*24),IF(AG7&lt;$B$6,(($B$6-AG7)*24),IF($B$6=0,(1-AG7+1)*24,((1-AG7)+$B$6)*24)))),IF(AND(AG7=0,B8=0),24,IF(AG7=0,12+(B8*24),IF(AG7&lt;B8,((B8-AG7)*24),IF(B8=0,(1-AG7+1)*24,((1-AG7)+B8)*24)))))</f>
        <v>24</v>
      </c>
      <c r="AK7" s="9">
        <f t="shared" si="1"/>
        <v>0</v>
      </c>
      <c r="AL7" s="10">
        <f t="shared" ref="AL7:AL13" si="14">AJ7</f>
        <v>24</v>
      </c>
      <c r="AM7" s="10">
        <f t="shared" ref="AM7:AM13" si="15">AK7</f>
        <v>0</v>
      </c>
    </row>
    <row r="8" spans="1:39" ht="13" x14ac:dyDescent="0.25">
      <c r="A8" s="7">
        <f>IF($M$1&gt;=3,3,0)</f>
        <v>3</v>
      </c>
      <c r="B8" s="77">
        <f>IFERROR(VLOOKUP(Vaktplan!$A$48,Vaktplan!$O$4:$CL$35,87-AH61,FALSE),0)</f>
        <v>0</v>
      </c>
      <c r="C8" s="77">
        <f>IFERROR(VLOOKUP(Vaktplan!$A$48,Vaktplan!$O$4:$CL$35,87-AG61,FALSE),0)</f>
        <v>0</v>
      </c>
      <c r="D8" s="9">
        <f>IFERROR(VLOOKUP(Vaktplan!$A$48,Vaktplan!$O$4:$CL$35,89-AG61,FALSE),0)</f>
        <v>0</v>
      </c>
      <c r="E8" s="9">
        <f t="shared" ref="E8:E17" si="16">IF(AND(B8=0,C8=0),0,IF(B8&lt;C8,((C8-B8)*24)-D8,(((1-B8)+C8)*24)-D8))</f>
        <v>0</v>
      </c>
      <c r="F8" s="9">
        <f t="shared" si="2"/>
        <v>24</v>
      </c>
      <c r="G8" s="77">
        <f>IFERROR(VLOOKUP(Vaktplan!$A$48,Vaktplan!$P$4:$CL$35,86-AH61,FALSE),0)</f>
        <v>0</v>
      </c>
      <c r="H8" s="77">
        <f>IFERROR(VLOOKUP(Vaktplan!$A$48,Vaktplan!$P$4:$CL$35,86-AG61,FALSE),0)</f>
        <v>0</v>
      </c>
      <c r="I8" s="9">
        <f>IFERROR(VLOOKUP(Vaktplan!$A$48,Vaktplan!$P$4:$CL$35,89-$AH61,FALSE),0)</f>
        <v>0</v>
      </c>
      <c r="J8" s="9">
        <f>IF(AND(G8=0,H8=0),0,IF(G8&lt;H8,((H8-G8)*24)-I8,(((1-G8)+H8)*24)-I8))</f>
        <v>0</v>
      </c>
      <c r="K8" s="9">
        <f t="shared" si="4"/>
        <v>24</v>
      </c>
      <c r="L8" s="77">
        <f>IFERROR(VLOOKUP(Vaktplan!$A$48,Vaktplan!$Q$4:$CL$35,86-AI61,FALSE),0)</f>
        <v>0</v>
      </c>
      <c r="M8" s="77">
        <f>IFERROR(VLOOKUP(Vaktplan!$A$48,Vaktplan!$Q$4:$CL$35,86-AH61,FALSE),0)</f>
        <v>0</v>
      </c>
      <c r="N8" s="9">
        <f>IFERROR(VLOOKUP(Vaktplan!$A$48,Vaktplan!$Q$4:$CL$35,89-$AI61,FALSE),0)</f>
        <v>0</v>
      </c>
      <c r="O8" s="9">
        <f t="shared" si="5"/>
        <v>0</v>
      </c>
      <c r="P8" s="9">
        <f t="shared" si="6"/>
        <v>24</v>
      </c>
      <c r="Q8" s="77">
        <f>IFERROR(VLOOKUP(Vaktplan!$A$48,Vaktplan!$R$4:$CL$35,86-AJ61,FALSE),0)</f>
        <v>0</v>
      </c>
      <c r="R8" s="77">
        <f>IFERROR(VLOOKUP(Vaktplan!$A$48,Vaktplan!$R$4:$CL$35,86-AI61,FALSE),0)</f>
        <v>0</v>
      </c>
      <c r="S8" s="9">
        <f>IFERROR(VLOOKUP(Vaktplan!$A$48,Vaktplan!$R$4:$CL$35,89-$AJ61,FALSE),0)</f>
        <v>0</v>
      </c>
      <c r="T8" s="9">
        <f t="shared" si="0"/>
        <v>0</v>
      </c>
      <c r="U8" s="9">
        <f t="shared" si="7"/>
        <v>24</v>
      </c>
      <c r="V8" s="77">
        <f>IFERROR(VLOOKUP(Vaktplan!$A$48,Vaktplan!$S$4:$CL$35,86-AK61,FALSE),0)</f>
        <v>0</v>
      </c>
      <c r="W8" s="77">
        <f>IFERROR(VLOOKUP(Vaktplan!$A$48,Vaktplan!$S$4:$CL$35,86-AJ61,FALSE),0)</f>
        <v>0</v>
      </c>
      <c r="X8" s="9">
        <f>IFERROR(VLOOKUP(Vaktplan!$A$48,Vaktplan!$S$4:$CL$35,89-$AK61,FALSE),0)</f>
        <v>0</v>
      </c>
      <c r="Y8" s="9">
        <f t="shared" si="8"/>
        <v>0</v>
      </c>
      <c r="Z8" s="9">
        <f t="shared" si="9"/>
        <v>24</v>
      </c>
      <c r="AA8" s="77">
        <f>IFERROR(VLOOKUP(Vaktplan!$A$48,Vaktplan!$T$4:$CL$35,86-AL61,FALSE),0)</f>
        <v>0</v>
      </c>
      <c r="AB8" s="77">
        <f>IFERROR(VLOOKUP(Vaktplan!$A$48,Vaktplan!$T$4:$CL$35,86-AK61,FALSE),0)</f>
        <v>0</v>
      </c>
      <c r="AC8" s="9">
        <f>IFERROR(VLOOKUP(Vaktplan!$A$48,Vaktplan!$T$4:$CL$35,89-$AL61,FALSE),0)</f>
        <v>0</v>
      </c>
      <c r="AD8" s="9">
        <f t="shared" si="10"/>
        <v>0</v>
      </c>
      <c r="AE8" s="9">
        <f t="shared" si="11"/>
        <v>24</v>
      </c>
      <c r="AF8" s="77">
        <f>IFERROR(VLOOKUP(Vaktplan!$A$48,Vaktplan!$U$4:$CL$35,86-AM61,FALSE),0)</f>
        <v>0</v>
      </c>
      <c r="AG8" s="77">
        <f>IFERROR(VLOOKUP(Vaktplan!$A$48,Vaktplan!$U$4:$CL$35,86-AL61,FALSE),0)</f>
        <v>0</v>
      </c>
      <c r="AH8" s="9">
        <f>IFERROR(VLOOKUP(Vaktplan!$A$48,Vaktplan!$U$4:$CL$35,89-$AM61,FALSE),0)</f>
        <v>0</v>
      </c>
      <c r="AI8" s="9">
        <f t="shared" si="12"/>
        <v>0</v>
      </c>
      <c r="AJ8" s="9">
        <f t="shared" si="13"/>
        <v>24</v>
      </c>
      <c r="AK8" s="9">
        <f t="shared" si="1"/>
        <v>0</v>
      </c>
      <c r="AL8" s="10">
        <f t="shared" si="14"/>
        <v>24</v>
      </c>
      <c r="AM8" s="10">
        <f t="shared" si="15"/>
        <v>0</v>
      </c>
    </row>
    <row r="9" spans="1:39" ht="13" x14ac:dyDescent="0.25">
      <c r="A9" s="7">
        <f>IF($M$1&gt;=4,4,0)</f>
        <v>4</v>
      </c>
      <c r="B9" s="77">
        <f>IFERROR(VLOOKUP(Vaktplan!$A$48,Vaktplan!$V$4:$CL$35,87-AH62,FALSE),0)</f>
        <v>0</v>
      </c>
      <c r="C9" s="77">
        <f>IFERROR(VLOOKUP(Vaktplan!$A$48,Vaktplan!$V$4:$CL$35,87-AG62,FALSE),0)</f>
        <v>0</v>
      </c>
      <c r="D9" s="9">
        <f>IFERROR(VLOOKUP(Vaktplan!$A$48,Vaktplan!$V$4:$CL$35,89-AG62,FALSE),0)</f>
        <v>0</v>
      </c>
      <c r="E9" s="9">
        <f t="shared" si="16"/>
        <v>0</v>
      </c>
      <c r="F9" s="9">
        <f t="shared" si="2"/>
        <v>24</v>
      </c>
      <c r="G9" s="77">
        <f>IFERROR(VLOOKUP(Vaktplan!$A$48,Vaktplan!$W$4:$CL$35,86-AH62,FALSE),0)</f>
        <v>0</v>
      </c>
      <c r="H9" s="77">
        <f>IFERROR(VLOOKUP(Vaktplan!$A$48,Vaktplan!$W$4:$CL$35,86-AG62,FALSE),0)</f>
        <v>0</v>
      </c>
      <c r="I9" s="9">
        <f>IFERROR(VLOOKUP(Vaktplan!$A$48,Vaktplan!$W$4:$CL$35,89-$AH62,FALSE),0)</f>
        <v>0</v>
      </c>
      <c r="J9" s="9">
        <f t="shared" si="3"/>
        <v>0</v>
      </c>
      <c r="K9" s="9">
        <f t="shared" si="4"/>
        <v>24</v>
      </c>
      <c r="L9" s="77">
        <f>IFERROR(VLOOKUP(Vaktplan!$A$48,Vaktplan!$X$4:$CL$35,86-AI62,FALSE),0)</f>
        <v>0</v>
      </c>
      <c r="M9" s="77">
        <f>IFERROR(VLOOKUP(Vaktplan!$A$48,Vaktplan!$X$4:$CL$35,86-AH62,FALSE),0)</f>
        <v>0</v>
      </c>
      <c r="N9" s="9">
        <f>IFERROR(VLOOKUP(Vaktplan!$A$48,Vaktplan!$X$4:$CL$35,89-$AI62,FALSE),0)</f>
        <v>0</v>
      </c>
      <c r="O9" s="9">
        <f t="shared" si="5"/>
        <v>0</v>
      </c>
      <c r="P9" s="9">
        <f t="shared" si="6"/>
        <v>24</v>
      </c>
      <c r="Q9" s="77">
        <f>IFERROR(VLOOKUP(Vaktplan!$A$48,Vaktplan!$Y$4:$CL$35,86-AJ62,FALSE),0)</f>
        <v>0</v>
      </c>
      <c r="R9" s="77">
        <f>IFERROR(VLOOKUP(Vaktplan!$A$48,Vaktplan!$Y$4:$CL$35,86-AI62,FALSE),0)</f>
        <v>0</v>
      </c>
      <c r="S9" s="9">
        <f>IFERROR(VLOOKUP(Vaktplan!$A$48,Vaktplan!$Y$4:$CL$35,89-$AJ62,FALSE),0)</f>
        <v>0</v>
      </c>
      <c r="T9" s="9">
        <f t="shared" si="0"/>
        <v>0</v>
      </c>
      <c r="U9" s="9">
        <f t="shared" si="7"/>
        <v>24</v>
      </c>
      <c r="V9" s="77">
        <f>IFERROR(VLOOKUP(Vaktplan!$A$48,Vaktplan!$Z$4:$CL$35,86-AK62,FALSE),0)</f>
        <v>0</v>
      </c>
      <c r="W9" s="77">
        <f>IFERROR(VLOOKUP(Vaktplan!$A$48,Vaktplan!$Z$4:$CL$35,86-AJ62,FALSE),0)</f>
        <v>0</v>
      </c>
      <c r="X9" s="9">
        <f>IFERROR(VLOOKUP(Vaktplan!$A$48,Vaktplan!$Z$4:$CL$35,89-$AK62,FALSE),0)</f>
        <v>0</v>
      </c>
      <c r="Y9" s="9">
        <f t="shared" si="8"/>
        <v>0</v>
      </c>
      <c r="Z9" s="9">
        <f t="shared" si="9"/>
        <v>24</v>
      </c>
      <c r="AA9" s="77">
        <f>IFERROR(VLOOKUP(Vaktplan!$A$48,Vaktplan!$AA$4:$CL$35,86-AL62,FALSE),0)</f>
        <v>0</v>
      </c>
      <c r="AB9" s="77">
        <f>IFERROR(VLOOKUP(Vaktplan!$A$48,Vaktplan!$AA$4:$CL$35,86-AK62,FALSE),0)</f>
        <v>0</v>
      </c>
      <c r="AC9" s="9">
        <f>IFERROR(VLOOKUP(Vaktplan!$A$48,Vaktplan!$AA$4:$CL$35,89-$AL62,FALSE),0)</f>
        <v>0</v>
      </c>
      <c r="AD9" s="9">
        <f t="shared" si="10"/>
        <v>0</v>
      </c>
      <c r="AE9" s="9">
        <f t="shared" si="11"/>
        <v>24</v>
      </c>
      <c r="AF9" s="77">
        <f>IFERROR(VLOOKUP(Vaktplan!$A$48,Vaktplan!$AB$4:$CL$35,86-AM62,FALSE),0)</f>
        <v>0</v>
      </c>
      <c r="AG9" s="77">
        <f>IFERROR(VLOOKUP(Vaktplan!$A$48,Vaktplan!$AB$4:$CL$35,86-AL62,FALSE),0)</f>
        <v>0</v>
      </c>
      <c r="AH9" s="9">
        <f>IFERROR(VLOOKUP(Vaktplan!$A$48,Vaktplan!$AB$4:$CL$35,89-$AM62,FALSE),0)</f>
        <v>0</v>
      </c>
      <c r="AI9" s="9">
        <f t="shared" si="12"/>
        <v>0</v>
      </c>
      <c r="AJ9" s="9">
        <f t="shared" si="13"/>
        <v>24</v>
      </c>
      <c r="AK9" s="9">
        <f t="shared" si="1"/>
        <v>0</v>
      </c>
      <c r="AL9" s="10">
        <f t="shared" si="14"/>
        <v>24</v>
      </c>
      <c r="AM9" s="10">
        <f t="shared" si="15"/>
        <v>0</v>
      </c>
    </row>
    <row r="10" spans="1:39" ht="13" x14ac:dyDescent="0.25">
      <c r="A10" s="7">
        <f>IF($M$1&gt;=5,5,0)</f>
        <v>5</v>
      </c>
      <c r="B10" s="77">
        <f>IFERROR(VLOOKUP(Vaktplan!$A$48,Vaktplan!$AC$4:$CL$35,87-AH63,FALSE),0)</f>
        <v>0</v>
      </c>
      <c r="C10" s="77">
        <f>IFERROR(VLOOKUP(Vaktplan!$A$48,Vaktplan!$AC$4:$CL$35,87-AG63,FALSE),0)</f>
        <v>0</v>
      </c>
      <c r="D10" s="9">
        <f>IFERROR(VLOOKUP(Vaktplan!$A$48,Vaktplan!$AC$4:$CL$35,89-AG63,FALSE),0)</f>
        <v>0</v>
      </c>
      <c r="E10" s="9">
        <f t="shared" si="16"/>
        <v>0</v>
      </c>
      <c r="F10" s="9">
        <f t="shared" si="2"/>
        <v>24</v>
      </c>
      <c r="G10" s="77">
        <f>IFERROR(VLOOKUP(Vaktplan!$A$48,Vaktplan!$AD$4:$CL$35,86-AH63,FALSE),0)</f>
        <v>0</v>
      </c>
      <c r="H10" s="77">
        <f>IFERROR(VLOOKUP(Vaktplan!$A$48,Vaktplan!$AD$4:$CL$35,86-AG63,FALSE),0)</f>
        <v>0</v>
      </c>
      <c r="I10" s="9">
        <f>IFERROR(VLOOKUP(Vaktplan!$A$48,Vaktplan!$AD$4:$CL$35,89-$AH63,FALSE),0)</f>
        <v>0</v>
      </c>
      <c r="J10" s="9">
        <f t="shared" si="3"/>
        <v>0</v>
      </c>
      <c r="K10" s="9">
        <f t="shared" si="4"/>
        <v>24</v>
      </c>
      <c r="L10" s="77">
        <f>IFERROR(VLOOKUP(Vaktplan!$A$48,Vaktplan!$AE$4:$CL$35,86-AI63,FALSE),0)</f>
        <v>0</v>
      </c>
      <c r="M10" s="77">
        <f>IFERROR(VLOOKUP(Vaktplan!$A$48,Vaktplan!$AE$4:$CL$35,86-AH63,FALSE),0)</f>
        <v>0</v>
      </c>
      <c r="N10" s="9">
        <f>IFERROR(VLOOKUP(Vaktplan!$A$48,Vaktplan!$AE$4:$CL$35,89-$AI63,FALSE),0)</f>
        <v>0</v>
      </c>
      <c r="O10" s="9">
        <f t="shared" si="5"/>
        <v>0</v>
      </c>
      <c r="P10" s="9">
        <f t="shared" si="6"/>
        <v>24</v>
      </c>
      <c r="Q10" s="77">
        <f>IFERROR(VLOOKUP(Vaktplan!$A$48,Vaktplan!$AF$4:$CL$35,86-AJ63,FALSE),0)</f>
        <v>0</v>
      </c>
      <c r="R10" s="77">
        <f>IFERROR(VLOOKUP(Vaktplan!$A$48,Vaktplan!$AF$4:$CL$35,86-AI63,FALSE),0)</f>
        <v>0</v>
      </c>
      <c r="S10" s="9">
        <f>IFERROR(VLOOKUP(Vaktplan!$A$48,Vaktplan!$AF$4:$CL$35,89-$AJ63,FALSE),0)</f>
        <v>0</v>
      </c>
      <c r="T10" s="9">
        <f t="shared" si="0"/>
        <v>0</v>
      </c>
      <c r="U10" s="9">
        <f t="shared" si="7"/>
        <v>24</v>
      </c>
      <c r="V10" s="77">
        <f>IFERROR(VLOOKUP(Vaktplan!$A$48,Vaktplan!$AG$4:$CL$35,86-AK63,FALSE),0)</f>
        <v>0</v>
      </c>
      <c r="W10" s="77">
        <f>IFERROR(VLOOKUP(Vaktplan!$A$48,Vaktplan!$AG$4:$CL$35,86-AJ63,FALSE),0)</f>
        <v>0</v>
      </c>
      <c r="X10" s="9">
        <f>IFERROR(VLOOKUP(Vaktplan!$A$48,Vaktplan!$AG$4:$CL$35,89-$AK63,FALSE),0)</f>
        <v>0</v>
      </c>
      <c r="Y10" s="9">
        <f t="shared" si="8"/>
        <v>0</v>
      </c>
      <c r="Z10" s="9">
        <f t="shared" si="9"/>
        <v>24</v>
      </c>
      <c r="AA10" s="77">
        <f>IFERROR(VLOOKUP(Vaktplan!$A$48,Vaktplan!$AH$4:$CL$35,86-AL63,FALSE),0)</f>
        <v>0</v>
      </c>
      <c r="AB10" s="77">
        <f>IFERROR(VLOOKUP(Vaktplan!$A$48,Vaktplan!$AH$4:$CL$35,86-AK63,FALSE),0)</f>
        <v>0</v>
      </c>
      <c r="AC10" s="9">
        <f>IFERROR(VLOOKUP(Vaktplan!$A$48,Vaktplan!$AH$4:$CL$35,89-$AL63,FALSE),0)</f>
        <v>0</v>
      </c>
      <c r="AD10" s="9">
        <f t="shared" si="10"/>
        <v>0</v>
      </c>
      <c r="AE10" s="9">
        <f t="shared" si="11"/>
        <v>24</v>
      </c>
      <c r="AF10" s="77">
        <f>IFERROR(VLOOKUP(Vaktplan!$A$48,Vaktplan!$AI$4:$CL$35,86-AM63,FALSE),0)</f>
        <v>0</v>
      </c>
      <c r="AG10" s="77">
        <f>IFERROR(VLOOKUP(Vaktplan!$A$48,Vaktplan!$AI$4:$CL$35,86-AL63,FALSE),0)</f>
        <v>0</v>
      </c>
      <c r="AH10" s="9">
        <f>IFERROR(VLOOKUP(Vaktplan!$A$48,Vaktplan!$AI$4:$CL$35,89-$AM63,FALSE),0)</f>
        <v>0</v>
      </c>
      <c r="AI10" s="9">
        <f t="shared" si="12"/>
        <v>0</v>
      </c>
      <c r="AJ10" s="9">
        <f t="shared" si="13"/>
        <v>24</v>
      </c>
      <c r="AK10" s="9">
        <f t="shared" si="1"/>
        <v>0</v>
      </c>
      <c r="AL10" s="10">
        <f t="shared" si="14"/>
        <v>24</v>
      </c>
      <c r="AM10" s="10">
        <f t="shared" si="15"/>
        <v>0</v>
      </c>
    </row>
    <row r="11" spans="1:39" ht="13" x14ac:dyDescent="0.25">
      <c r="A11" s="7">
        <f>IF($M$1&gt;=6,6,0)</f>
        <v>6</v>
      </c>
      <c r="B11" s="77">
        <f>IFERROR(VLOOKUP(Vaktplan!$A$48,Vaktplan!$AJ$4:$CL$35,87-AH64,FALSE),0)</f>
        <v>0</v>
      </c>
      <c r="C11" s="77">
        <f>IFERROR(VLOOKUP(Vaktplan!$A$48,Vaktplan!$AJ$4:$CL$35,87-AG64,FALSE),0)</f>
        <v>0</v>
      </c>
      <c r="D11" s="9">
        <f>IFERROR(VLOOKUP(Vaktplan!$A$48,Vaktplan!$AJ$4:$CL$35,89-AG64,FALSE),0)</f>
        <v>0</v>
      </c>
      <c r="E11" s="9">
        <f t="shared" si="16"/>
        <v>0</v>
      </c>
      <c r="F11" s="9">
        <f t="shared" si="2"/>
        <v>24</v>
      </c>
      <c r="G11" s="77">
        <f>IFERROR(VLOOKUP(Vaktplan!$A$48,Vaktplan!$AK$4:$CL$35,86-AH64,FALSE),0)</f>
        <v>0</v>
      </c>
      <c r="H11" s="77">
        <f>IFERROR(VLOOKUP(Vaktplan!$A$48,Vaktplan!$AK$4:$CL$35,86-AG64,FALSE),0)</f>
        <v>0</v>
      </c>
      <c r="I11" s="9">
        <f>IFERROR(VLOOKUP(Vaktplan!$A$48,Vaktplan!$AK$4:$CL$35,89-$AH64,FALSE),0)</f>
        <v>0</v>
      </c>
      <c r="J11" s="9">
        <f t="shared" si="3"/>
        <v>0</v>
      </c>
      <c r="K11" s="9">
        <f t="shared" si="4"/>
        <v>24</v>
      </c>
      <c r="L11" s="77">
        <f>IFERROR(VLOOKUP(Vaktplan!$A$48,Vaktplan!$AL$4:$CL$35,86-AI64,FALSE),0)</f>
        <v>0</v>
      </c>
      <c r="M11" s="77">
        <f>IFERROR(VLOOKUP(Vaktplan!$A$48,Vaktplan!$AL$4:$CL$35,86-AH64,FALSE),0)</f>
        <v>0</v>
      </c>
      <c r="N11" s="9">
        <f>IFERROR(VLOOKUP(Vaktplan!$A$48,Vaktplan!$AL$4:$CL$35,89-$AI64,FALSE),0)</f>
        <v>0</v>
      </c>
      <c r="O11" s="9">
        <f t="shared" si="5"/>
        <v>0</v>
      </c>
      <c r="P11" s="9">
        <f t="shared" si="6"/>
        <v>24</v>
      </c>
      <c r="Q11" s="77">
        <f>IFERROR(VLOOKUP(Vaktplan!$A$48,Vaktplan!$AM$4:$CL$35,86-AJ64,FALSE),0)</f>
        <v>0</v>
      </c>
      <c r="R11" s="77">
        <f>IFERROR(VLOOKUP(Vaktplan!$A$48,Vaktplan!$AM$4:$CL$35,86-AI64,FALSE),0)</f>
        <v>0</v>
      </c>
      <c r="S11" s="9">
        <f>IFERROR(VLOOKUP(Vaktplan!$A$48,Vaktplan!$AM$4:$CL$35,89-$AJ64,FALSE),0)</f>
        <v>0</v>
      </c>
      <c r="T11" s="9">
        <f t="shared" si="0"/>
        <v>0</v>
      </c>
      <c r="U11" s="9">
        <f t="shared" si="7"/>
        <v>24</v>
      </c>
      <c r="V11" s="77">
        <f>IFERROR(VLOOKUP(Vaktplan!$A$48,Vaktplan!$AN$4:$CL$35,86-AK64,FALSE),0)</f>
        <v>0</v>
      </c>
      <c r="W11" s="77">
        <f>IFERROR(VLOOKUP(Vaktplan!$A$48,Vaktplan!$AN$4:$CL$35,86-AJ64,FALSE),0)</f>
        <v>0</v>
      </c>
      <c r="X11" s="9">
        <f>IFERROR(VLOOKUP(Vaktplan!$A$48,Vaktplan!$AN$4:$CL$35,89-$AK64,FALSE),0)</f>
        <v>0</v>
      </c>
      <c r="Y11" s="9">
        <f t="shared" si="8"/>
        <v>0</v>
      </c>
      <c r="Z11" s="9">
        <f t="shared" si="9"/>
        <v>24</v>
      </c>
      <c r="AA11" s="77">
        <f>IFERROR(VLOOKUP(Vaktplan!$A$48,Vaktplan!$AO$4:$CL$35,86-AL64,FALSE),0)</f>
        <v>0</v>
      </c>
      <c r="AB11" s="77">
        <f>IFERROR(VLOOKUP(Vaktplan!$A$48,Vaktplan!$AO$4:$CL$35,86-AK64,FALSE),0)</f>
        <v>0</v>
      </c>
      <c r="AC11" s="9">
        <f>IFERROR(VLOOKUP(Vaktplan!$A$48,Vaktplan!$AO$4:$CL$35,89-$AL64,FALSE),0)</f>
        <v>0</v>
      </c>
      <c r="AD11" s="9">
        <f t="shared" si="10"/>
        <v>0</v>
      </c>
      <c r="AE11" s="9">
        <f t="shared" si="11"/>
        <v>24</v>
      </c>
      <c r="AF11" s="77">
        <f>IFERROR(VLOOKUP(Vaktplan!$A$48,Vaktplan!$AP$4:$CL$35,86-AM64,FALSE),0)</f>
        <v>0</v>
      </c>
      <c r="AG11" s="77">
        <f>IFERROR(VLOOKUP(Vaktplan!$A$48,Vaktplan!$AP$4:$CL$35,86-AL64,FALSE),0)</f>
        <v>0</v>
      </c>
      <c r="AH11" s="9">
        <f>IFERROR(VLOOKUP(Vaktplan!$A$48,Vaktplan!$AP$4:$CL$35,89-$AM64,FALSE),0)</f>
        <v>0</v>
      </c>
      <c r="AI11" s="9">
        <f t="shared" si="12"/>
        <v>0</v>
      </c>
      <c r="AJ11" s="9">
        <f t="shared" si="13"/>
        <v>24</v>
      </c>
      <c r="AK11" s="9">
        <f t="shared" si="1"/>
        <v>0</v>
      </c>
      <c r="AL11" s="10">
        <f t="shared" si="14"/>
        <v>24</v>
      </c>
      <c r="AM11" s="10">
        <f t="shared" si="15"/>
        <v>0</v>
      </c>
    </row>
    <row r="12" spans="1:39" ht="13" x14ac:dyDescent="0.25">
      <c r="A12" s="7">
        <f>IF($M$1&gt;=7,7,0)</f>
        <v>7</v>
      </c>
      <c r="B12" s="77">
        <f>IFERROR(VLOOKUP(Vaktplan!$A$48,Vaktplan!$AQ$4:$CL$35,87-AH65,FALSE),0)</f>
        <v>0</v>
      </c>
      <c r="C12" s="77">
        <f>IFERROR(VLOOKUP(Vaktplan!$A$48,Vaktplan!$AQ$4:$CL$35,87-AG65,FALSE),0)</f>
        <v>0</v>
      </c>
      <c r="D12" s="9">
        <f>IFERROR(VLOOKUP(Vaktplan!$A$48,Vaktplan!$AQ$4:$CL$35,89-AG65,FALSE),0)</f>
        <v>0</v>
      </c>
      <c r="E12" s="9">
        <f t="shared" si="16"/>
        <v>0</v>
      </c>
      <c r="F12" s="9">
        <f t="shared" si="2"/>
        <v>24</v>
      </c>
      <c r="G12" s="77">
        <f>IFERROR(VLOOKUP(Vaktplan!$A$48,Vaktplan!$AR$4:$CL$35,86-AH65,FALSE),0)</f>
        <v>0</v>
      </c>
      <c r="H12" s="77">
        <f>IFERROR(VLOOKUP(Vaktplan!$A$48,Vaktplan!$AR$4:$CL$35,86-AG65,FALSE),0)</f>
        <v>0</v>
      </c>
      <c r="I12" s="9">
        <f>IFERROR(VLOOKUP(Vaktplan!$A$48,Vaktplan!$AR$4:$CL$35,89-$AH65,FALSE),0)</f>
        <v>0</v>
      </c>
      <c r="J12" s="9">
        <f t="shared" si="3"/>
        <v>0</v>
      </c>
      <c r="K12" s="9">
        <f t="shared" si="4"/>
        <v>24</v>
      </c>
      <c r="L12" s="77">
        <f>IFERROR(VLOOKUP(Vaktplan!$A$48,Vaktplan!$AS$4:$CL$35,86-AI65,FALSE),0)</f>
        <v>0</v>
      </c>
      <c r="M12" s="77">
        <f>IFERROR(VLOOKUP(Vaktplan!$A$48,Vaktplan!$AS$4:$CL$35,86-AH65,FALSE),0)</f>
        <v>0</v>
      </c>
      <c r="N12" s="9">
        <f>IFERROR(VLOOKUP(Vaktplan!$A$48,Vaktplan!$AS$4:$CL$35,89-$AI65,FALSE),0)</f>
        <v>0</v>
      </c>
      <c r="O12" s="9">
        <f t="shared" si="5"/>
        <v>0</v>
      </c>
      <c r="P12" s="9">
        <f t="shared" si="6"/>
        <v>24</v>
      </c>
      <c r="Q12" s="77">
        <f>IFERROR(VLOOKUP(Vaktplan!$A$48,Vaktplan!$AT$4:$CL$35,86-AJ65,FALSE),0)</f>
        <v>0</v>
      </c>
      <c r="R12" s="77">
        <f>IFERROR(VLOOKUP(Vaktplan!$A$48,Vaktplan!$AT$4:$CL$35,86-AI65,FALSE),0)</f>
        <v>0</v>
      </c>
      <c r="S12" s="9">
        <f>IFERROR(VLOOKUP(Vaktplan!$A$48,Vaktplan!$AT$4:$CL$35,89-$AJ65,FALSE),0)</f>
        <v>0</v>
      </c>
      <c r="T12" s="9">
        <f t="shared" si="0"/>
        <v>0</v>
      </c>
      <c r="U12" s="9">
        <f t="shared" si="7"/>
        <v>24</v>
      </c>
      <c r="V12" s="77">
        <f>IFERROR(VLOOKUP(Vaktplan!$A$48,Vaktplan!$AU$4:$CL$35,86-AK65,FALSE),0)</f>
        <v>0</v>
      </c>
      <c r="W12" s="77">
        <f>IFERROR(VLOOKUP(Vaktplan!$A$48,Vaktplan!$AU$4:$CL$35,86-AJ65,FALSE),0)</f>
        <v>0</v>
      </c>
      <c r="X12" s="9">
        <f>IFERROR(VLOOKUP(Vaktplan!$A$48,Vaktplan!$AU$4:$CL$35,89-$AK65,FALSE),0)</f>
        <v>0</v>
      </c>
      <c r="Y12" s="9">
        <f t="shared" si="8"/>
        <v>0</v>
      </c>
      <c r="Z12" s="9">
        <f t="shared" si="9"/>
        <v>24</v>
      </c>
      <c r="AA12" s="77">
        <f>IFERROR(VLOOKUP(Vaktplan!$A$48,Vaktplan!$AV$4:$CL$35,86-AL65,FALSE),0)</f>
        <v>0</v>
      </c>
      <c r="AB12" s="77">
        <f>IFERROR(VLOOKUP(Vaktplan!$A$48,Vaktplan!$AV$4:$CL$35,86-AK65,FALSE),0)</f>
        <v>0</v>
      </c>
      <c r="AC12" s="9">
        <f>IFERROR(VLOOKUP(Vaktplan!$A$48,Vaktplan!$AV$4:$CL$35,89-$AL65,FALSE),0)</f>
        <v>0</v>
      </c>
      <c r="AD12" s="9">
        <f t="shared" si="10"/>
        <v>0</v>
      </c>
      <c r="AE12" s="9">
        <f t="shared" si="11"/>
        <v>24</v>
      </c>
      <c r="AF12" s="77">
        <f>IFERROR(VLOOKUP(Vaktplan!$A$48,Vaktplan!$AW$4:$CL$35,86-AM65,FALSE),0)</f>
        <v>0</v>
      </c>
      <c r="AG12" s="77">
        <f>IFERROR(VLOOKUP(Vaktplan!$A$48,Vaktplan!$AW$4:$CL$35,86-AL65,FALSE),0)</f>
        <v>0</v>
      </c>
      <c r="AH12" s="9">
        <f>IFERROR(VLOOKUP(Vaktplan!$A$48,Vaktplan!$AW$4:$CL$35,89-$AM65,FALSE),0)</f>
        <v>0</v>
      </c>
      <c r="AI12" s="9">
        <f t="shared" si="12"/>
        <v>0</v>
      </c>
      <c r="AJ12" s="9">
        <f t="shared" si="13"/>
        <v>24</v>
      </c>
      <c r="AK12" s="9">
        <f t="shared" si="1"/>
        <v>0</v>
      </c>
      <c r="AL12" s="10">
        <f t="shared" si="14"/>
        <v>24</v>
      </c>
      <c r="AM12" s="10">
        <f t="shared" si="15"/>
        <v>0</v>
      </c>
    </row>
    <row r="13" spans="1:39" ht="13" x14ac:dyDescent="0.25">
      <c r="A13" s="7">
        <f>IF($M$1&gt;=8,8,0)</f>
        <v>8</v>
      </c>
      <c r="B13" s="77">
        <f>IFERROR(VLOOKUP(Vaktplan!$A$48,Vaktplan!$AX$4:$CL$35,87-AH66,FALSE),0)</f>
        <v>0</v>
      </c>
      <c r="C13" s="77">
        <f>IFERROR(VLOOKUP(Vaktplan!$A$48,Vaktplan!$AX$4:$CL$35,87-AG66,FALSE),0)</f>
        <v>0</v>
      </c>
      <c r="D13" s="9">
        <f>IFERROR(VLOOKUP(Vaktplan!$A$48,Vaktplan!$AX$4:$CL$35,89-AG66,FALSE),0)</f>
        <v>0</v>
      </c>
      <c r="E13" s="9">
        <f t="shared" si="16"/>
        <v>0</v>
      </c>
      <c r="F13" s="9">
        <f t="shared" si="2"/>
        <v>24</v>
      </c>
      <c r="G13" s="77">
        <f>IFERROR(VLOOKUP(Vaktplan!$A$48,Vaktplan!$AY$4:$CL$35,86-AH66,FALSE),0)</f>
        <v>0</v>
      </c>
      <c r="H13" s="77">
        <f>IFERROR(VLOOKUP(Vaktplan!$A$48,Vaktplan!$AY$4:$CL$35,86-AG66,FALSE),0)</f>
        <v>0</v>
      </c>
      <c r="I13" s="9">
        <f>IFERROR(VLOOKUP(Vaktplan!$A$48,Vaktplan!$AY$4:$CL$35,89-$AH66,FALSE),0)</f>
        <v>0</v>
      </c>
      <c r="J13" s="9">
        <f t="shared" si="3"/>
        <v>0</v>
      </c>
      <c r="K13" s="9">
        <f t="shared" si="4"/>
        <v>24</v>
      </c>
      <c r="L13" s="77">
        <f>IFERROR(VLOOKUP(Vaktplan!$A$48,Vaktplan!$AZ$4:$CL$35,86-AI66,FALSE),0)</f>
        <v>0</v>
      </c>
      <c r="M13" s="77">
        <f>IFERROR(VLOOKUP(Vaktplan!$A$48,Vaktplan!$AZ$4:$CL$35,86-AH66,FALSE),0)</f>
        <v>0</v>
      </c>
      <c r="N13" s="9">
        <f>IFERROR(VLOOKUP(Vaktplan!$A$48,Vaktplan!$AZ$4:$CL$35,89-$AI66,FALSE),0)</f>
        <v>0</v>
      </c>
      <c r="O13" s="9">
        <f t="shared" si="5"/>
        <v>0</v>
      </c>
      <c r="P13" s="9">
        <f t="shared" si="6"/>
        <v>24</v>
      </c>
      <c r="Q13" s="77">
        <f>IFERROR(VLOOKUP(Vaktplan!$A$48,Vaktplan!$BA$4:$CL$35,86-AJ66,FALSE),0)</f>
        <v>0</v>
      </c>
      <c r="R13" s="77">
        <f>IFERROR(VLOOKUP(Vaktplan!$A$48,Vaktplan!$BA$4:$CL$35,86-AI66,FALSE),0)</f>
        <v>0</v>
      </c>
      <c r="S13" s="9">
        <f>IFERROR(VLOOKUP(Vaktplan!$A$48,Vaktplan!$BA$4:$CL$35,89-$AJ66,FALSE),0)</f>
        <v>0</v>
      </c>
      <c r="T13" s="9">
        <f t="shared" si="0"/>
        <v>0</v>
      </c>
      <c r="U13" s="9">
        <f t="shared" si="7"/>
        <v>24</v>
      </c>
      <c r="V13" s="77">
        <f>IFERROR(VLOOKUP(Vaktplan!$A$48,Vaktplan!$BB$4:$CL$35,86-AK66,FALSE),0)</f>
        <v>0</v>
      </c>
      <c r="W13" s="77">
        <f>IFERROR(VLOOKUP(Vaktplan!$A$48,Vaktplan!$BB$4:$CL$35,86-AJ66,FALSE),0)</f>
        <v>0</v>
      </c>
      <c r="X13" s="9">
        <f>IFERROR(VLOOKUP(Vaktplan!$A$48,Vaktplan!$BB$4:$CL$35,89-$AK66,FALSE),0)</f>
        <v>0</v>
      </c>
      <c r="Y13" s="9">
        <f t="shared" si="8"/>
        <v>0</v>
      </c>
      <c r="Z13" s="9">
        <f t="shared" si="9"/>
        <v>24</v>
      </c>
      <c r="AA13" s="77">
        <f>IFERROR(VLOOKUP(Vaktplan!$A$48,Vaktplan!$BC$4:$CL$35,86-AL66,FALSE),0)</f>
        <v>0</v>
      </c>
      <c r="AB13" s="77">
        <f>IFERROR(VLOOKUP(Vaktplan!$A$48,Vaktplan!$BC$4:$CL$35,86-AK66,FALSE),0)</f>
        <v>0</v>
      </c>
      <c r="AC13" s="9">
        <f>IFERROR(VLOOKUP(Vaktplan!$A$48,Vaktplan!$BC$4:$CL$35,89-$AL66,FALSE),0)</f>
        <v>0</v>
      </c>
      <c r="AD13" s="9">
        <f t="shared" si="10"/>
        <v>0</v>
      </c>
      <c r="AE13" s="9">
        <f t="shared" si="11"/>
        <v>24</v>
      </c>
      <c r="AF13" s="77">
        <f>IFERROR(VLOOKUP(Vaktplan!$A$48,Vaktplan!$BD$4:$CL$35,86-AM66,FALSE),0)</f>
        <v>0</v>
      </c>
      <c r="AG13" s="77">
        <f>IFERROR(VLOOKUP(Vaktplan!$A$48,Vaktplan!$BD$4:$CL$35,86-AL66,FALSE),0)</f>
        <v>0</v>
      </c>
      <c r="AH13" s="9">
        <f>IFERROR(VLOOKUP(Vaktplan!$A$48,Vaktplan!$BD$4:$CL$35,89-$AM66,FALSE),0)</f>
        <v>0</v>
      </c>
      <c r="AI13" s="9">
        <f t="shared" si="12"/>
        <v>0</v>
      </c>
      <c r="AJ13" s="9">
        <f t="shared" si="13"/>
        <v>24</v>
      </c>
      <c r="AK13" s="9">
        <f t="shared" si="1"/>
        <v>0</v>
      </c>
      <c r="AL13" s="10">
        <f t="shared" si="14"/>
        <v>24</v>
      </c>
      <c r="AM13" s="10">
        <f t="shared" si="15"/>
        <v>0</v>
      </c>
    </row>
    <row r="14" spans="1:39" ht="13" x14ac:dyDescent="0.25">
      <c r="A14" s="7">
        <v>9</v>
      </c>
      <c r="B14" s="77">
        <f>IFERROR(VLOOKUP(Vaktplan!$A$48,Vaktplan!$BE$4:$CL$35,87-AH67,FALSE),0)</f>
        <v>0</v>
      </c>
      <c r="C14" s="77">
        <f>IFERROR(VLOOKUP(Vaktplan!$A$48,Vaktplan!$BE$4:$CL$35,87-AG67,FALSE),0)</f>
        <v>0</v>
      </c>
      <c r="D14" s="9">
        <f>IFERROR(VLOOKUP(Vaktplan!$A$48,Vaktplan!$BE$4:$CL$35,89-AG67,FALSE),0)</f>
        <v>0</v>
      </c>
      <c r="E14" s="9">
        <f t="shared" si="16"/>
        <v>0</v>
      </c>
      <c r="F14" s="9">
        <f t="shared" si="2"/>
        <v>24</v>
      </c>
      <c r="G14" s="77">
        <f>IFERROR(VLOOKUP(Vaktplan!$A$48,Vaktplan!$BF$4:$CL$35,86-AH67,FALSE),0)</f>
        <v>0</v>
      </c>
      <c r="H14" s="77">
        <f>IFERROR(VLOOKUP(Vaktplan!$A$48,Vaktplan!$BF$4:$CL$35,86-AG67,FALSE),0)</f>
        <v>0</v>
      </c>
      <c r="I14" s="9">
        <f>IFERROR(VLOOKUP(Vaktplan!$A$48,Vaktplan!$BF$4:$CL$35,89-$AH67,FALSE),0)</f>
        <v>0</v>
      </c>
      <c r="J14" s="9">
        <f t="shared" si="3"/>
        <v>0</v>
      </c>
      <c r="K14" s="9">
        <f t="shared" si="4"/>
        <v>24</v>
      </c>
      <c r="L14" s="77">
        <f>IFERROR(VLOOKUP(Vaktplan!$A$48,Vaktplan!$BG$4:$CL$35,86-AI67,FALSE),0)</f>
        <v>0</v>
      </c>
      <c r="M14" s="77">
        <f>IFERROR(VLOOKUP(Vaktplan!$A$48,Vaktplan!$BG$4:$CL$35,86-AH67,FALSE),0)</f>
        <v>0</v>
      </c>
      <c r="N14" s="9">
        <f>IFERROR(VLOOKUP(Vaktplan!$A$48,Vaktplan!$BG$4:$CL$35,89-$AI67,FALSE),0)</f>
        <v>0</v>
      </c>
      <c r="O14" s="9">
        <f t="shared" si="5"/>
        <v>0</v>
      </c>
      <c r="P14" s="9">
        <f t="shared" si="6"/>
        <v>24</v>
      </c>
      <c r="Q14" s="77">
        <f>IFERROR(VLOOKUP(Vaktplan!$A$48,Vaktplan!$BH$4:$CL$35,86-AJ67,FALSE),0)</f>
        <v>0</v>
      </c>
      <c r="R14" s="77">
        <f>IFERROR(VLOOKUP(Vaktplan!$A$48,Vaktplan!$BH$4:$CL$35,86-AI67,FALSE),0)</f>
        <v>0</v>
      </c>
      <c r="S14" s="9">
        <f>IFERROR(VLOOKUP(Vaktplan!$A$48,Vaktplan!$BH$4:$CL$35,89-$AJ67,FALSE),0)</f>
        <v>0</v>
      </c>
      <c r="T14" s="9">
        <f t="shared" si="0"/>
        <v>0</v>
      </c>
      <c r="U14" s="9">
        <f t="shared" si="7"/>
        <v>24</v>
      </c>
      <c r="V14" s="77">
        <f>IFERROR(VLOOKUP(Vaktplan!$A$48,Vaktplan!$BI$4:$CL$35,86-AK67,FALSE),0)</f>
        <v>0</v>
      </c>
      <c r="W14" s="77">
        <f>IFERROR(VLOOKUP(Vaktplan!$A$48,Vaktplan!$BI$4:$CL$35,86-AJ67,FALSE),0)</f>
        <v>0</v>
      </c>
      <c r="X14" s="9">
        <f>IFERROR(VLOOKUP(Vaktplan!$A$48,Vaktplan!$BI$4:$CL$35,89-$AK67,FALSE),0)</f>
        <v>0</v>
      </c>
      <c r="Y14" s="9">
        <f>IF(AND(V14=0,W14=0),0,IF(V14&lt;W14,((W14-V14)*24)-X14,(((1-V14)+W14)*24)-X14))</f>
        <v>0</v>
      </c>
      <c r="Z14" s="9">
        <f t="shared" si="9"/>
        <v>24</v>
      </c>
      <c r="AA14" s="77">
        <f>IFERROR(VLOOKUP(Vaktplan!$A$48,Vaktplan!$BJ$4:$CL$35,86-AL67,FALSE),0)</f>
        <v>0</v>
      </c>
      <c r="AB14" s="77">
        <f>IFERROR(VLOOKUP(Vaktplan!$A$48,Vaktplan!$BJ$4:$CL$35,86-AK67,FALSE),0)</f>
        <v>0</v>
      </c>
      <c r="AC14" s="9">
        <f>IFERROR(VLOOKUP(Vaktplan!$A$48,Vaktplan!$BJ$4:$CL$35,89-$AL67,FALSE),0)</f>
        <v>0</v>
      </c>
      <c r="AD14" s="9">
        <f>IF(AND(AA14=0,AB14=0),0,IF(AA14&lt;AB14,((AB14-AA14)*24)-AC14,(((1-AA14)+AB14)*24)-AC14))</f>
        <v>0</v>
      </c>
      <c r="AE14" s="9">
        <f t="shared" si="11"/>
        <v>24</v>
      </c>
      <c r="AF14" s="77">
        <f>IFERROR(VLOOKUP(Vaktplan!$A$48,Vaktplan!$BK$4:$CL$35,86-AM67,FALSE),0)</f>
        <v>0</v>
      </c>
      <c r="AG14" s="77">
        <f>IFERROR(VLOOKUP(Vaktplan!$A$48,Vaktplan!$BK$4:$CL$35,86-AL67,FALSE),0)</f>
        <v>0</v>
      </c>
      <c r="AH14" s="9">
        <f>IFERROR(VLOOKUP(Vaktplan!$A$48,Vaktplan!$BK$4:$CL$35,89-$AM67,FALSE),0)</f>
        <v>0</v>
      </c>
      <c r="AI14" s="9">
        <f>IF(AND(AF14=0,AG14=0),0,IF(AF14&lt;AG14,((AG14-AF14)*24)-AH14,(((1-AF14)+AG14)*24)-AH14))</f>
        <v>0</v>
      </c>
      <c r="AJ14" s="9">
        <f t="shared" si="13"/>
        <v>24</v>
      </c>
      <c r="AK14" s="9">
        <f t="shared" si="1"/>
        <v>0</v>
      </c>
      <c r="AL14" s="10"/>
      <c r="AM14" s="10"/>
    </row>
    <row r="15" spans="1:39" ht="13" x14ac:dyDescent="0.25">
      <c r="A15" s="7">
        <v>10</v>
      </c>
      <c r="B15" s="77">
        <f>IFERROR(VLOOKUP(Vaktplan!$A$48,Vaktplan!$BL$4:$CL$35,87-AH68,FALSE),0)</f>
        <v>0</v>
      </c>
      <c r="C15" s="77">
        <f>IFERROR(VLOOKUP(Vaktplan!$A$48,Vaktplan!$BL$4:$CL$35,87-AG68,FALSE),0)</f>
        <v>0</v>
      </c>
      <c r="D15" s="9">
        <f>IFERROR(VLOOKUP(Vaktplan!$A$48,Vaktplan!$BL$4:$CL$35,89-AG68,FALSE),0)</f>
        <v>0</v>
      </c>
      <c r="E15" s="9">
        <f t="shared" si="16"/>
        <v>0</v>
      </c>
      <c r="F15" s="9">
        <f t="shared" si="2"/>
        <v>24</v>
      </c>
      <c r="G15" s="77">
        <f>IFERROR(VLOOKUP(Vaktplan!$A$48,Vaktplan!$BM$4:$CL$35,86-AH68,FALSE),0)</f>
        <v>0</v>
      </c>
      <c r="H15" s="77">
        <f>IFERROR(VLOOKUP(Vaktplan!$A$48,Vaktplan!$BM$4:$CL$35,86-AG68,FALSE),0)</f>
        <v>0</v>
      </c>
      <c r="I15" s="9">
        <f>IFERROR(VLOOKUP(Vaktplan!$A$48,Vaktplan!$BM$4:$CL$35,89-$AH68,FALSE),0)</f>
        <v>0</v>
      </c>
      <c r="J15" s="9">
        <f t="shared" si="3"/>
        <v>0</v>
      </c>
      <c r="K15" s="9">
        <f t="shared" si="4"/>
        <v>24</v>
      </c>
      <c r="L15" s="77">
        <f>IFERROR(VLOOKUP(Vaktplan!$A$48,Vaktplan!$BN$4:$CL$35,86-AI68,FALSE),0)</f>
        <v>0</v>
      </c>
      <c r="M15" s="77">
        <f>IFERROR(VLOOKUP(Vaktplan!$A$48,Vaktplan!$BN$4:$CL$35,86-AH68,FALSE),0)</f>
        <v>0</v>
      </c>
      <c r="N15" s="9">
        <f>IFERROR(VLOOKUP(Vaktplan!$A$48,Vaktplan!$BN$4:$CL$35,89-$AI68,FALSE),0)</f>
        <v>0</v>
      </c>
      <c r="O15" s="9">
        <f t="shared" si="5"/>
        <v>0</v>
      </c>
      <c r="P15" s="9">
        <f t="shared" si="6"/>
        <v>24</v>
      </c>
      <c r="Q15" s="77">
        <f>IFERROR(VLOOKUP(Vaktplan!$A$48,Vaktplan!$BO$4:$CL$35,86-AJ68,FALSE),0)</f>
        <v>0</v>
      </c>
      <c r="R15" s="77">
        <f>IFERROR(VLOOKUP(Vaktplan!$A$48,Vaktplan!$BO$4:$CL$35,86-AI68,FALSE),0)</f>
        <v>0</v>
      </c>
      <c r="S15" s="9">
        <f>IFERROR(VLOOKUP(Vaktplan!$A$48,Vaktplan!$BO$4:$CL$35,89-$AJ68,FALSE),0)</f>
        <v>0</v>
      </c>
      <c r="T15" s="9">
        <f t="shared" si="0"/>
        <v>0</v>
      </c>
      <c r="U15" s="9">
        <f t="shared" si="7"/>
        <v>24</v>
      </c>
      <c r="V15" s="77">
        <f>IFERROR(VLOOKUP(Vaktplan!$A$48,Vaktplan!$BP$4:$CL$35,86-AK68,FALSE),0)</f>
        <v>0</v>
      </c>
      <c r="W15" s="77">
        <f>IFERROR(VLOOKUP(Vaktplan!$A$48,Vaktplan!$BP$4:$CL$35,86-AJ68,FALSE),0)</f>
        <v>0</v>
      </c>
      <c r="X15" s="9">
        <f>IFERROR(VLOOKUP(Vaktplan!$A$48,Vaktplan!$BP$4:$CL$35,89-$AK68,FALSE),0)</f>
        <v>0</v>
      </c>
      <c r="Y15" s="9">
        <f>IF(AND(V15=0,W15=0),0,IF(V15&lt;W15,((W15-V15)*24)-X15,(((1-V15)+W15)*24)-X15))</f>
        <v>0</v>
      </c>
      <c r="Z15" s="9">
        <f t="shared" si="9"/>
        <v>24</v>
      </c>
      <c r="AA15" s="77">
        <f>IFERROR(VLOOKUP(Vaktplan!$A$48,Vaktplan!$BQ$4:$CL$35,86-AL68,FALSE),0)</f>
        <v>0</v>
      </c>
      <c r="AB15" s="77">
        <f>IFERROR(VLOOKUP(Vaktplan!$A$48,Vaktplan!$BQ$4:$CL$35,86-AK68,FALSE),0)</f>
        <v>0</v>
      </c>
      <c r="AC15" s="9">
        <f>IFERROR(VLOOKUP(Vaktplan!$A$48,Vaktplan!$BQ$4:$CL$35,89-$AL68,FALSE),0)</f>
        <v>0</v>
      </c>
      <c r="AD15" s="9">
        <f>IF(AND(AA15=0,AB15=0),0,IF(AA15&lt;AB15,((AB15-AA15)*24)-AC15,(((1-AA15)+AB15)*24)-AC15))</f>
        <v>0</v>
      </c>
      <c r="AE15" s="9">
        <f t="shared" si="11"/>
        <v>24</v>
      </c>
      <c r="AF15" s="77">
        <f>IFERROR(VLOOKUP(Vaktplan!$A$48,Vaktplan!$BR$4:$CL$35,86-AM68,FALSE),0)</f>
        <v>0</v>
      </c>
      <c r="AG15" s="77">
        <f>IFERROR(VLOOKUP(Vaktplan!$A$48,Vaktplan!$BR$4:$CL$35,86-AL68,FALSE),0)</f>
        <v>0</v>
      </c>
      <c r="AH15" s="9">
        <f>IFERROR(VLOOKUP(Vaktplan!$A$48,Vaktplan!$BR$4:$CL$35,89-$AM68,FALSE),0)</f>
        <v>0</v>
      </c>
      <c r="AI15" s="9">
        <f>IF(AND(AF15=0,AG15=0),0,IF(AF15&lt;AG15,((AG15-AF15)*24)-AH15,(((1-AF15)+AG15)*24)-AH15))</f>
        <v>0</v>
      </c>
      <c r="AJ15" s="9">
        <f t="shared" si="13"/>
        <v>24</v>
      </c>
      <c r="AK15" s="9">
        <f t="shared" si="1"/>
        <v>0</v>
      </c>
      <c r="AL15" s="10"/>
      <c r="AM15" s="10"/>
    </row>
    <row r="16" spans="1:39" ht="13" x14ac:dyDescent="0.25">
      <c r="A16" s="7">
        <v>11</v>
      </c>
      <c r="B16" s="77">
        <f>IFERROR(VLOOKUP(Vaktplan!$A$48,Vaktplan!$BS$4:$CL$35,87-AH69,FALSE),0)</f>
        <v>0</v>
      </c>
      <c r="C16" s="77">
        <f>IFERROR(VLOOKUP(Vaktplan!$A$48,Vaktplan!$BS$4:$CL$35,87-AG69,FALSE),0)</f>
        <v>0</v>
      </c>
      <c r="D16" s="9">
        <f>IFERROR(VLOOKUP(Vaktplan!$A$48,Vaktplan!$BS$4:$CL$35,89-AG69,FALSE),0)</f>
        <v>0</v>
      </c>
      <c r="E16" s="9">
        <f t="shared" si="16"/>
        <v>0</v>
      </c>
      <c r="F16" s="9">
        <f t="shared" si="2"/>
        <v>24</v>
      </c>
      <c r="G16" s="77">
        <f>IFERROR(VLOOKUP(Vaktplan!$A$48,Vaktplan!$BT$4:$CL$35,86-AH69,FALSE),0)</f>
        <v>0</v>
      </c>
      <c r="H16" s="77">
        <f>IFERROR(VLOOKUP(Vaktplan!$A$48,Vaktplan!$BT$4:$CL$35,86-AG69,FALSE),0)</f>
        <v>0</v>
      </c>
      <c r="I16" s="9">
        <f>IFERROR(VLOOKUP(Vaktplan!$A$48,Vaktplan!$BT$4:$CL$35,89-$AH69,FALSE),0)</f>
        <v>0</v>
      </c>
      <c r="J16" s="9">
        <f t="shared" si="3"/>
        <v>0</v>
      </c>
      <c r="K16" s="9">
        <f t="shared" si="4"/>
        <v>24</v>
      </c>
      <c r="L16" s="77">
        <f>IFERROR(VLOOKUP(Vaktplan!$A$48,Vaktplan!$BU$4:$CL$35,86-AI69,FALSE),0)</f>
        <v>0</v>
      </c>
      <c r="M16" s="77">
        <f>IFERROR(VLOOKUP(Vaktplan!$A$48,Vaktplan!$BU$4:$CL$35,86-AH69,FALSE),0)</f>
        <v>0</v>
      </c>
      <c r="N16" s="9">
        <f>IFERROR(VLOOKUP(Vaktplan!$A$48,Vaktplan!$BU$4:$CL$35,89-$AI69,FALSE),0)</f>
        <v>0</v>
      </c>
      <c r="O16" s="9">
        <f t="shared" si="5"/>
        <v>0</v>
      </c>
      <c r="P16" s="9">
        <f t="shared" si="6"/>
        <v>24</v>
      </c>
      <c r="Q16" s="77">
        <f>IFERROR(VLOOKUP(Vaktplan!$A$48,Vaktplan!$BV$4:$CL$35,86-AJ69,FALSE),0)</f>
        <v>0</v>
      </c>
      <c r="R16" s="77">
        <f>IFERROR(VLOOKUP(Vaktplan!$A$48,Vaktplan!$BV$4:$CL$35,86-AI69,FALSE),0)</f>
        <v>0</v>
      </c>
      <c r="S16" s="9">
        <f>IFERROR(VLOOKUP(Vaktplan!$A$48,Vaktplan!$BV$4:$CL$35,89-$AJ69,FALSE),0)</f>
        <v>0</v>
      </c>
      <c r="T16" s="9">
        <f t="shared" si="0"/>
        <v>0</v>
      </c>
      <c r="U16" s="9">
        <f t="shared" si="7"/>
        <v>24</v>
      </c>
      <c r="V16" s="77">
        <f>IFERROR(VLOOKUP(Vaktplan!$A$48,Vaktplan!$BW$4:$CL$35,86-AK69,FALSE),0)</f>
        <v>0</v>
      </c>
      <c r="W16" s="77">
        <f>IFERROR(VLOOKUP(Vaktplan!$A$48,Vaktplan!$BW$4:$CL$35,86-AJ69,FALSE),0)</f>
        <v>0</v>
      </c>
      <c r="X16" s="9">
        <f>IFERROR(VLOOKUP(Vaktplan!$A$48,Vaktplan!$BW$4:$CL$35,89-$AK69,FALSE),0)</f>
        <v>0</v>
      </c>
      <c r="Y16" s="9">
        <f>IF(AND(V16=0,W16=0),0,IF(V16&lt;W16,((W16-V16)*24)-X16,(((1-V16)+W16)*24)-X16))</f>
        <v>0</v>
      </c>
      <c r="Z16" s="9">
        <f t="shared" si="9"/>
        <v>24</v>
      </c>
      <c r="AA16" s="77">
        <f>IFERROR(VLOOKUP(Vaktplan!$A$48,Vaktplan!$BX$4:$CL$35,86-AL69,FALSE),0)</f>
        <v>0</v>
      </c>
      <c r="AB16" s="77">
        <f>IFERROR(VLOOKUP(Vaktplan!$A$48,Vaktplan!$BX$4:$CL$35,86-AK69,FALSE),0)</f>
        <v>0</v>
      </c>
      <c r="AC16" s="9">
        <f>IFERROR(VLOOKUP(Vaktplan!$A$48,Vaktplan!$BX$4:$CL$35,89-$AL69,FALSE),0)</f>
        <v>0</v>
      </c>
      <c r="AD16" s="9">
        <f>IF(AND(AA16=0,AB16=0),0,IF(AA16&lt;AB16,((AB16-AA16)*24)-AC16,(((1-AA16)+AB16)*24)-AC16))</f>
        <v>0</v>
      </c>
      <c r="AE16" s="9">
        <f t="shared" si="11"/>
        <v>24</v>
      </c>
      <c r="AF16" s="77">
        <f>IFERROR(VLOOKUP(Vaktplan!$A$48,Vaktplan!$BY$4:$CL$35,86-AM69,FALSE),0)</f>
        <v>0</v>
      </c>
      <c r="AG16" s="77">
        <f>IFERROR(VLOOKUP(Vaktplan!$A$48,Vaktplan!$BY$4:$CL$35,86-AL69,FALSE),0)</f>
        <v>0</v>
      </c>
      <c r="AH16" s="9">
        <f>IFERROR(VLOOKUP(Vaktplan!$A$48,Vaktplan!$BY$4:$CL$35,89-$AM69,FALSE),0)</f>
        <v>0</v>
      </c>
      <c r="AI16" s="9">
        <f>IF(AND(AF16=0,AG16=0),0,IF(AF16&lt;AG16,((AG16-AF16)*24)-AH16,(((1-AF16)+AG16)*24)-AH16))</f>
        <v>0</v>
      </c>
      <c r="AJ16" s="9">
        <f t="shared" si="13"/>
        <v>24</v>
      </c>
      <c r="AK16" s="9">
        <f t="shared" si="1"/>
        <v>0</v>
      </c>
      <c r="AL16" s="10"/>
      <c r="AM16" s="10"/>
    </row>
    <row r="17" spans="1:43" ht="13" x14ac:dyDescent="0.25">
      <c r="A17" s="7">
        <v>12</v>
      </c>
      <c r="B17" s="77">
        <f>IFERROR(VLOOKUP(Vaktplan!$A$48,Vaktplan!$BZ$4:$CL$35,87-AH70,FALSE),0)</f>
        <v>0</v>
      </c>
      <c r="C17" s="77">
        <f>IFERROR(VLOOKUP(Vaktplan!$A$48,Vaktplan!$BZ$4:$CL$35,87-AG70,FALSE),0)</f>
        <v>0</v>
      </c>
      <c r="D17" s="9">
        <f>IFERROR(VLOOKUP(Vaktplan!$A$48,Vaktplan!$BZ$4:$CL$35,89-AG70,FALSE),0)</f>
        <v>0</v>
      </c>
      <c r="E17" s="9">
        <f t="shared" si="16"/>
        <v>0</v>
      </c>
      <c r="F17" s="9">
        <f t="shared" si="2"/>
        <v>24</v>
      </c>
      <c r="G17" s="77">
        <f>IFERROR(VLOOKUP(Vaktplan!$A$48,Vaktplan!$CA$4:$CL$35,86-AH70,FALSE),0)</f>
        <v>0</v>
      </c>
      <c r="H17" s="77">
        <f>IFERROR(VLOOKUP(Vaktplan!$A$48,Vaktplan!$CA$4:$CL$35,86-AG70,FALSE),0)</f>
        <v>0</v>
      </c>
      <c r="I17" s="9">
        <f>IFERROR(VLOOKUP(Vaktplan!$A$48,Vaktplan!$CA$4:$CL$35,89-$AH70,FALSE),0)</f>
        <v>0</v>
      </c>
      <c r="J17" s="9">
        <f t="shared" si="3"/>
        <v>0</v>
      </c>
      <c r="K17" s="9">
        <f t="shared" si="4"/>
        <v>24</v>
      </c>
      <c r="L17" s="77">
        <f>IFERROR(VLOOKUP(Vaktplan!$A$48,Vaktplan!$CB$4:$CL$35,86-AI70,FALSE),0)</f>
        <v>0</v>
      </c>
      <c r="M17" s="77">
        <f>IFERROR(VLOOKUP(Vaktplan!$A$48,Vaktplan!$CB$4:$CL$35,86-AH70,FALSE),0)</f>
        <v>0</v>
      </c>
      <c r="N17" s="9">
        <f>IFERROR(VLOOKUP(Vaktplan!$A$48,Vaktplan!$CB$4:$CL$35,89-$AI70,FALSE),0)</f>
        <v>0</v>
      </c>
      <c r="O17" s="9">
        <f t="shared" si="5"/>
        <v>0</v>
      </c>
      <c r="P17" s="9">
        <f t="shared" si="6"/>
        <v>24</v>
      </c>
      <c r="Q17" s="77">
        <f>IFERROR(VLOOKUP(Vaktplan!$A$48,Vaktplan!$CC$4:$CL$35,86-AJ70,FALSE),0)</f>
        <v>0</v>
      </c>
      <c r="R17" s="77">
        <f>IFERROR(VLOOKUP(Vaktplan!$A$48,Vaktplan!$CC$4:$CL$35,86-AI70,FALSE),0)</f>
        <v>0</v>
      </c>
      <c r="S17" s="9">
        <f>IFERROR(VLOOKUP(Vaktplan!$A$48,Vaktplan!$CC$4:$CL$35,89-$AJ70,FALSE),0)</f>
        <v>0</v>
      </c>
      <c r="T17" s="9">
        <f t="shared" si="0"/>
        <v>0</v>
      </c>
      <c r="U17" s="9">
        <f t="shared" si="7"/>
        <v>24</v>
      </c>
      <c r="V17" s="77">
        <f>IFERROR(VLOOKUP(Vaktplan!$A$48,Vaktplan!$CD$4:$CL$35,86-AK70,FALSE),0)</f>
        <v>0</v>
      </c>
      <c r="W17" s="77">
        <f>IFERROR(VLOOKUP(Vaktplan!$A$48,Vaktplan!$CD$4:$CL$35,86-AJ70,FALSE),0)</f>
        <v>0</v>
      </c>
      <c r="X17" s="9">
        <f>IFERROR(VLOOKUP(Vaktplan!$A$48,Vaktplan!$CD$4:$CL$35,89-$AK70,FALSE),0)</f>
        <v>0</v>
      </c>
      <c r="Y17" s="9">
        <f>IF(AND(V17=0,W17=0),0,IF(V17&lt;W17,((W17-V17)*24)-X17,(((1-V17)+W17)*24)-X17))</f>
        <v>0</v>
      </c>
      <c r="Z17" s="9">
        <f t="shared" si="9"/>
        <v>24</v>
      </c>
      <c r="AA17" s="77">
        <f>IFERROR(VLOOKUP(Vaktplan!$A$48,Vaktplan!$CE$4:$CL$35,86-AL70,FALSE),0)</f>
        <v>0</v>
      </c>
      <c r="AB17" s="77">
        <f>IFERROR(VLOOKUP(Vaktplan!$A$48,Vaktplan!$CE$4:$CL$35,86-AK70,FALSE),0)</f>
        <v>0</v>
      </c>
      <c r="AC17" s="9">
        <f>IFERROR(VLOOKUP(Vaktplan!$A$48,Vaktplan!$CE$4:$FCE$35,89-$AL70,FALSE),0)</f>
        <v>0</v>
      </c>
      <c r="AD17" s="9">
        <f>IF(AND(AA17=0,AB17=0),0,IF(AA17&lt;AB17,((AB17-AA17)*24)-AC17,(((1-AA17)+AB17)*24)-AC17))</f>
        <v>0</v>
      </c>
      <c r="AE17" s="9">
        <f t="shared" si="11"/>
        <v>24</v>
      </c>
      <c r="AF17" s="77">
        <f>IFERROR(VLOOKUP(Vaktplan!$A$48,Vaktplan!$CF$4:$CL$35,86-AM70,FALSE),0)</f>
        <v>0</v>
      </c>
      <c r="AG17" s="77">
        <f>IFERROR(VLOOKUP(Vaktplan!$A$48,Vaktplan!$CF$4:$CL$35,86-AL70,FALSE),0)</f>
        <v>0</v>
      </c>
      <c r="AH17" s="9">
        <f>IFERROR(VLOOKUP(Vaktplan!$A$48,Vaktplan!$CF$4:$CL$35,89-$AM70,FALSE),0)</f>
        <v>0</v>
      </c>
      <c r="AI17" s="9">
        <f>IF(AND(AF17=0,AG17=0),0,IF(AF17&lt;AG17,((AG17-AF17)*24)-AH17,(((1-AF17)+AG17)*24)-AH17))</f>
        <v>0</v>
      </c>
      <c r="AJ17" s="9">
        <f t="shared" si="13"/>
        <v>24</v>
      </c>
      <c r="AK17" s="9">
        <f t="shared" si="1"/>
        <v>0</v>
      </c>
      <c r="AL17" s="10"/>
      <c r="AM17" s="10"/>
    </row>
    <row r="19" spans="1:43" ht="13" x14ac:dyDescent="0.3">
      <c r="A19" s="4" t="s">
        <v>76</v>
      </c>
    </row>
    <row r="20" spans="1:43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3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3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3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3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6" spans="1:43" ht="13" x14ac:dyDescent="0.3">
      <c r="A26" s="4" t="s">
        <v>77</v>
      </c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</row>
    <row r="27" spans="1:43" ht="13" x14ac:dyDescent="0.3">
      <c r="A27" s="3" t="s">
        <v>78</v>
      </c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80" t="s">
        <v>79</v>
      </c>
      <c r="AM27" s="78"/>
      <c r="AN27" s="78"/>
      <c r="AO27" s="78"/>
    </row>
    <row r="28" spans="1:43" ht="13" x14ac:dyDescent="0.3">
      <c r="A28" s="98" t="s">
        <v>36</v>
      </c>
      <c r="B28" s="98"/>
      <c r="C28" s="98"/>
      <c r="D28" s="88"/>
      <c r="E28" s="8">
        <f>E2</f>
        <v>0</v>
      </c>
      <c r="F28" s="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>
        <v>1</v>
      </c>
      <c r="AM28" s="78"/>
      <c r="AN28" s="78"/>
      <c r="AO28" s="78"/>
    </row>
    <row r="29" spans="1:43" ht="13" x14ac:dyDescent="0.3">
      <c r="A29" s="98" t="s">
        <v>80</v>
      </c>
      <c r="B29" s="98"/>
      <c r="C29" s="98"/>
      <c r="D29" s="88"/>
      <c r="E29" s="5">
        <f>E3</f>
        <v>0</v>
      </c>
      <c r="F29" s="5"/>
      <c r="T29" s="10"/>
      <c r="U29" s="10"/>
      <c r="V29" s="10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80" t="s">
        <v>81</v>
      </c>
      <c r="AH29" s="80"/>
      <c r="AI29" s="78"/>
      <c r="AJ29" s="78"/>
      <c r="AK29" s="78"/>
      <c r="AL29" s="78">
        <v>2</v>
      </c>
      <c r="AM29" s="78"/>
      <c r="AN29" s="78"/>
      <c r="AO29" s="78"/>
      <c r="AP29" s="10"/>
      <c r="AQ29" s="10"/>
    </row>
    <row r="30" spans="1:43" ht="13" x14ac:dyDescent="0.3">
      <c r="A30" s="98" t="s">
        <v>82</v>
      </c>
      <c r="B30" s="98"/>
      <c r="C30" s="98"/>
      <c r="D30" s="88"/>
      <c r="T30" s="10"/>
      <c r="U30" s="10"/>
      <c r="V30" s="10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>
        <v>3</v>
      </c>
      <c r="AM30" s="78"/>
      <c r="AN30" s="78"/>
      <c r="AO30" s="78"/>
      <c r="AP30" s="10"/>
      <c r="AQ30" s="10"/>
    </row>
    <row r="31" spans="1:43" ht="13" x14ac:dyDescent="0.3">
      <c r="A31" s="4" t="s">
        <v>83</v>
      </c>
      <c r="B31" s="4" t="s">
        <v>84</v>
      </c>
      <c r="C31" s="4" t="s">
        <v>85</v>
      </c>
      <c r="D31" s="98" t="s">
        <v>86</v>
      </c>
      <c r="E31" s="98"/>
      <c r="F31" s="4" t="s">
        <v>87</v>
      </c>
      <c r="G31" s="4" t="s">
        <v>88</v>
      </c>
      <c r="H31" s="98" t="s">
        <v>27</v>
      </c>
      <c r="I31" s="98"/>
      <c r="J31" s="4" t="s">
        <v>28</v>
      </c>
      <c r="K31" s="4" t="s">
        <v>29</v>
      </c>
      <c r="L31" s="4" t="s">
        <v>30</v>
      </c>
      <c r="M31" s="4" t="s">
        <v>31</v>
      </c>
      <c r="N31" s="98" t="s">
        <v>32</v>
      </c>
      <c r="O31" s="98"/>
      <c r="T31" s="10"/>
      <c r="U31" s="10"/>
      <c r="V31" s="10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80" t="s">
        <v>9</v>
      </c>
      <c r="AH31" s="80"/>
      <c r="AI31" s="78"/>
      <c r="AJ31" s="78"/>
      <c r="AK31" s="78"/>
      <c r="AL31" s="78">
        <v>4</v>
      </c>
      <c r="AM31" s="78"/>
      <c r="AN31" s="78"/>
      <c r="AO31" s="78"/>
      <c r="AP31" s="10"/>
      <c r="AQ31" s="10"/>
    </row>
    <row r="32" spans="1:43" ht="13" x14ac:dyDescent="0.3">
      <c r="A32" s="3">
        <f>AK6</f>
        <v>0</v>
      </c>
      <c r="B32" s="3">
        <f>AK7</f>
        <v>0</v>
      </c>
      <c r="C32" s="3">
        <f>AK8</f>
        <v>0</v>
      </c>
      <c r="D32" s="101">
        <f>AK9</f>
        <v>0</v>
      </c>
      <c r="E32" s="101"/>
      <c r="F32" s="3">
        <f>AK10</f>
        <v>0</v>
      </c>
      <c r="G32" s="3">
        <f>AK11</f>
        <v>0</v>
      </c>
      <c r="H32" s="101">
        <f>AK12</f>
        <v>0</v>
      </c>
      <c r="I32" s="101"/>
      <c r="J32" s="3">
        <f>AK13</f>
        <v>0</v>
      </c>
      <c r="K32" s="3">
        <f>AK14</f>
        <v>0</v>
      </c>
      <c r="L32" s="3">
        <f>AK15</f>
        <v>0</v>
      </c>
      <c r="M32" s="3">
        <f>AK16</f>
        <v>0</v>
      </c>
      <c r="N32" s="101">
        <f>AK17</f>
        <v>0</v>
      </c>
      <c r="O32" s="101"/>
      <c r="T32" s="11" t="s">
        <v>70</v>
      </c>
      <c r="U32" s="10" t="s">
        <v>89</v>
      </c>
      <c r="V32" s="10" t="s">
        <v>90</v>
      </c>
      <c r="W32" s="78" t="s">
        <v>91</v>
      </c>
      <c r="X32" s="78" t="s">
        <v>92</v>
      </c>
      <c r="Y32" s="78" t="s">
        <v>93</v>
      </c>
      <c r="Z32" s="78" t="s">
        <v>94</v>
      </c>
      <c r="AA32" s="78"/>
      <c r="AB32" s="78"/>
      <c r="AC32" s="78"/>
      <c r="AD32" s="78"/>
      <c r="AE32" s="78"/>
      <c r="AF32" s="78"/>
      <c r="AG32" s="78" t="s">
        <v>10</v>
      </c>
      <c r="AH32" s="78"/>
      <c r="AI32" s="79">
        <v>42177</v>
      </c>
      <c r="AJ32" s="79"/>
      <c r="AK32" s="78"/>
      <c r="AL32" s="78">
        <v>5</v>
      </c>
      <c r="AM32" s="78"/>
      <c r="AN32" s="78"/>
      <c r="AO32" s="78"/>
      <c r="AP32" s="10"/>
      <c r="AQ32" s="10"/>
    </row>
    <row r="33" spans="1:43" ht="13" x14ac:dyDescent="0.3">
      <c r="A33" s="98" t="s">
        <v>95</v>
      </c>
      <c r="B33" s="98"/>
      <c r="C33" s="98"/>
      <c r="D33" s="88"/>
      <c r="G33" s="101"/>
      <c r="H33" s="101"/>
      <c r="I33" s="90"/>
      <c r="T33" s="10">
        <v>1</v>
      </c>
      <c r="U33" s="10">
        <f>IF(AND(B6&gt;0,G6&gt;0),0,IF(AND(G6&gt;0),0,F6+K6))</f>
        <v>48</v>
      </c>
      <c r="V33" s="10">
        <f>IF(AND(G6&gt;0,L6&gt;0),0,IF(AND(L6&gt;0),0,K6+P6))</f>
        <v>48</v>
      </c>
      <c r="W33" s="78">
        <f>IF(AND(L6&gt;0,Q6&gt;0),0,IF(AND(Q6&gt;0),0,P6+U6))</f>
        <v>48</v>
      </c>
      <c r="X33" s="78">
        <f>IF(AND(Q6&gt;0,V6&gt;0),0,IF(AND(V6&gt;0),0,U6+Z6))</f>
        <v>48</v>
      </c>
      <c r="Y33" s="78">
        <f>IF(AND(V6&gt;0,AA6&gt;0),0,IF(AND(AA6&gt;0),0,Z6+AE6))</f>
        <v>48</v>
      </c>
      <c r="Z33" s="78">
        <f>IF(AND(AA6&gt;0,AF6&gt;0),0,IF(AND(AF6&gt;0),0,AE6+AJ6))</f>
        <v>48</v>
      </c>
      <c r="AA33" s="78"/>
      <c r="AB33" s="78"/>
      <c r="AC33" s="78"/>
      <c r="AD33" s="78"/>
      <c r="AE33" s="78"/>
      <c r="AF33" s="78"/>
      <c r="AG33" s="78" t="s">
        <v>11</v>
      </c>
      <c r="AH33" s="78"/>
      <c r="AI33" s="79">
        <v>42178</v>
      </c>
      <c r="AJ33" s="79"/>
      <c r="AK33" s="78"/>
      <c r="AL33" s="78">
        <v>6</v>
      </c>
      <c r="AM33" s="78"/>
      <c r="AN33" s="78"/>
      <c r="AO33" s="78"/>
      <c r="AP33" s="10"/>
      <c r="AQ33" s="10"/>
    </row>
    <row r="34" spans="1:43" x14ac:dyDescent="0.25">
      <c r="A34" s="101" t="s">
        <v>96</v>
      </c>
      <c r="B34" s="101"/>
      <c r="C34" s="3">
        <f>(AK6+AK7+AK8+AK9+AK10+AK11+AK12+AK13+AK14+AK15+AK16+AK17)/M1</f>
        <v>0</v>
      </c>
      <c r="T34" s="10">
        <v>2</v>
      </c>
      <c r="U34" s="10">
        <f t="shared" ref="U34:U40" si="17">IF(AND(B7&gt;0,G7&gt;0),0,IF(AND(G7&gt;0),0,F7+K7))</f>
        <v>48</v>
      </c>
      <c r="V34" s="10">
        <f t="shared" ref="V34:V40" si="18">IF(AND(G7&gt;0,L7&gt;0),0,IF(AND(L7&gt;0),0,K7+P7))</f>
        <v>48</v>
      </c>
      <c r="W34" s="78">
        <f t="shared" ref="W34:W44" si="19">IF(AND(L7&gt;0,Q7&gt;0),0,IF(AND(Q7&gt;0),0,P7+U7))</f>
        <v>48</v>
      </c>
      <c r="X34" s="78">
        <f t="shared" ref="X34:X44" si="20">IF(AND(Q7&gt;0,V7&gt;0),0,IF(AND(V7&gt;0),0,U7+Z7))</f>
        <v>48</v>
      </c>
      <c r="Y34" s="78">
        <f t="shared" ref="Y34:Y44" si="21">IF(AND(V7&gt;0,AA7&gt;0),0,IF(AND(AA7&gt;0),0,Z7+AE7))</f>
        <v>48</v>
      </c>
      <c r="Z34" s="78">
        <f t="shared" ref="Z34:Z44" si="22">IF(AND(AA7&gt;0,AF7&gt;0),0,IF(AND(AF7&gt;0),0,AE7+AJ7))</f>
        <v>48</v>
      </c>
      <c r="AA34" s="78"/>
      <c r="AB34" s="78"/>
      <c r="AC34" s="78"/>
      <c r="AD34" s="78"/>
      <c r="AE34" s="78"/>
      <c r="AF34" s="78"/>
      <c r="AG34" s="78" t="s">
        <v>12</v>
      </c>
      <c r="AH34" s="78"/>
      <c r="AI34" s="79">
        <v>42179</v>
      </c>
      <c r="AJ34" s="79"/>
      <c r="AK34" s="78"/>
      <c r="AL34" s="78">
        <v>7</v>
      </c>
      <c r="AM34" s="78"/>
      <c r="AN34" s="78"/>
      <c r="AO34" s="78"/>
      <c r="AP34" s="10"/>
      <c r="AQ34" s="10"/>
    </row>
    <row r="35" spans="1:43" x14ac:dyDescent="0.25">
      <c r="T35" s="10">
        <v>3</v>
      </c>
      <c r="U35" s="10">
        <f t="shared" si="17"/>
        <v>48</v>
      </c>
      <c r="V35" s="10">
        <f t="shared" si="18"/>
        <v>48</v>
      </c>
      <c r="W35" s="78">
        <f t="shared" si="19"/>
        <v>48</v>
      </c>
      <c r="X35" s="78">
        <f t="shared" si="20"/>
        <v>48</v>
      </c>
      <c r="Y35" s="78">
        <f t="shared" si="21"/>
        <v>48</v>
      </c>
      <c r="Z35" s="78">
        <f t="shared" si="22"/>
        <v>48</v>
      </c>
      <c r="AA35" s="78"/>
      <c r="AB35" s="78"/>
      <c r="AC35" s="78"/>
      <c r="AD35" s="78"/>
      <c r="AE35" s="78"/>
      <c r="AF35" s="78"/>
      <c r="AG35" s="78" t="s">
        <v>13</v>
      </c>
      <c r="AH35" s="78"/>
      <c r="AI35" s="79">
        <v>42180</v>
      </c>
      <c r="AJ35" s="79"/>
      <c r="AK35" s="78"/>
      <c r="AL35" s="78">
        <v>8</v>
      </c>
      <c r="AM35" s="78"/>
      <c r="AN35" s="78"/>
      <c r="AO35" s="78"/>
      <c r="AP35" s="78"/>
      <c r="AQ35" s="10"/>
    </row>
    <row r="36" spans="1:43" ht="13" x14ac:dyDescent="0.3">
      <c r="A36" s="98" t="s">
        <v>97</v>
      </c>
      <c r="B36" s="98"/>
      <c r="C36" s="98"/>
      <c r="D36" s="98"/>
      <c r="E36" s="98"/>
      <c r="F36" s="88"/>
      <c r="T36" s="10">
        <v>4</v>
      </c>
      <c r="U36" s="10">
        <f t="shared" si="17"/>
        <v>48</v>
      </c>
      <c r="V36" s="10">
        <f t="shared" si="18"/>
        <v>48</v>
      </c>
      <c r="W36" s="78">
        <f t="shared" si="19"/>
        <v>48</v>
      </c>
      <c r="X36" s="78">
        <f t="shared" si="20"/>
        <v>48</v>
      </c>
      <c r="Y36" s="78">
        <f t="shared" si="21"/>
        <v>48</v>
      </c>
      <c r="Z36" s="78">
        <f t="shared" si="22"/>
        <v>48</v>
      </c>
      <c r="AA36" s="78"/>
      <c r="AB36" s="78"/>
      <c r="AC36" s="78"/>
      <c r="AD36" s="78"/>
      <c r="AE36" s="78"/>
      <c r="AF36" s="78"/>
      <c r="AG36" s="78" t="s">
        <v>14</v>
      </c>
      <c r="AH36" s="78"/>
      <c r="AI36" s="79">
        <v>42181</v>
      </c>
      <c r="AJ36" s="79"/>
      <c r="AK36" s="78"/>
      <c r="AL36" s="3">
        <v>9</v>
      </c>
      <c r="AM36" s="78"/>
      <c r="AN36" s="78"/>
      <c r="AO36" s="78"/>
      <c r="AP36" s="78"/>
      <c r="AQ36" s="10"/>
    </row>
    <row r="37" spans="1:43" x14ac:dyDescent="0.25">
      <c r="A37" s="99" t="e">
        <f>C34/E3</f>
        <v>#DIV/0!</v>
      </c>
      <c r="B37" s="99"/>
      <c r="C37" s="99"/>
      <c r="T37" s="10">
        <v>5</v>
      </c>
      <c r="U37" s="10">
        <f t="shared" si="17"/>
        <v>48</v>
      </c>
      <c r="V37" s="10">
        <f t="shared" si="18"/>
        <v>48</v>
      </c>
      <c r="W37" s="78">
        <f t="shared" si="19"/>
        <v>48</v>
      </c>
      <c r="X37" s="78">
        <f t="shared" si="20"/>
        <v>48</v>
      </c>
      <c r="Y37" s="78">
        <f t="shared" si="21"/>
        <v>48</v>
      </c>
      <c r="Z37" s="78">
        <f t="shared" si="22"/>
        <v>48</v>
      </c>
      <c r="AA37" s="78"/>
      <c r="AB37" s="78"/>
      <c r="AC37" s="78"/>
      <c r="AD37" s="78"/>
      <c r="AE37" s="78"/>
      <c r="AF37" s="78"/>
      <c r="AG37" s="78" t="s">
        <v>15</v>
      </c>
      <c r="AH37" s="78"/>
      <c r="AI37" s="79">
        <v>42182</v>
      </c>
      <c r="AJ37" s="79"/>
      <c r="AK37" s="78"/>
      <c r="AL37" s="3">
        <v>10</v>
      </c>
      <c r="AM37" s="78"/>
      <c r="AN37" s="78"/>
      <c r="AO37" s="78"/>
      <c r="AP37" s="78"/>
      <c r="AQ37" s="10"/>
    </row>
    <row r="38" spans="1:43" x14ac:dyDescent="0.25">
      <c r="T38" s="10">
        <v>6</v>
      </c>
      <c r="U38" s="10">
        <f t="shared" si="17"/>
        <v>48</v>
      </c>
      <c r="V38" s="10">
        <f t="shared" si="18"/>
        <v>48</v>
      </c>
      <c r="W38" s="78">
        <f t="shared" si="19"/>
        <v>48</v>
      </c>
      <c r="X38" s="78">
        <f t="shared" si="20"/>
        <v>48</v>
      </c>
      <c r="Y38" s="78">
        <f t="shared" si="21"/>
        <v>48</v>
      </c>
      <c r="Z38" s="78">
        <f t="shared" si="22"/>
        <v>48</v>
      </c>
      <c r="AA38" s="78"/>
      <c r="AB38" s="78"/>
      <c r="AC38" s="78"/>
      <c r="AD38" s="78"/>
      <c r="AE38" s="78"/>
      <c r="AF38" s="78"/>
      <c r="AG38" s="78" t="s">
        <v>16</v>
      </c>
      <c r="AH38" s="78"/>
      <c r="AI38" s="79">
        <v>42183</v>
      </c>
      <c r="AJ38" s="79"/>
      <c r="AK38" s="78"/>
      <c r="AL38" s="3">
        <v>11</v>
      </c>
      <c r="AM38" s="78"/>
      <c r="AN38" s="78"/>
      <c r="AO38" s="78"/>
      <c r="AP38" s="78"/>
      <c r="AQ38" s="10"/>
    </row>
    <row r="39" spans="1:43" x14ac:dyDescent="0.25">
      <c r="T39" s="10">
        <v>7</v>
      </c>
      <c r="U39" s="10">
        <f t="shared" si="17"/>
        <v>48</v>
      </c>
      <c r="V39" s="10">
        <f t="shared" si="18"/>
        <v>48</v>
      </c>
      <c r="W39" s="78">
        <f t="shared" si="19"/>
        <v>48</v>
      </c>
      <c r="X39" s="78">
        <f t="shared" si="20"/>
        <v>48</v>
      </c>
      <c r="Y39" s="78">
        <f t="shared" si="21"/>
        <v>48</v>
      </c>
      <c r="Z39" s="78">
        <f t="shared" si="22"/>
        <v>48</v>
      </c>
      <c r="AA39" s="78"/>
      <c r="AB39" s="78"/>
      <c r="AC39" s="78"/>
      <c r="AD39" s="78"/>
      <c r="AE39" s="78"/>
      <c r="AF39" s="78"/>
      <c r="AG39" s="100">
        <f>IF(E1=AG32,AI32,IF(E1=AG33,AI33,IF(E1=AG34,AI34,IF(E1=AG35,AI35,IF(E1=AG36,AI36,IF(E1=AG37,AI37,IF(E1=AG38,AI38,AI32)))))))</f>
        <v>42177</v>
      </c>
      <c r="AH39" s="100"/>
      <c r="AI39" s="100"/>
      <c r="AJ39" s="100"/>
      <c r="AK39" s="100"/>
      <c r="AL39" s="3">
        <v>12</v>
      </c>
      <c r="AM39" s="78"/>
      <c r="AN39" s="78"/>
      <c r="AO39" s="78"/>
      <c r="AP39" s="78"/>
      <c r="AQ39" s="10"/>
    </row>
    <row r="40" spans="1:43" ht="13" x14ac:dyDescent="0.3">
      <c r="A40" s="4" t="s">
        <v>98</v>
      </c>
      <c r="T40" s="10">
        <v>8</v>
      </c>
      <c r="U40" s="10">
        <f t="shared" si="17"/>
        <v>48</v>
      </c>
      <c r="V40" s="10">
        <f t="shared" si="18"/>
        <v>48</v>
      </c>
      <c r="W40" s="78">
        <f t="shared" si="19"/>
        <v>48</v>
      </c>
      <c r="X40" s="78">
        <f t="shared" si="20"/>
        <v>48</v>
      </c>
      <c r="Y40" s="78">
        <f t="shared" si="21"/>
        <v>48</v>
      </c>
      <c r="Z40" s="78">
        <f t="shared" si="22"/>
        <v>48</v>
      </c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10"/>
    </row>
    <row r="41" spans="1:43" x14ac:dyDescent="0.25">
      <c r="A41" s="3" t="s">
        <v>99</v>
      </c>
      <c r="T41" s="10"/>
      <c r="U41" s="10"/>
      <c r="V41" s="10"/>
      <c r="W41" s="78">
        <f t="shared" si="19"/>
        <v>48</v>
      </c>
      <c r="X41" s="78">
        <f t="shared" si="20"/>
        <v>48</v>
      </c>
      <c r="Y41" s="78">
        <f t="shared" si="21"/>
        <v>48</v>
      </c>
      <c r="Z41" s="78">
        <f t="shared" si="22"/>
        <v>48</v>
      </c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10"/>
    </row>
    <row r="42" spans="1:43" ht="13" x14ac:dyDescent="0.3">
      <c r="A42" s="3" t="s">
        <v>100</v>
      </c>
      <c r="O42" s="81">
        <v>0.29166666666666669</v>
      </c>
      <c r="P42" s="81">
        <v>0.33333333333333331</v>
      </c>
      <c r="Q42" s="3">
        <f>(P42-O42)*24</f>
        <v>0.99999999999999911</v>
      </c>
      <c r="T42" s="10"/>
      <c r="U42" s="10"/>
      <c r="V42" s="10"/>
      <c r="W42" s="78">
        <f t="shared" si="19"/>
        <v>48</v>
      </c>
      <c r="X42" s="78">
        <f t="shared" si="20"/>
        <v>48</v>
      </c>
      <c r="Y42" s="78">
        <f t="shared" si="21"/>
        <v>48</v>
      </c>
      <c r="Z42" s="78">
        <f t="shared" si="22"/>
        <v>48</v>
      </c>
      <c r="AA42" s="78"/>
      <c r="AB42" s="78"/>
      <c r="AC42" s="78"/>
      <c r="AD42" s="78"/>
      <c r="AE42" s="78"/>
      <c r="AF42" s="78"/>
      <c r="AG42" s="80" t="s">
        <v>101</v>
      </c>
      <c r="AH42" s="80"/>
      <c r="AI42" s="78"/>
      <c r="AJ42" s="78"/>
      <c r="AK42" s="78"/>
      <c r="AL42" s="80" t="s">
        <v>102</v>
      </c>
      <c r="AM42" s="78"/>
      <c r="AN42" s="78"/>
      <c r="AO42" s="78"/>
      <c r="AP42" s="78"/>
      <c r="AQ42" s="10"/>
    </row>
    <row r="43" spans="1:43" x14ac:dyDescent="0.25">
      <c r="T43" s="10"/>
      <c r="U43" s="10"/>
      <c r="V43" s="10"/>
      <c r="W43" s="78">
        <f t="shared" si="19"/>
        <v>48</v>
      </c>
      <c r="X43" s="78">
        <f t="shared" si="20"/>
        <v>48</v>
      </c>
      <c r="Y43" s="78">
        <f t="shared" si="21"/>
        <v>48</v>
      </c>
      <c r="Z43" s="78">
        <f t="shared" si="22"/>
        <v>48</v>
      </c>
      <c r="AA43" s="78"/>
      <c r="AB43" s="78"/>
      <c r="AC43" s="78"/>
      <c r="AD43" s="78"/>
      <c r="AE43" s="78"/>
      <c r="AF43" s="78"/>
      <c r="AG43" s="78">
        <v>33.6</v>
      </c>
      <c r="AH43" s="78"/>
      <c r="AI43" s="78"/>
      <c r="AJ43" s="78"/>
      <c r="AK43" s="78"/>
      <c r="AL43" s="78" t="s">
        <v>103</v>
      </c>
      <c r="AM43" s="78"/>
      <c r="AN43" s="78"/>
      <c r="AO43" s="78"/>
      <c r="AP43" s="78"/>
      <c r="AQ43" s="10"/>
    </row>
    <row r="44" spans="1:43" x14ac:dyDescent="0.25">
      <c r="A44" s="3" t="s">
        <v>104</v>
      </c>
      <c r="T44" s="10"/>
      <c r="U44" s="10"/>
      <c r="V44" s="10"/>
      <c r="W44" s="78">
        <f t="shared" si="19"/>
        <v>48</v>
      </c>
      <c r="X44" s="78">
        <f t="shared" si="20"/>
        <v>48</v>
      </c>
      <c r="Y44" s="78">
        <f t="shared" si="21"/>
        <v>48</v>
      </c>
      <c r="Z44" s="78">
        <f t="shared" si="22"/>
        <v>48</v>
      </c>
      <c r="AA44" s="78"/>
      <c r="AB44" s="78"/>
      <c r="AC44" s="78"/>
      <c r="AD44" s="78"/>
      <c r="AE44" s="78"/>
      <c r="AF44" s="78"/>
      <c r="AG44" s="78">
        <v>35.5</v>
      </c>
      <c r="AH44" s="78"/>
      <c r="AI44" s="78"/>
      <c r="AJ44" s="78"/>
      <c r="AK44" s="78"/>
      <c r="AL44" s="78" t="s">
        <v>105</v>
      </c>
      <c r="AM44" s="78"/>
      <c r="AN44" s="78"/>
      <c r="AO44" s="78"/>
      <c r="AP44" s="78"/>
      <c r="AQ44" s="10"/>
    </row>
    <row r="45" spans="1:43" x14ac:dyDescent="0.25">
      <c r="A45" s="1">
        <v>11</v>
      </c>
      <c r="B45" s="5">
        <f>COUNTIF($F$6:$F$13,"&lt;" &amp; A45)+COUNTIF($K$6:$K$13,"&lt;" &amp; A45)+COUNTIF($P$6:$P$13,"&lt;" &amp; A45)+COUNTIF($U$6:$U$13,"&lt;" &amp; A45)+COUNTIF($Z$6:$Z$13,"&lt;" &amp; A45)+COUNTIF($AE$6:$AE$13,"&lt;" &amp; A45)+COUNTIF($AJ$6:$AJ$13,"&lt;" &amp; A45)</f>
        <v>0</v>
      </c>
      <c r="T45" s="10"/>
      <c r="U45" s="10"/>
      <c r="V45" s="10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>
        <v>37.5</v>
      </c>
      <c r="AH45" s="78"/>
      <c r="AI45" s="78"/>
      <c r="AJ45" s="78"/>
      <c r="AK45" s="78"/>
      <c r="AL45" s="78"/>
      <c r="AM45" s="78"/>
      <c r="AN45" s="78"/>
      <c r="AO45" s="78"/>
      <c r="AP45" s="78"/>
      <c r="AQ45" s="10"/>
    </row>
    <row r="46" spans="1:43" x14ac:dyDescent="0.25">
      <c r="T46" s="10"/>
      <c r="U46" s="10"/>
      <c r="V46" s="10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78"/>
      <c r="AQ46" s="10"/>
    </row>
    <row r="47" spans="1:43" x14ac:dyDescent="0.25">
      <c r="T47" s="10"/>
      <c r="U47" s="10"/>
      <c r="V47" s="10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10"/>
    </row>
    <row r="48" spans="1:43" x14ac:dyDescent="0.25">
      <c r="T48" s="10"/>
      <c r="U48" s="10"/>
      <c r="V48" s="10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78"/>
      <c r="AO48" s="78"/>
      <c r="AP48" s="78"/>
      <c r="AQ48" s="10"/>
    </row>
    <row r="49" spans="1:43" ht="13" x14ac:dyDescent="0.3">
      <c r="A49" s="4" t="s">
        <v>106</v>
      </c>
      <c r="T49" s="10"/>
      <c r="U49" s="10"/>
      <c r="V49" s="10"/>
      <c r="W49" s="78"/>
      <c r="X49" s="78"/>
      <c r="Y49" s="78"/>
      <c r="Z49" s="78"/>
      <c r="AA49" s="78"/>
      <c r="AB49" s="80" t="s">
        <v>107</v>
      </c>
      <c r="AC49" s="80"/>
      <c r="AD49" s="78"/>
      <c r="AE49" s="78"/>
      <c r="AF49" s="78"/>
      <c r="AG49" s="78"/>
      <c r="AH49" s="78"/>
      <c r="AI49" s="78"/>
      <c r="AJ49" s="78"/>
      <c r="AK49" s="78"/>
      <c r="AL49" s="78"/>
      <c r="AM49" s="78"/>
      <c r="AN49" s="78"/>
      <c r="AO49" s="78"/>
      <c r="AP49" s="78"/>
      <c r="AQ49" s="10"/>
    </row>
    <row r="50" spans="1:43" x14ac:dyDescent="0.25">
      <c r="A50" s="3" t="s">
        <v>108</v>
      </c>
      <c r="T50" s="10"/>
      <c r="U50" s="10"/>
      <c r="V50" s="10"/>
      <c r="W50" s="78"/>
      <c r="X50" s="78"/>
      <c r="Y50" s="78"/>
      <c r="Z50" s="78"/>
      <c r="AA50" s="78"/>
      <c r="AB50" s="78" t="s">
        <v>109</v>
      </c>
      <c r="AC50" s="78"/>
      <c r="AD50" s="78"/>
      <c r="AE50" s="78"/>
      <c r="AF50" s="78"/>
      <c r="AG50" s="78"/>
      <c r="AH50" s="78"/>
      <c r="AI50" s="78"/>
      <c r="AJ50" s="78"/>
      <c r="AK50" s="78"/>
      <c r="AL50" s="78"/>
      <c r="AM50" s="78"/>
      <c r="AN50" s="78"/>
      <c r="AO50" s="78"/>
      <c r="AP50" s="78"/>
      <c r="AQ50" s="10"/>
    </row>
    <row r="51" spans="1:43" ht="13" x14ac:dyDescent="0.3">
      <c r="A51" s="4" t="s">
        <v>110</v>
      </c>
      <c r="T51" s="10"/>
      <c r="U51" s="10"/>
      <c r="V51" s="10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  <c r="AN51" s="78"/>
      <c r="AO51" s="78"/>
      <c r="AP51" s="78"/>
      <c r="AQ51" s="10"/>
    </row>
    <row r="52" spans="1:43" x14ac:dyDescent="0.25">
      <c r="A52" s="3" t="s">
        <v>111</v>
      </c>
      <c r="T52" s="10"/>
      <c r="U52" s="10"/>
      <c r="V52" s="10"/>
      <c r="W52" s="78"/>
      <c r="X52" s="78"/>
      <c r="Y52" s="78"/>
      <c r="Z52" s="78"/>
      <c r="AA52" s="78"/>
      <c r="AB52" s="78" t="s">
        <v>112</v>
      </c>
      <c r="AC52" s="78"/>
      <c r="AD52" s="78"/>
      <c r="AE52" s="78"/>
      <c r="AF52" s="78"/>
      <c r="AG52" s="78"/>
      <c r="AH52" s="78"/>
      <c r="AI52" s="78"/>
      <c r="AJ52" s="78"/>
      <c r="AK52" s="78"/>
      <c r="AL52" s="78"/>
      <c r="AM52" s="78"/>
      <c r="AN52" s="78"/>
      <c r="AO52" s="78"/>
      <c r="AP52" s="78"/>
      <c r="AQ52" s="10"/>
    </row>
    <row r="53" spans="1:43" x14ac:dyDescent="0.25">
      <c r="A53" s="3" t="s">
        <v>113</v>
      </c>
      <c r="T53" s="10"/>
      <c r="U53" s="10"/>
      <c r="V53" s="10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78"/>
      <c r="AO53" s="78"/>
      <c r="AP53" s="78"/>
      <c r="AQ53" s="10"/>
    </row>
    <row r="54" spans="1:43" x14ac:dyDescent="0.25">
      <c r="A54" s="3" t="s">
        <v>114</v>
      </c>
      <c r="T54" s="10"/>
      <c r="U54" s="10"/>
      <c r="V54" s="10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78"/>
      <c r="AL54" s="78"/>
      <c r="AM54" s="78"/>
      <c r="AN54" s="78"/>
      <c r="AO54" s="78"/>
      <c r="AP54" s="78"/>
      <c r="AQ54" s="10"/>
    </row>
    <row r="55" spans="1:43" x14ac:dyDescent="0.25">
      <c r="T55" s="10"/>
      <c r="U55" s="10"/>
      <c r="V55" s="10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10"/>
    </row>
    <row r="56" spans="1:43" ht="13" x14ac:dyDescent="0.3">
      <c r="A56" s="4" t="s">
        <v>115</v>
      </c>
      <c r="T56" s="10"/>
      <c r="U56" s="10"/>
      <c r="V56" s="10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78"/>
      <c r="AO56" s="78"/>
      <c r="AP56" s="78"/>
      <c r="AQ56" s="10"/>
    </row>
    <row r="57" spans="1:43" x14ac:dyDescent="0.25">
      <c r="A57" s="3" t="s">
        <v>116</v>
      </c>
      <c r="T57" s="10"/>
      <c r="U57" s="10"/>
      <c r="V57" s="10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/>
      <c r="AO57" s="78"/>
      <c r="AP57" s="78"/>
      <c r="AQ57" s="10"/>
    </row>
    <row r="58" spans="1:43" ht="13" x14ac:dyDescent="0.3">
      <c r="A58" s="4" t="s">
        <v>110</v>
      </c>
      <c r="T58" s="10"/>
      <c r="U58" s="10"/>
      <c r="V58" s="10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 t="s">
        <v>117</v>
      </c>
      <c r="AH58" s="78"/>
      <c r="AI58" s="78"/>
      <c r="AJ58" s="78"/>
      <c r="AK58" s="78"/>
      <c r="AL58" s="78"/>
      <c r="AM58" s="78"/>
      <c r="AN58" s="78"/>
      <c r="AO58" s="78"/>
      <c r="AP58" s="78"/>
      <c r="AQ58" s="10"/>
    </row>
    <row r="59" spans="1:43" x14ac:dyDescent="0.25">
      <c r="A59" s="3" t="s">
        <v>111</v>
      </c>
      <c r="T59" s="10"/>
      <c r="U59" s="10"/>
      <c r="V59" s="10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>
        <v>0</v>
      </c>
      <c r="AH59" s="78">
        <v>1</v>
      </c>
      <c r="AI59" s="78">
        <v>2</v>
      </c>
      <c r="AJ59" s="78">
        <v>3</v>
      </c>
      <c r="AK59" s="78">
        <v>4</v>
      </c>
      <c r="AL59" s="78">
        <v>5</v>
      </c>
      <c r="AM59" s="78">
        <v>6</v>
      </c>
      <c r="AN59" s="78"/>
      <c r="AO59" s="78"/>
      <c r="AP59" s="78"/>
      <c r="AQ59" s="10"/>
    </row>
    <row r="60" spans="1:43" x14ac:dyDescent="0.25">
      <c r="A60" s="3" t="s">
        <v>113</v>
      </c>
      <c r="T60" s="10"/>
      <c r="U60" s="10"/>
      <c r="V60" s="10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>
        <v>7</v>
      </c>
      <c r="AH60" s="78">
        <v>8</v>
      </c>
      <c r="AI60" s="78">
        <v>9</v>
      </c>
      <c r="AJ60" s="78">
        <v>10</v>
      </c>
      <c r="AK60" s="78">
        <v>11</v>
      </c>
      <c r="AL60" s="78">
        <v>12</v>
      </c>
      <c r="AM60" s="78">
        <v>13</v>
      </c>
      <c r="AN60" s="78"/>
      <c r="AO60" s="78"/>
      <c r="AP60" s="78"/>
      <c r="AQ60" s="10"/>
    </row>
    <row r="61" spans="1:43" x14ac:dyDescent="0.25">
      <c r="T61" s="10"/>
      <c r="U61" s="10"/>
      <c r="V61" s="10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>
        <v>14</v>
      </c>
      <c r="AH61" s="78">
        <v>15</v>
      </c>
      <c r="AI61" s="78">
        <v>16</v>
      </c>
      <c r="AJ61" s="78">
        <v>17</v>
      </c>
      <c r="AK61" s="78">
        <v>18</v>
      </c>
      <c r="AL61" s="78">
        <v>19</v>
      </c>
      <c r="AM61" s="78">
        <v>20</v>
      </c>
      <c r="AN61" s="78"/>
      <c r="AO61" s="78"/>
      <c r="AP61" s="78"/>
      <c r="AQ61" s="10"/>
    </row>
    <row r="62" spans="1:43" ht="13" x14ac:dyDescent="0.3">
      <c r="A62" s="4" t="s">
        <v>118</v>
      </c>
      <c r="T62" s="10"/>
      <c r="U62" s="10"/>
      <c r="V62" s="10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>
        <v>21</v>
      </c>
      <c r="AH62" s="78">
        <v>22</v>
      </c>
      <c r="AI62" s="78">
        <v>23</v>
      </c>
      <c r="AJ62" s="78">
        <v>24</v>
      </c>
      <c r="AK62" s="78">
        <v>25</v>
      </c>
      <c r="AL62" s="78">
        <v>26</v>
      </c>
      <c r="AM62" s="78">
        <v>27</v>
      </c>
      <c r="AN62" s="78"/>
      <c r="AO62" s="78"/>
      <c r="AP62" s="78"/>
      <c r="AQ62" s="10"/>
    </row>
    <row r="63" spans="1:43" x14ac:dyDescent="0.25">
      <c r="A63" s="3" t="s">
        <v>119</v>
      </c>
      <c r="T63" s="10"/>
      <c r="U63" s="10"/>
      <c r="V63" s="10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>
        <v>28</v>
      </c>
      <c r="AH63" s="78">
        <v>29</v>
      </c>
      <c r="AI63" s="78">
        <v>30</v>
      </c>
      <c r="AJ63" s="78">
        <v>31</v>
      </c>
      <c r="AK63" s="78">
        <v>32</v>
      </c>
      <c r="AL63" s="78">
        <v>33</v>
      </c>
      <c r="AM63" s="78">
        <v>34</v>
      </c>
      <c r="AN63" s="78"/>
      <c r="AO63" s="78"/>
      <c r="AP63" s="78"/>
      <c r="AQ63" s="10"/>
    </row>
    <row r="64" spans="1:43" x14ac:dyDescent="0.25">
      <c r="A64" s="3" t="s">
        <v>120</v>
      </c>
      <c r="T64" s="10"/>
      <c r="U64" s="10"/>
      <c r="V64" s="10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>
        <v>35</v>
      </c>
      <c r="AH64" s="78">
        <v>36</v>
      </c>
      <c r="AI64" s="78">
        <v>37</v>
      </c>
      <c r="AJ64" s="78">
        <v>38</v>
      </c>
      <c r="AK64" s="78">
        <v>39</v>
      </c>
      <c r="AL64" s="78">
        <v>40</v>
      </c>
      <c r="AM64" s="78">
        <v>41</v>
      </c>
      <c r="AN64" s="78"/>
      <c r="AO64" s="78"/>
      <c r="AP64" s="78"/>
      <c r="AQ64" s="10"/>
    </row>
    <row r="65" spans="1:43" x14ac:dyDescent="0.25">
      <c r="T65" s="10"/>
      <c r="U65" s="10"/>
      <c r="V65" s="10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>
        <v>42</v>
      </c>
      <c r="AH65" s="78">
        <v>43</v>
      </c>
      <c r="AI65" s="78">
        <v>44</v>
      </c>
      <c r="AJ65" s="78">
        <v>45</v>
      </c>
      <c r="AK65" s="78">
        <v>46</v>
      </c>
      <c r="AL65" s="78">
        <v>47</v>
      </c>
      <c r="AM65" s="78">
        <v>48</v>
      </c>
      <c r="AN65" s="78"/>
      <c r="AO65" s="78"/>
      <c r="AP65" s="78"/>
      <c r="AQ65" s="10"/>
    </row>
    <row r="66" spans="1:43" ht="13" x14ac:dyDescent="0.3">
      <c r="A66" s="3" t="s">
        <v>121</v>
      </c>
      <c r="B66" s="4"/>
      <c r="T66" s="10"/>
      <c r="U66" s="10"/>
      <c r="V66" s="10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>
        <v>49</v>
      </c>
      <c r="AH66" s="78">
        <v>50</v>
      </c>
      <c r="AI66" s="78">
        <v>51</v>
      </c>
      <c r="AJ66" s="78">
        <v>52</v>
      </c>
      <c r="AK66" s="78">
        <v>53</v>
      </c>
      <c r="AL66" s="78">
        <v>54</v>
      </c>
      <c r="AM66" s="78">
        <v>55</v>
      </c>
      <c r="AN66" s="78"/>
      <c r="AO66" s="78"/>
      <c r="AP66" s="78"/>
      <c r="AQ66" s="10"/>
    </row>
    <row r="67" spans="1:43" ht="13" x14ac:dyDescent="0.3">
      <c r="A67" s="1">
        <v>9</v>
      </c>
      <c r="B67" s="5">
        <f>COUNTIF($E$6:$E$13,"&gt;" &amp; A67)+COUNTIF($J$6:$J$13,"&gt;" &amp; A67)+COUNTIF($O$6:$O$13,"&gt;" &amp; A67)+COUNTIF($T$6:$T$13,"&gt;" &amp; A67)+COUNTIF($Y$6:$Y$13,"&gt;" &amp; A67)+COUNTIF($AD$6:$AD$13,"&gt;" &amp; A67)+COUNTIF($AI$6:$AI$13,"&gt;" &amp; A67)</f>
        <v>0</v>
      </c>
      <c r="C67" s="3" t="s">
        <v>122</v>
      </c>
      <c r="E67" s="3" t="s">
        <v>123</v>
      </c>
      <c r="H67" s="1" t="s">
        <v>124</v>
      </c>
      <c r="L67" s="3" t="s">
        <v>125</v>
      </c>
      <c r="T67" s="10"/>
      <c r="U67" s="10"/>
      <c r="V67" s="10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>
        <v>56</v>
      </c>
      <c r="AH67" s="78">
        <v>57</v>
      </c>
      <c r="AI67" s="78">
        <v>58</v>
      </c>
      <c r="AJ67" s="78">
        <v>59</v>
      </c>
      <c r="AK67" s="78">
        <v>60</v>
      </c>
      <c r="AL67" s="78">
        <v>61</v>
      </c>
      <c r="AM67" s="78">
        <v>62</v>
      </c>
      <c r="AN67" s="78"/>
      <c r="AO67" s="78"/>
      <c r="AP67" s="78"/>
      <c r="AQ67" s="10"/>
    </row>
    <row r="68" spans="1:43" x14ac:dyDescent="0.25">
      <c r="T68" s="10"/>
      <c r="U68" s="10"/>
      <c r="V68" s="10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>
        <v>63</v>
      </c>
      <c r="AH68" s="78">
        <v>64</v>
      </c>
      <c r="AI68" s="78">
        <v>65</v>
      </c>
      <c r="AJ68" s="78">
        <v>66</v>
      </c>
      <c r="AK68" s="78">
        <v>67</v>
      </c>
      <c r="AL68" s="78">
        <v>68</v>
      </c>
      <c r="AM68" s="78">
        <v>69</v>
      </c>
      <c r="AN68" s="78"/>
      <c r="AO68" s="78"/>
      <c r="AP68" s="78"/>
      <c r="AQ68" s="10"/>
    </row>
    <row r="69" spans="1:43" x14ac:dyDescent="0.25">
      <c r="A69" s="3" t="s">
        <v>126</v>
      </c>
      <c r="T69" s="10"/>
      <c r="U69" s="10"/>
      <c r="V69" s="10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>
        <v>70</v>
      </c>
      <c r="AH69" s="78">
        <v>71</v>
      </c>
      <c r="AI69" s="78">
        <v>72</v>
      </c>
      <c r="AJ69" s="78">
        <v>73</v>
      </c>
      <c r="AK69" s="78">
        <v>74</v>
      </c>
      <c r="AL69" s="78">
        <v>75</v>
      </c>
      <c r="AM69" s="78">
        <v>76</v>
      </c>
      <c r="AN69" s="78"/>
      <c r="AO69" s="78"/>
      <c r="AP69" s="78"/>
      <c r="AQ69" s="10"/>
    </row>
    <row r="70" spans="1:43" x14ac:dyDescent="0.25">
      <c r="A70" s="1">
        <v>20</v>
      </c>
      <c r="B70" s="5">
        <f>COUNTIF($AK$6:$AK$13,"&gt;" &amp; A70)</f>
        <v>0</v>
      </c>
      <c r="C70" s="3" t="s">
        <v>127</v>
      </c>
      <c r="E70" s="3" t="s">
        <v>128</v>
      </c>
      <c r="H70" s="1" t="s">
        <v>124</v>
      </c>
      <c r="T70" s="10"/>
      <c r="U70" s="10"/>
      <c r="V70" s="10"/>
      <c r="W70" s="78"/>
      <c r="X70" s="78"/>
      <c r="Y70" s="78"/>
      <c r="Z70" s="78"/>
      <c r="AA70" s="78"/>
      <c r="AB70" s="78"/>
      <c r="AC70" s="78"/>
      <c r="AD70" s="78"/>
      <c r="AE70" s="78"/>
      <c r="AF70" s="78"/>
      <c r="AG70" s="78">
        <v>77</v>
      </c>
      <c r="AH70" s="78">
        <v>78</v>
      </c>
      <c r="AI70" s="78">
        <v>79</v>
      </c>
      <c r="AJ70" s="78">
        <v>80</v>
      </c>
      <c r="AK70" s="78">
        <v>81</v>
      </c>
      <c r="AL70" s="78">
        <v>82</v>
      </c>
      <c r="AM70" s="78">
        <v>83</v>
      </c>
      <c r="AN70" s="78"/>
      <c r="AO70" s="78"/>
      <c r="AP70" s="78"/>
      <c r="AQ70" s="10"/>
    </row>
    <row r="71" spans="1:43" x14ac:dyDescent="0.25">
      <c r="W71" s="78"/>
      <c r="X71" s="78"/>
      <c r="Y71" s="78"/>
      <c r="Z71" s="78"/>
      <c r="AA71" s="78"/>
      <c r="AB71" s="78"/>
      <c r="AC71" s="78"/>
      <c r="AD71" s="78"/>
      <c r="AE71" s="78"/>
      <c r="AF71" s="78"/>
      <c r="AG71" s="78">
        <v>84</v>
      </c>
      <c r="AH71" s="78">
        <v>85</v>
      </c>
      <c r="AI71" s="78">
        <v>86</v>
      </c>
      <c r="AJ71" s="78">
        <v>87</v>
      </c>
      <c r="AK71" s="78">
        <v>88</v>
      </c>
      <c r="AL71" s="78">
        <v>89</v>
      </c>
      <c r="AM71" s="78">
        <v>90</v>
      </c>
      <c r="AN71" s="78"/>
      <c r="AO71" s="78"/>
      <c r="AP71" s="78"/>
    </row>
    <row r="72" spans="1:43" x14ac:dyDescent="0.25"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  <c r="AL72" s="78"/>
      <c r="AM72" s="78"/>
      <c r="AN72" s="78"/>
      <c r="AO72" s="78"/>
      <c r="AP72" s="78"/>
    </row>
    <row r="73" spans="1:43" x14ac:dyDescent="0.25">
      <c r="W73" s="78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8"/>
      <c r="AK73" s="78"/>
      <c r="AL73" s="78"/>
      <c r="AM73" s="78"/>
      <c r="AN73" s="78"/>
      <c r="AO73" s="78"/>
      <c r="AP73" s="78"/>
    </row>
    <row r="74" spans="1:43" x14ac:dyDescent="0.25"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78"/>
      <c r="AO74" s="78"/>
      <c r="AP74" s="78"/>
    </row>
    <row r="75" spans="1:43" x14ac:dyDescent="0.25"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  <c r="AK75" s="78"/>
      <c r="AL75" s="78"/>
      <c r="AM75" s="78"/>
      <c r="AN75" s="78"/>
      <c r="AO75" s="78"/>
      <c r="AP75" s="78"/>
    </row>
    <row r="76" spans="1:43" x14ac:dyDescent="0.25">
      <c r="W76" s="78"/>
      <c r="X76" s="78"/>
      <c r="Y76" s="78"/>
      <c r="Z76" s="78"/>
      <c r="AA76" s="78"/>
      <c r="AB76" s="78"/>
      <c r="AC76" s="78"/>
      <c r="AD76" s="78"/>
      <c r="AE76" s="78"/>
      <c r="AF76" s="78"/>
      <c r="AG76" s="78"/>
      <c r="AH76" s="78"/>
      <c r="AI76" s="78"/>
      <c r="AJ76" s="78"/>
      <c r="AK76" s="78"/>
      <c r="AL76" s="78"/>
      <c r="AM76" s="78"/>
      <c r="AN76" s="78"/>
      <c r="AO76" s="78"/>
      <c r="AP76" s="78"/>
    </row>
    <row r="77" spans="1:43" x14ac:dyDescent="0.25"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78"/>
      <c r="AK77" s="78"/>
      <c r="AL77" s="78"/>
      <c r="AM77" s="78"/>
      <c r="AN77" s="78"/>
      <c r="AO77" s="78"/>
      <c r="AP77" s="78"/>
    </row>
    <row r="78" spans="1:43" x14ac:dyDescent="0.25">
      <c r="W78" s="78"/>
      <c r="X78" s="78"/>
      <c r="Y78" s="78"/>
      <c r="Z78" s="78"/>
      <c r="AA78" s="78"/>
      <c r="AB78" s="78"/>
      <c r="AC78" s="78"/>
      <c r="AD78" s="78"/>
      <c r="AE78" s="78"/>
      <c r="AF78" s="78"/>
      <c r="AG78" s="78"/>
      <c r="AH78" s="78"/>
      <c r="AI78" s="78"/>
      <c r="AJ78" s="78"/>
      <c r="AK78" s="78"/>
      <c r="AL78" s="78"/>
      <c r="AM78" s="78"/>
      <c r="AN78" s="78"/>
      <c r="AO78" s="78"/>
      <c r="AP78" s="78"/>
    </row>
    <row r="79" spans="1:43" x14ac:dyDescent="0.25">
      <c r="W79" s="78"/>
      <c r="X79" s="78"/>
      <c r="Y79" s="78"/>
      <c r="Z79" s="78"/>
      <c r="AA79" s="78"/>
      <c r="AB79" s="78"/>
      <c r="AC79" s="78"/>
      <c r="AD79" s="78"/>
      <c r="AE79" s="78"/>
      <c r="AF79" s="78"/>
      <c r="AG79" s="78"/>
      <c r="AH79" s="78"/>
      <c r="AI79" s="78"/>
      <c r="AJ79" s="78"/>
      <c r="AK79" s="78"/>
      <c r="AL79" s="78"/>
      <c r="AM79" s="78"/>
      <c r="AN79" s="78"/>
      <c r="AO79" s="78"/>
      <c r="AP79" s="78"/>
    </row>
    <row r="80" spans="1:43" x14ac:dyDescent="0.25">
      <c r="W80" s="78"/>
      <c r="X80" s="78"/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  <c r="AJ80" s="78"/>
      <c r="AK80" s="78"/>
      <c r="AL80" s="78"/>
      <c r="AM80" s="78"/>
      <c r="AN80" s="78"/>
      <c r="AO80" s="78"/>
      <c r="AP80" s="78"/>
    </row>
    <row r="81" spans="1:42" x14ac:dyDescent="0.25"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  <c r="AJ81" s="78"/>
      <c r="AK81" s="78"/>
      <c r="AL81" s="78"/>
      <c r="AM81" s="78"/>
      <c r="AN81" s="78"/>
      <c r="AO81" s="78"/>
      <c r="AP81" s="78"/>
    </row>
    <row r="82" spans="1:42" x14ac:dyDescent="0.25"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8"/>
      <c r="AH82" s="78"/>
      <c r="AI82" s="78"/>
      <c r="AJ82" s="78"/>
      <c r="AK82" s="78"/>
      <c r="AL82" s="78"/>
      <c r="AM82" s="78"/>
      <c r="AN82" s="78"/>
      <c r="AO82" s="78"/>
      <c r="AP82" s="78"/>
    </row>
    <row r="83" spans="1:42" x14ac:dyDescent="0.25"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</row>
    <row r="84" spans="1:42" x14ac:dyDescent="0.25"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</row>
    <row r="85" spans="1:42" x14ac:dyDescent="0.25"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</row>
    <row r="86" spans="1:42" x14ac:dyDescent="0.25"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8"/>
      <c r="AO86" s="78"/>
      <c r="AP86" s="78"/>
    </row>
    <row r="87" spans="1:42" x14ac:dyDescent="0.25"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  <c r="AN87" s="78"/>
      <c r="AO87" s="78"/>
      <c r="AP87" s="78"/>
    </row>
    <row r="95" spans="1:42" ht="13" x14ac:dyDescent="0.3">
      <c r="A95" s="4"/>
    </row>
  </sheetData>
  <sheetProtection algorithmName="SHA-512" hashValue="EoQpwdZ6Xt+a+jBsiMybwrAEGL0TdYePFJKcYgIn9VL81dpZ7AbCOxK/73PfI1IV/mM3ghi06RQVAbGsZ1o1yw==" saltValue="BZLNUOeA8z6fpn66qcZe3w==" spinCount="100000" sheet="1" objects="1" scenarios="1"/>
  <mergeCells count="27">
    <mergeCell ref="A1:C1"/>
    <mergeCell ref="H1:L1"/>
    <mergeCell ref="A2:C2"/>
    <mergeCell ref="A3:C3"/>
    <mergeCell ref="B4:F4"/>
    <mergeCell ref="G4:J4"/>
    <mergeCell ref="L4:O4"/>
    <mergeCell ref="I2:J2"/>
    <mergeCell ref="Q4:T4"/>
    <mergeCell ref="V4:Y4"/>
    <mergeCell ref="AA4:AD4"/>
    <mergeCell ref="AF4:AI4"/>
    <mergeCell ref="AG39:AK39"/>
    <mergeCell ref="A28:C28"/>
    <mergeCell ref="A29:C29"/>
    <mergeCell ref="A30:C30"/>
    <mergeCell ref="D32:E32"/>
    <mergeCell ref="H32:I32"/>
    <mergeCell ref="A37:C37"/>
    <mergeCell ref="D31:E31"/>
    <mergeCell ref="H31:I31"/>
    <mergeCell ref="A36:E36"/>
    <mergeCell ref="N32:O32"/>
    <mergeCell ref="A33:C33"/>
    <mergeCell ref="G33:H33"/>
    <mergeCell ref="A34:B34"/>
    <mergeCell ref="N31:O31"/>
  </mergeCells>
  <conditionalFormatting sqref="A6:A17">
    <cfRule type="cellIs" dxfId="845" priority="373" operator="equal">
      <formula>0</formula>
    </cfRule>
  </conditionalFormatting>
  <conditionalFormatting sqref="A37">
    <cfRule type="cellIs" dxfId="844" priority="253" operator="notEqual">
      <formula>$E$2</formula>
    </cfRule>
    <cfRule type="cellIs" dxfId="843" priority="254" operator="equal">
      <formula>$E$2</formula>
    </cfRule>
  </conditionalFormatting>
  <conditionalFormatting sqref="A32:D32 F32:H32 C34">
    <cfRule type="cellIs" dxfId="842" priority="251" operator="notEqual">
      <formula>$E$3</formula>
    </cfRule>
    <cfRule type="cellIs" dxfId="841" priority="252" operator="equal">
      <formula>$E$3</formula>
    </cfRule>
  </conditionalFormatting>
  <conditionalFormatting sqref="B6:D17">
    <cfRule type="expression" dxfId="840" priority="112">
      <formula>$A6=0</formula>
    </cfRule>
  </conditionalFormatting>
  <conditionalFormatting sqref="E6:E17">
    <cfRule type="expression" dxfId="839" priority="116">
      <formula>AND($H$67="ja",E6&gt;$A$67)</formula>
    </cfRule>
    <cfRule type="cellIs" dxfId="838" priority="117" operator="greaterThanOrEqual">
      <formula>0</formula>
    </cfRule>
  </conditionalFormatting>
  <conditionalFormatting sqref="F6:F17">
    <cfRule type="cellIs" dxfId="837" priority="31" operator="lessThan">
      <formula>$A$45</formula>
    </cfRule>
    <cfRule type="cellIs" dxfId="836" priority="32" operator="equal">
      <formula>0</formula>
    </cfRule>
    <cfRule type="cellIs" dxfId="835" priority="33" operator="notEqual">
      <formula>0</formula>
    </cfRule>
  </conditionalFormatting>
  <conditionalFormatting sqref="G6:I17">
    <cfRule type="expression" dxfId="834" priority="52">
      <formula>$A6=0</formula>
    </cfRule>
  </conditionalFormatting>
  <conditionalFormatting sqref="J6:J17">
    <cfRule type="expression" dxfId="833" priority="104">
      <formula>AND($H$67="ja",J6&gt;$A$67)</formula>
    </cfRule>
    <cfRule type="cellIs" dxfId="832" priority="105" operator="greaterThanOrEqual">
      <formula>0</formula>
    </cfRule>
  </conditionalFormatting>
  <conditionalFormatting sqref="J32:N32">
    <cfRule type="cellIs" dxfId="831" priority="249" operator="notEqual">
      <formula>$E$3</formula>
    </cfRule>
    <cfRule type="cellIs" dxfId="830" priority="250" operator="equal">
      <formula>$E$3</formula>
    </cfRule>
  </conditionalFormatting>
  <conditionalFormatting sqref="K6:K17">
    <cfRule type="cellIs" dxfId="829" priority="28" operator="lessThan">
      <formula>$A$45</formula>
    </cfRule>
    <cfRule type="cellIs" dxfId="828" priority="29" operator="equal">
      <formula>0</formula>
    </cfRule>
    <cfRule type="cellIs" dxfId="827" priority="30" operator="notEqual">
      <formula>0</formula>
    </cfRule>
  </conditionalFormatting>
  <conditionalFormatting sqref="L6:N17">
    <cfRule type="expression" dxfId="826" priority="48">
      <formula>$A6=0</formula>
    </cfRule>
  </conditionalFormatting>
  <conditionalFormatting sqref="O6:O17">
    <cfRule type="cellIs" dxfId="825" priority="97" operator="greaterThanOrEqual">
      <formula>0</formula>
    </cfRule>
    <cfRule type="expression" dxfId="824" priority="96">
      <formula>AND($H$67="ja",O6&gt;$A$67)</formula>
    </cfRule>
  </conditionalFormatting>
  <conditionalFormatting sqref="P6:P17">
    <cfRule type="cellIs" dxfId="823" priority="22" operator="lessThan">
      <formula>$A$45</formula>
    </cfRule>
    <cfRule type="cellIs" dxfId="822" priority="23" operator="equal">
      <formula>0</formula>
    </cfRule>
    <cfRule type="cellIs" dxfId="821" priority="24" operator="notEqual">
      <formula>0</formula>
    </cfRule>
  </conditionalFormatting>
  <conditionalFormatting sqref="Q6:S17">
    <cfRule type="expression" dxfId="820" priority="47">
      <formula>$A6=0</formula>
    </cfRule>
  </conditionalFormatting>
  <conditionalFormatting sqref="T6:T17">
    <cfRule type="cellIs" dxfId="819" priority="89" operator="greaterThanOrEqual">
      <formula>0</formula>
    </cfRule>
    <cfRule type="expression" dxfId="818" priority="88">
      <formula>AND($H$67="ja",T6&gt;$A$67)</formula>
    </cfRule>
  </conditionalFormatting>
  <conditionalFormatting sqref="U6:U17">
    <cfRule type="cellIs" dxfId="817" priority="17" operator="equal">
      <formula>0</formula>
    </cfRule>
    <cfRule type="cellIs" dxfId="816" priority="16" operator="lessThan">
      <formula>$A$45</formula>
    </cfRule>
    <cfRule type="cellIs" dxfId="815" priority="18" operator="notEqual">
      <formula>0</formula>
    </cfRule>
  </conditionalFormatting>
  <conditionalFormatting sqref="V6:X17">
    <cfRule type="expression" dxfId="814" priority="46">
      <formula>$A6=0</formula>
    </cfRule>
  </conditionalFormatting>
  <conditionalFormatting sqref="Y6:Y17 AD6:AD17 AI6:AI17">
    <cfRule type="expression" dxfId="813" priority="59">
      <formula>AND($H$67="ja",Y6&gt;$A$67)</formula>
    </cfRule>
    <cfRule type="cellIs" dxfId="812" priority="60" operator="greaterThanOrEqual">
      <formula>0</formula>
    </cfRule>
  </conditionalFormatting>
  <conditionalFormatting sqref="Z6:Z17">
    <cfRule type="cellIs" dxfId="811" priority="11" operator="equal">
      <formula>0</formula>
    </cfRule>
    <cfRule type="cellIs" dxfId="810" priority="10" operator="lessThan">
      <formula>$A$45</formula>
    </cfRule>
    <cfRule type="cellIs" dxfId="809" priority="12" operator="notEqual">
      <formula>0</formula>
    </cfRule>
  </conditionalFormatting>
  <conditionalFormatting sqref="AA6:AC17">
    <cfRule type="expression" dxfId="808" priority="43">
      <formula>$A6=0</formula>
    </cfRule>
  </conditionalFormatting>
  <conditionalFormatting sqref="AE6:AE17">
    <cfRule type="cellIs" dxfId="807" priority="5" operator="equal">
      <formula>0</formula>
    </cfRule>
    <cfRule type="cellIs" dxfId="806" priority="4" operator="lessThan">
      <formula>$A$45</formula>
    </cfRule>
    <cfRule type="cellIs" dxfId="805" priority="6" operator="notEqual">
      <formula>0</formula>
    </cfRule>
  </conditionalFormatting>
  <conditionalFormatting sqref="AF6:AH17">
    <cfRule type="expression" dxfId="804" priority="34">
      <formula>$A6=0</formula>
    </cfRule>
  </conditionalFormatting>
  <conditionalFormatting sqref="AJ6:AJ17">
    <cfRule type="cellIs" dxfId="803" priority="3" operator="notEqual">
      <formula>0</formula>
    </cfRule>
    <cfRule type="cellIs" dxfId="802" priority="2" operator="equal">
      <formula>0</formula>
    </cfRule>
    <cfRule type="cellIs" dxfId="801" priority="1" operator="lessThan">
      <formula>$A$45</formula>
    </cfRule>
  </conditionalFormatting>
  <conditionalFormatting sqref="AK6:AK17">
    <cfRule type="expression" dxfId="800" priority="58">
      <formula>AND($H$70="ja",AK6&gt;$A$70)</formula>
    </cfRule>
    <cfRule type="cellIs" dxfId="799" priority="61" operator="greaterThanOrEqual">
      <formula>0</formula>
    </cfRule>
  </conditionalFormatting>
  <dataValidations count="1">
    <dataValidation type="list" allowBlank="1" showInputMessage="1" showErrorMessage="1" sqref="H67 H70" xr:uid="{00000000-0002-0000-0900-000000000000}">
      <formula1>Ja_og_nei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3"/>
  <dimension ref="A1:AQ95"/>
  <sheetViews>
    <sheetView zoomScale="85" zoomScaleNormal="85" workbookViewId="0">
      <pane ySplit="24" topLeftCell="A25" activePane="bottomLeft" state="frozen"/>
      <selection pane="bottomLeft" activeCell="D10" sqref="D10"/>
    </sheetView>
  </sheetViews>
  <sheetFormatPr defaultColWidth="9.08984375" defaultRowHeight="12.5" x14ac:dyDescent="0.25"/>
  <cols>
    <col min="1" max="1" width="10.7265625" style="3" customWidth="1"/>
    <col min="2" max="2" width="7.6328125" style="3" customWidth="1"/>
    <col min="3" max="3" width="7.81640625" style="3" customWidth="1"/>
    <col min="4" max="4" width="4.36328125" style="3" bestFit="1" customWidth="1"/>
    <col min="5" max="6" width="10" style="3" customWidth="1"/>
    <col min="7" max="7" width="7" style="3" customWidth="1"/>
    <col min="8" max="8" width="7.6328125" style="3" customWidth="1"/>
    <col min="9" max="9" width="4.36328125" style="3" bestFit="1" customWidth="1"/>
    <col min="10" max="11" width="10" style="3" customWidth="1"/>
    <col min="12" max="12" width="7.26953125" style="3" customWidth="1"/>
    <col min="13" max="13" width="7.7265625" style="3" customWidth="1"/>
    <col min="14" max="14" width="4.36328125" style="3" bestFit="1" customWidth="1"/>
    <col min="15" max="15" width="10.08984375" style="3" bestFit="1" customWidth="1"/>
    <col min="16" max="16" width="10.08984375" style="3" customWidth="1"/>
    <col min="17" max="17" width="7.6328125" style="3" customWidth="1"/>
    <col min="18" max="18" width="7.7265625" style="3" customWidth="1"/>
    <col min="19" max="19" width="4.36328125" style="3" bestFit="1" customWidth="1"/>
    <col min="20" max="20" width="10.08984375" style="3" bestFit="1" customWidth="1"/>
    <col min="21" max="21" width="10.08984375" style="3" customWidth="1"/>
    <col min="22" max="22" width="8.36328125" style="3" customWidth="1"/>
    <col min="23" max="23" width="8.81640625" style="3" customWidth="1"/>
    <col min="24" max="24" width="4.36328125" style="3" bestFit="1" customWidth="1"/>
    <col min="25" max="26" width="10" style="3" customWidth="1"/>
    <col min="27" max="28" width="7.81640625" style="3" customWidth="1"/>
    <col min="29" max="29" width="4.36328125" style="3" bestFit="1" customWidth="1"/>
    <col min="30" max="31" width="9.7265625" style="3" customWidth="1"/>
    <col min="32" max="32" width="6.81640625" style="3" customWidth="1"/>
    <col min="33" max="33" width="7.6328125" style="3" customWidth="1"/>
    <col min="34" max="34" width="4.36328125" style="3" bestFit="1" customWidth="1"/>
    <col min="35" max="36" width="9.6328125" style="3" customWidth="1"/>
    <col min="37" max="37" width="15.6328125" style="3" bestFit="1" customWidth="1"/>
    <col min="38" max="16384" width="9.08984375" style="3"/>
  </cols>
  <sheetData>
    <row r="1" spans="1:39" ht="13" x14ac:dyDescent="0.3">
      <c r="A1" s="98" t="s">
        <v>66</v>
      </c>
      <c r="B1" s="98"/>
      <c r="C1" s="98"/>
      <c r="D1" s="88"/>
      <c r="E1" s="5" t="str">
        <f>Vaktplan!G38</f>
        <v>mandag</v>
      </c>
      <c r="H1" s="98" t="s">
        <v>67</v>
      </c>
      <c r="I1" s="98"/>
      <c r="J1" s="98"/>
      <c r="K1" s="98"/>
      <c r="L1" s="98"/>
      <c r="M1" s="5">
        <f>Vaktplan!AJ49</f>
        <v>12</v>
      </c>
    </row>
    <row r="2" spans="1:39" ht="13" x14ac:dyDescent="0.3">
      <c r="A2" s="98" t="s">
        <v>36</v>
      </c>
      <c r="B2" s="98"/>
      <c r="C2" s="98"/>
      <c r="D2" s="88"/>
      <c r="E2" s="8">
        <f>Vaktplan!AM49</f>
        <v>0</v>
      </c>
      <c r="I2" s="106"/>
      <c r="J2" s="106"/>
    </row>
    <row r="3" spans="1:39" ht="13" x14ac:dyDescent="0.3">
      <c r="A3" s="98" t="s">
        <v>68</v>
      </c>
      <c r="B3" s="98"/>
      <c r="C3" s="98"/>
      <c r="D3" s="88"/>
      <c r="E3" s="5">
        <f>Vaktplan!AQ49</f>
        <v>0</v>
      </c>
      <c r="F3" s="4" t="s">
        <v>69</v>
      </c>
    </row>
    <row r="4" spans="1:39" ht="13" x14ac:dyDescent="0.3">
      <c r="A4" s="89" t="s">
        <v>70</v>
      </c>
      <c r="B4" s="103" t="str">
        <f>TEXT(AG39,"DDDD")</f>
        <v>Monday</v>
      </c>
      <c r="C4" s="104"/>
      <c r="D4" s="104"/>
      <c r="E4" s="104"/>
      <c r="F4" s="105"/>
      <c r="G4" s="102" t="str">
        <f>TEXT($AG$39+1,"DDDD")</f>
        <v>Tuesday</v>
      </c>
      <c r="H4" s="102"/>
      <c r="I4" s="102"/>
      <c r="J4" s="102"/>
      <c r="K4" s="89"/>
      <c r="L4" s="102" t="str">
        <f>TEXT($AG$39+2,"DDDD")</f>
        <v>Wednesday</v>
      </c>
      <c r="M4" s="102"/>
      <c r="N4" s="102"/>
      <c r="O4" s="102"/>
      <c r="P4" s="89"/>
      <c r="Q4" s="102" t="str">
        <f>TEXT($AG$39+3,"DDDD")</f>
        <v>Thursday</v>
      </c>
      <c r="R4" s="102"/>
      <c r="S4" s="102"/>
      <c r="T4" s="102"/>
      <c r="U4" s="89"/>
      <c r="V4" s="102" t="str">
        <f>TEXT($AG$39+4,"DDDD")</f>
        <v>Friday</v>
      </c>
      <c r="W4" s="102"/>
      <c r="X4" s="102"/>
      <c r="Y4" s="102"/>
      <c r="Z4" s="89"/>
      <c r="AA4" s="102" t="str">
        <f>TEXT($AG$39+5,"DDDD")</f>
        <v>Saturday</v>
      </c>
      <c r="AB4" s="102"/>
      <c r="AC4" s="102"/>
      <c r="AD4" s="102"/>
      <c r="AE4" s="89"/>
      <c r="AF4" s="102" t="str">
        <f>TEXT($AG$39+6,"DDDD")</f>
        <v>Sunday</v>
      </c>
      <c r="AG4" s="102"/>
      <c r="AH4" s="102"/>
      <c r="AI4" s="102"/>
      <c r="AJ4" s="89"/>
      <c r="AK4" s="7" t="s">
        <v>71</v>
      </c>
    </row>
    <row r="5" spans="1:39" x14ac:dyDescent="0.25">
      <c r="A5" s="6"/>
      <c r="B5" s="6" t="s">
        <v>72</v>
      </c>
      <c r="C5" s="6" t="s">
        <v>73</v>
      </c>
      <c r="D5" s="6" t="s">
        <v>55</v>
      </c>
      <c r="E5" s="6" t="s">
        <v>74</v>
      </c>
      <c r="F5" s="6" t="s">
        <v>75</v>
      </c>
      <c r="G5" s="6" t="s">
        <v>72</v>
      </c>
      <c r="H5" s="6" t="s">
        <v>73</v>
      </c>
      <c r="I5" s="6" t="s">
        <v>55</v>
      </c>
      <c r="J5" s="6" t="s">
        <v>74</v>
      </c>
      <c r="K5" s="6" t="s">
        <v>75</v>
      </c>
      <c r="L5" s="6" t="s">
        <v>72</v>
      </c>
      <c r="M5" s="6" t="s">
        <v>73</v>
      </c>
      <c r="N5" s="6" t="s">
        <v>55</v>
      </c>
      <c r="O5" s="6" t="s">
        <v>74</v>
      </c>
      <c r="P5" s="6" t="s">
        <v>75</v>
      </c>
      <c r="Q5" s="6" t="s">
        <v>72</v>
      </c>
      <c r="R5" s="6" t="s">
        <v>73</v>
      </c>
      <c r="S5" s="6" t="s">
        <v>55</v>
      </c>
      <c r="T5" s="6" t="s">
        <v>74</v>
      </c>
      <c r="U5" s="6" t="s">
        <v>75</v>
      </c>
      <c r="V5" s="6" t="s">
        <v>72</v>
      </c>
      <c r="W5" s="6" t="s">
        <v>73</v>
      </c>
      <c r="X5" s="6" t="s">
        <v>55</v>
      </c>
      <c r="Y5" s="6" t="s">
        <v>74</v>
      </c>
      <c r="Z5" s="6" t="s">
        <v>75</v>
      </c>
      <c r="AA5" s="6" t="s">
        <v>72</v>
      </c>
      <c r="AB5" s="6" t="s">
        <v>73</v>
      </c>
      <c r="AC5" s="6" t="s">
        <v>55</v>
      </c>
      <c r="AD5" s="6" t="s">
        <v>74</v>
      </c>
      <c r="AE5" s="6" t="s">
        <v>75</v>
      </c>
      <c r="AF5" s="6" t="s">
        <v>72</v>
      </c>
      <c r="AG5" s="6" t="s">
        <v>73</v>
      </c>
      <c r="AH5" s="6" t="s">
        <v>55</v>
      </c>
      <c r="AI5" s="6" t="s">
        <v>74</v>
      </c>
      <c r="AJ5" s="6" t="s">
        <v>75</v>
      </c>
      <c r="AK5" s="6"/>
    </row>
    <row r="6" spans="1:39" ht="13" x14ac:dyDescent="0.25">
      <c r="A6" s="7">
        <f>IF(M1&gt;=1,1,0)</f>
        <v>1</v>
      </c>
      <c r="B6" s="77">
        <f>IFERROR(VLOOKUP(Vaktplan!$A$49,Vaktplan!$A$4:$CL$35,87-AH59,FALSE),0)</f>
        <v>0</v>
      </c>
      <c r="C6" s="77">
        <f>IFERROR(VLOOKUP(Vaktplan!$A$49,Vaktplan!$A$4:$CL$35,87-AG59,FALSE),0)</f>
        <v>0</v>
      </c>
      <c r="D6" s="9">
        <f>IFERROR(VLOOKUP(Vaktplan!$A$49,Vaktplan!$A$4:$CL$35,89-AG59,FALSE),0)</f>
        <v>0</v>
      </c>
      <c r="E6" s="9">
        <f>IF(AND(B6=0,C6=0),0,IF(B6&lt;C6,((C6-B6)*24)-D6,(((1-B6)+C6)*24)-D6))</f>
        <v>0</v>
      </c>
      <c r="F6" s="9">
        <f>IF(AND(C6=0,G6=0),24,IF(C6=0,12+(G6*24),IF(C6&lt;G6,((G6-C6)*24),IF(G6=0,(1-C6+0.5)*24,((1-C6)+G6)*24))))</f>
        <v>24</v>
      </c>
      <c r="G6" s="77">
        <f>IFERROR(VLOOKUP(Vaktplan!$A$49,Vaktplan!$B$4:$CL$35,86-AH59,FALSE),0)</f>
        <v>0</v>
      </c>
      <c r="H6" s="77">
        <f>IFERROR(VLOOKUP(Vaktplan!$A$49,Vaktplan!$B$4:$CL$35,86-AG59,FALSE),0)</f>
        <v>0</v>
      </c>
      <c r="I6" s="9">
        <f>IFERROR(VLOOKUP(Vaktplan!$A$49,Vaktplan!$B$4:$CL$35,89-$AH59,FALSE),0)</f>
        <v>0</v>
      </c>
      <c r="J6" s="9">
        <f>IF(AND(G6=0,H6=0),0,IF(G6&lt;H6,((H6-G6)*24)-I6,(((1-G6)+H6)*24)-I6))</f>
        <v>0</v>
      </c>
      <c r="K6" s="9">
        <f>IF(AND(H6=0,L6=0),24,IF(H6=0,12+(L6*24),IF(H6&lt;L6,((L6-H6)*24),IF(L6=0,(1-H6+0.5)*24,((1-H6)+L6)*24))))</f>
        <v>24</v>
      </c>
      <c r="L6" s="77">
        <f>IFERROR(VLOOKUP(Vaktplan!$A$49,Vaktplan!$C$4:$CL$35,86-AI59,FALSE),0)</f>
        <v>0</v>
      </c>
      <c r="M6" s="77">
        <f>IFERROR(VLOOKUP(Vaktplan!$A$49,Vaktplan!$C$4:$CL$35,86-AH59,FALSE),0)</f>
        <v>0</v>
      </c>
      <c r="N6" s="9">
        <f>IFERROR(VLOOKUP(Vaktplan!$A$49,Vaktplan!$C$4:$CL$35,89-$AI59,FALSE),0)</f>
        <v>0</v>
      </c>
      <c r="O6" s="9">
        <f>IF(AND(L6=0,M6=0),0,IF(L6&lt;M6,((M6-L6)*24)-N6,(((1-L6)+M6)*24)-N6))</f>
        <v>0</v>
      </c>
      <c r="P6" s="9">
        <f>IF(AND(M6=0,Q6=0),24,IF(M6=0,12+(Q6*24),IF(M6&lt;Q6,((Q6-M6)*24),IF(Q6=0,(1-M6+0.5)*24,((1-M6)+Q6)*24))))</f>
        <v>24</v>
      </c>
      <c r="Q6" s="77">
        <f>IFERROR(VLOOKUP(Vaktplan!$A$49,Vaktplan!$D$4:$CL$35,86-AJ59,FALSE),0)</f>
        <v>0</v>
      </c>
      <c r="R6" s="77">
        <f>IFERROR(VLOOKUP(Vaktplan!$A$49,Vaktplan!$D$4:$CL$35,86-AI59,FALSE),0)</f>
        <v>0</v>
      </c>
      <c r="S6" s="9">
        <f>IFERROR(VLOOKUP(Vaktplan!$A$49,Vaktplan!$D$4:$CL$35,89-$AJ59,FALSE),0)</f>
        <v>0</v>
      </c>
      <c r="T6" s="9">
        <f t="shared" ref="T6:T17" si="0">IF(AND(Q6=0,R6=0),0,IF(Q6&lt;R6,((R6-Q6)*24)-S6,(((1-Q6)+R6)*24)-S6))</f>
        <v>0</v>
      </c>
      <c r="U6" s="9">
        <f>IF(AND(R6=0,V6=0),24,IF(R6=0,12+(V6*24),IF(R6&lt;V6,((V6-R6)*24),IF(V6=0,(1-R6+0.5)*24,((1-R6)+V6)*24))))</f>
        <v>24</v>
      </c>
      <c r="V6" s="77">
        <f>IFERROR(VLOOKUP(Vaktplan!$A$49,Vaktplan!$E$4:$CL$35,86-AK59,FALSE),0)</f>
        <v>0</v>
      </c>
      <c r="W6" s="77">
        <f>IFERROR(VLOOKUP(Vaktplan!$A$49,Vaktplan!$E$4:$CL$35,86-AJ59,FALSE),0)</f>
        <v>0</v>
      </c>
      <c r="X6" s="9">
        <f>IFERROR(VLOOKUP(Vaktplan!$A$49,Vaktplan!$E$4:$CL$35,89-$AK59,FALSE),0)</f>
        <v>0</v>
      </c>
      <c r="Y6" s="9">
        <f>IF(AND(V6=0,W6=0),0,IF(V6&lt;W6,((W6-V6)*24)-X6,(((1-V6)+W6)*24)-X6))</f>
        <v>0</v>
      </c>
      <c r="Z6" s="9">
        <f>IF(AND(W6=0,AA6=0),24,IF(W6=0,12+(AA6*24),IF(W6&lt;AA6,((AA6-W6)*24),IF(AA6=0,(1-W6+0.5)*24,((1-W6)+AA6)*24))))</f>
        <v>24</v>
      </c>
      <c r="AA6" s="77">
        <f>IFERROR(VLOOKUP(Vaktplan!$A$49,Vaktplan!$F$4:$CL$35,86-AL59,FALSE),0)</f>
        <v>0</v>
      </c>
      <c r="AB6" s="77">
        <f>IFERROR(VLOOKUP(Vaktplan!$A$49,Vaktplan!$F$4:$CL$35,86-AK59,FALSE),0)</f>
        <v>0</v>
      </c>
      <c r="AC6" s="9">
        <f>IFERROR(VLOOKUP(Vaktplan!$A$49,Vaktplan!$F$4:$CL$35,89-$AL59,FALSE),0)</f>
        <v>0</v>
      </c>
      <c r="AD6" s="9">
        <f>IF(AND(AA6=0,AB6=0),0,IF(AA6&lt;AB6,((AB6-AA6)*24)-AC6,(((1-AA6)+AB6)*24)-AC6))</f>
        <v>0</v>
      </c>
      <c r="AE6" s="9">
        <f>IF(AND(AB6=0,AF6=0),24,IF(AB6=0,12+(AF6*24),IF(AB6&lt;AF6,((AF6-AB6)*24),IF(AF6=0,(1-AB6+0.5)*24,((1-AB6)+AF6)*24))))</f>
        <v>24</v>
      </c>
      <c r="AF6" s="77">
        <f>IFERROR(VLOOKUP(Vaktplan!$A$49,Vaktplan!$G$4:$CL$35,86-AM59,FALSE),0)</f>
        <v>0</v>
      </c>
      <c r="AG6" s="77">
        <f>IFERROR(VLOOKUP(Vaktplan!$A$49,Vaktplan!$G$4:$CL$35,86-AL59,FALSE),0)</f>
        <v>0</v>
      </c>
      <c r="AH6" s="9">
        <f>IFERROR(VLOOKUP(Vaktplan!$A$49,Vaktplan!$G$4:$CL$35,89-$AM59,FALSE),0)</f>
        <v>0</v>
      </c>
      <c r="AI6" s="9">
        <f>IF(AND(AF6=0,AG6=0),0,IF(AF6&lt;AG6,((AG6-AF6)*24)-AH6,(((1-AF6)+AG6)*24)-AH6))</f>
        <v>0</v>
      </c>
      <c r="AJ6" s="9">
        <f>IF($M$1=AL28,IF(AND(AG6=0,B6=0),24,IF(AG6=0,12+($B$6*24),IF(AG6&lt;$B$6,(($B$6-AG6)*24),IF($B$6=0,(1-AG6+1)*24,((1-AG6)+$B$6)*24)))),IF(AND(AG6=0,B7=0),24,IF(AG6=0,12+(B7*24),IF(AG6&lt;B7,((B7-AG6)*24),IF(B7=0,(1-AG6+1)*24,((1-AG6)+B7)*24)))))</f>
        <v>24</v>
      </c>
      <c r="AK6" s="9">
        <f t="shared" ref="AK6:AK17" si="1">E6+J6+O6+T6+Y6+AD6+AI6</f>
        <v>0</v>
      </c>
      <c r="AL6" s="10">
        <f>AJ6</f>
        <v>24</v>
      </c>
      <c r="AM6" s="10">
        <f>AK6</f>
        <v>0</v>
      </c>
    </row>
    <row r="7" spans="1:39" ht="13" x14ac:dyDescent="0.25">
      <c r="A7" s="7">
        <f>IF($M$1&gt;=2,2,0)</f>
        <v>2</v>
      </c>
      <c r="B7" s="77">
        <f>IFERROR(VLOOKUP(Vaktplan!$A$49,Vaktplan!$H$4:$CL$35,87-AH60,FALSE),0)</f>
        <v>0</v>
      </c>
      <c r="C7" s="77">
        <f>IFERROR(VLOOKUP(Vaktplan!$A$49,Vaktplan!$H$4:$CL$35,87-AG60,FALSE),0)</f>
        <v>0</v>
      </c>
      <c r="D7" s="9">
        <f>IFERROR(VLOOKUP(Vaktplan!$A$49,Vaktplan!$H$4:$CL$35,89-AG60,FALSE),0)</f>
        <v>0</v>
      </c>
      <c r="E7" s="9">
        <f>IF(AND(B7=0,C7=0),0,IF(B7&lt;C7,((C7-B7)*24)-D7,(((1-B7)+C7)*24)-D7))</f>
        <v>0</v>
      </c>
      <c r="F7" s="9">
        <f t="shared" ref="F7:F17" si="2">IF(AND(C7=0,G7=0),24,IF(C7=0,12+(G7*24),IF(C7&lt;G7,((G7-C7)*24),IF(G7=0,(1-C7+0.5)*24,((1-C7)+G7)*24))))</f>
        <v>24</v>
      </c>
      <c r="G7" s="77">
        <f>IFERROR(VLOOKUP(Vaktplan!$A$49,Vaktplan!$I$4:$CL$35,86-AH60,FALSE),0)</f>
        <v>0</v>
      </c>
      <c r="H7" s="77">
        <f>IFERROR(VLOOKUP(Vaktplan!$A$49,Vaktplan!$I$4:$CL$35,86-AG60,FALSE),0)</f>
        <v>0</v>
      </c>
      <c r="I7" s="9">
        <f>IFERROR(VLOOKUP(Vaktplan!$A$49,Vaktplan!$I$4:$CL$35,89-$AH60,FALSE),0)</f>
        <v>0</v>
      </c>
      <c r="J7" s="9">
        <f t="shared" ref="J7:J17" si="3">IF(AND(G7=0,H7=0),0,IF(G7&lt;H7,((H7-G7)*24)-I7,(((1-G7)+H7)*24)-I7))</f>
        <v>0</v>
      </c>
      <c r="K7" s="9">
        <f t="shared" ref="K7:K17" si="4">IF(AND(H7=0,L7=0),24,IF(H7=0,12+(L7*24),IF(H7&lt;L7,((L7-H7)*24),IF(L7=0,(1-H7+0.5)*24,((1-H7)+L7)*24))))</f>
        <v>24</v>
      </c>
      <c r="L7" s="77">
        <f>IFERROR(VLOOKUP(Vaktplan!$A$49,Vaktplan!$J$4:$CL$35,86-AI60,FALSE),0)</f>
        <v>0</v>
      </c>
      <c r="M7" s="77">
        <f>IFERROR(VLOOKUP(Vaktplan!$A$49,Vaktplan!$J$4:$CL$35,86-AH60,FALSE),0)</f>
        <v>0</v>
      </c>
      <c r="N7" s="9">
        <f>IFERROR(VLOOKUP(Vaktplan!$A$49,Vaktplan!$J$4:$CL$35,89-$AI60,FALSE),0)</f>
        <v>0</v>
      </c>
      <c r="O7" s="9">
        <f t="shared" ref="O7:O17" si="5">IF(AND(L7=0,M7=0),0,IF(L7&lt;M7,((M7-L7)*24)-N7,(((1-L7)+M7)*24)-N7))</f>
        <v>0</v>
      </c>
      <c r="P7" s="9">
        <f t="shared" ref="P7:P17" si="6">IF(AND(M7=0,Q7=0),24,IF(M7=0,12+(Q7*24),IF(M7&lt;Q7,((Q7-M7)*24),IF(Q7=0,(1-M7+0.5)*24,((1-M7)+Q7)*24))))</f>
        <v>24</v>
      </c>
      <c r="Q7" s="77">
        <f>IFERROR(VLOOKUP(Vaktplan!$A$49,Vaktplan!$K$4:$CL$35,86-AJ60,FALSE),0)</f>
        <v>0</v>
      </c>
      <c r="R7" s="77">
        <f>IFERROR(VLOOKUP(Vaktplan!$A$49,Vaktplan!$K$4:$CL$35,86-AI60,FALSE),0)</f>
        <v>0</v>
      </c>
      <c r="S7" s="9">
        <f>IFERROR(VLOOKUP(Vaktplan!$A$49,Vaktplan!$K$4:$CL$35,89-$AJ60,FALSE),0)</f>
        <v>0</v>
      </c>
      <c r="T7" s="9">
        <f t="shared" si="0"/>
        <v>0</v>
      </c>
      <c r="U7" s="9">
        <f t="shared" ref="U7:U17" si="7">IF(AND(R7=0,V7=0),24,IF(R7=0,12+(V7*24),IF(R7&lt;V7,((V7-R7)*24),IF(V7=0,(1-R7+0.5)*24,((1-R7)+V7)*24))))</f>
        <v>24</v>
      </c>
      <c r="V7" s="77">
        <f>IFERROR(VLOOKUP(Vaktplan!$A$49,Vaktplan!$L$4:$CL$35,86-AK60,FALSE),0)</f>
        <v>0</v>
      </c>
      <c r="W7" s="77">
        <f>IFERROR(VLOOKUP(Vaktplan!$A$49,Vaktplan!$L$4:$CL$35,86-AJ60,FALSE),0)</f>
        <v>0</v>
      </c>
      <c r="X7" s="9">
        <f>IFERROR(VLOOKUP(Vaktplan!$A$49,Vaktplan!$L$4:$CL$35,89-$AK60,FALSE),0)</f>
        <v>0</v>
      </c>
      <c r="Y7" s="9">
        <f t="shared" ref="Y7:Y13" si="8">IF(AND(V7=0,W7=0),0,IF(V7&lt;W7,((W7-V7)*24)-X7,(((1-V7)+W7)*24)-X7))</f>
        <v>0</v>
      </c>
      <c r="Z7" s="9">
        <f t="shared" ref="Z7:Z17" si="9">IF(AND(W7=0,AA7=0),24,IF(W7=0,12+(AA7*24),IF(W7&lt;AA7,((AA7-W7)*24),IF(AA7=0,(1-W7+0.5)*24,((1-W7)+AA7)*24))))</f>
        <v>24</v>
      </c>
      <c r="AA7" s="77">
        <f>IFERROR(VLOOKUP(Vaktplan!$A$49,Vaktplan!$M$4:$CL$35,86-AL60,FALSE),0)</f>
        <v>0</v>
      </c>
      <c r="AB7" s="77">
        <f>IFERROR(VLOOKUP(Vaktplan!$A$49,Vaktplan!$M$4:$CL$35,86-AK60,FALSE),0)</f>
        <v>0</v>
      </c>
      <c r="AC7" s="9">
        <f>IFERROR(VLOOKUP(Vaktplan!$A$49,Vaktplan!$M$4:$CL$35,89-$AL60,FALSE),0)</f>
        <v>0</v>
      </c>
      <c r="AD7" s="9">
        <f t="shared" ref="AD7:AD13" si="10">IF(AND(AA7=0,AB7=0),0,IF(AA7&lt;AB7,((AB7-AA7)*24)-AC7,(((1-AA7)+AB7)*24)-AC7))</f>
        <v>0</v>
      </c>
      <c r="AE7" s="9">
        <f t="shared" ref="AE7:AE17" si="11">IF(AND(AB7=0,AF7=0),24,IF(AB7=0,12+(AF7*24),IF(AB7&lt;AF7,((AF7-AB7)*24),IF(AF7=0,(1-AB7+0.5)*24,((1-AB7)+AF7)*24))))</f>
        <v>24</v>
      </c>
      <c r="AF7" s="77">
        <f>IFERROR(VLOOKUP(Vaktplan!$A$49,Vaktplan!$N$4:$CL$35,86-AM60,FALSE),0)</f>
        <v>0</v>
      </c>
      <c r="AG7" s="77">
        <f>IFERROR(VLOOKUP(Vaktplan!$A$49,Vaktplan!$N$4:$CL$35,86-AL60,FALSE),0)</f>
        <v>0</v>
      </c>
      <c r="AH7" s="9">
        <f>IFERROR(VLOOKUP(Vaktplan!$A$49,Vaktplan!$N$4:$CL$35,89-$AM60,FALSE),0)</f>
        <v>0</v>
      </c>
      <c r="AI7" s="9">
        <f t="shared" ref="AI7:AI13" si="12">IF(AND(AF7=0,AG7=0),0,IF(AF7&lt;AG7,((AG7-AF7)*24)-AH7,(((1-AF7)+AG7)*24)-AH7))</f>
        <v>0</v>
      </c>
      <c r="AJ7" s="9">
        <f t="shared" ref="AJ7:AJ17" si="13">IF($M$1=AL29,IF(AND(AG7=0,B7=0),24,IF(AG7=0,12+($B$6*24),IF(AG7&lt;$B$6,(($B$6-AG7)*24),IF($B$6=0,(1-AG7+1)*24,((1-AG7)+$B$6)*24)))),IF(AND(AG7=0,B8=0),24,IF(AG7=0,12+(B8*24),IF(AG7&lt;B8,((B8-AG7)*24),IF(B8=0,(1-AG7+1)*24,((1-AG7)+B8)*24)))))</f>
        <v>24</v>
      </c>
      <c r="AK7" s="9">
        <f t="shared" si="1"/>
        <v>0</v>
      </c>
      <c r="AL7" s="10">
        <f t="shared" ref="AL7:AL13" si="14">AJ7</f>
        <v>24</v>
      </c>
      <c r="AM7" s="10">
        <f t="shared" ref="AM7:AM13" si="15">AK7</f>
        <v>0</v>
      </c>
    </row>
    <row r="8" spans="1:39" ht="13" x14ac:dyDescent="0.25">
      <c r="A8" s="7">
        <f>IF($M$1&gt;=3,3,0)</f>
        <v>3</v>
      </c>
      <c r="B8" s="77">
        <f>IFERROR(VLOOKUP(Vaktplan!$A$49,Vaktplan!$O$4:$CL$35,87-AH61,FALSE),0)</f>
        <v>0</v>
      </c>
      <c r="C8" s="77">
        <f>IFERROR(VLOOKUP(Vaktplan!$A$49,Vaktplan!$O$4:$CL$35,87-AG61,FALSE),0)</f>
        <v>0</v>
      </c>
      <c r="D8" s="9">
        <f>IFERROR(VLOOKUP(Vaktplan!$A$49,Vaktplan!$O$4:$CL$35,89-AG61,FALSE),0)</f>
        <v>0</v>
      </c>
      <c r="E8" s="9">
        <f t="shared" ref="E8:E17" si="16">IF(AND(B8=0,C8=0),0,IF(B8&lt;C8,((C8-B8)*24)-D8,(((1-B8)+C8)*24)-D8))</f>
        <v>0</v>
      </c>
      <c r="F8" s="9">
        <f t="shared" si="2"/>
        <v>24</v>
      </c>
      <c r="G8" s="77">
        <f>IFERROR(VLOOKUP(Vaktplan!$A$49,Vaktplan!$P$4:$CL$35,86-AH61,FALSE),0)</f>
        <v>0</v>
      </c>
      <c r="H8" s="77">
        <f>IFERROR(VLOOKUP(Vaktplan!$A$49,Vaktplan!$P$4:$CL$35,86-AG61,FALSE),0)</f>
        <v>0</v>
      </c>
      <c r="I8" s="9">
        <f>IFERROR(VLOOKUP(Vaktplan!$A$49,Vaktplan!$P$4:$CL$35,89-$AH61,FALSE),0)</f>
        <v>0</v>
      </c>
      <c r="J8" s="9">
        <f>IF(AND(G8=0,H8=0),0,IF(G8&lt;H8,((H8-G8)*24)-I8,(((1-G8)+H8)*24)-I8))</f>
        <v>0</v>
      </c>
      <c r="K8" s="9">
        <f t="shared" si="4"/>
        <v>24</v>
      </c>
      <c r="L8" s="77">
        <f>IFERROR(VLOOKUP(Vaktplan!$A$49,Vaktplan!$Q$4:$CL$35,86-AI61,FALSE),0)</f>
        <v>0</v>
      </c>
      <c r="M8" s="77">
        <f>IFERROR(VLOOKUP(Vaktplan!$A$49,Vaktplan!$Q$4:$CL$35,86-AH61,FALSE),0)</f>
        <v>0</v>
      </c>
      <c r="N8" s="9">
        <f>IFERROR(VLOOKUP(Vaktplan!$A$49,Vaktplan!$Q$4:$CL$35,89-$AI61,FALSE),0)</f>
        <v>0</v>
      </c>
      <c r="O8" s="9">
        <f t="shared" si="5"/>
        <v>0</v>
      </c>
      <c r="P8" s="9">
        <f t="shared" si="6"/>
        <v>24</v>
      </c>
      <c r="Q8" s="77">
        <f>IFERROR(VLOOKUP(Vaktplan!$A$49,Vaktplan!$R$4:$CL$35,86-AJ61,FALSE),0)</f>
        <v>0</v>
      </c>
      <c r="R8" s="77">
        <f>IFERROR(VLOOKUP(Vaktplan!$A$49,Vaktplan!$R$4:$CL$35,86-AI61,FALSE),0)</f>
        <v>0</v>
      </c>
      <c r="S8" s="9">
        <f>IFERROR(VLOOKUP(Vaktplan!$A$49,Vaktplan!$R$4:$CL$35,89-$AJ61,FALSE),0)</f>
        <v>0</v>
      </c>
      <c r="T8" s="9">
        <f t="shared" si="0"/>
        <v>0</v>
      </c>
      <c r="U8" s="9">
        <f t="shared" si="7"/>
        <v>24</v>
      </c>
      <c r="V8" s="77">
        <f>IFERROR(VLOOKUP(Vaktplan!$A$49,Vaktplan!$S$4:$CL$35,86-AK61,FALSE),0)</f>
        <v>0</v>
      </c>
      <c r="W8" s="77">
        <f>IFERROR(VLOOKUP(Vaktplan!$A$49,Vaktplan!$S$4:$CL$35,86-AJ61,FALSE),0)</f>
        <v>0</v>
      </c>
      <c r="X8" s="9">
        <f>IFERROR(VLOOKUP(Vaktplan!$A$49,Vaktplan!$S$4:$CL$35,89-$AK61,FALSE),0)</f>
        <v>0</v>
      </c>
      <c r="Y8" s="9">
        <f t="shared" si="8"/>
        <v>0</v>
      </c>
      <c r="Z8" s="9">
        <f t="shared" si="9"/>
        <v>24</v>
      </c>
      <c r="AA8" s="77">
        <f>IFERROR(VLOOKUP(Vaktplan!$A$49,Vaktplan!$T$4:$CL$35,86-AL61,FALSE),0)</f>
        <v>0</v>
      </c>
      <c r="AB8" s="77">
        <f>IFERROR(VLOOKUP(Vaktplan!$A$49,Vaktplan!$T$4:$CL$35,86-AK61,FALSE),0)</f>
        <v>0</v>
      </c>
      <c r="AC8" s="9">
        <f>IFERROR(VLOOKUP(Vaktplan!$A$49,Vaktplan!$T$4:$CL$35,89-$AL61,FALSE),0)</f>
        <v>0</v>
      </c>
      <c r="AD8" s="9">
        <f t="shared" si="10"/>
        <v>0</v>
      </c>
      <c r="AE8" s="9">
        <f t="shared" si="11"/>
        <v>24</v>
      </c>
      <c r="AF8" s="77">
        <f>IFERROR(VLOOKUP(Vaktplan!$A$49,Vaktplan!$U$4:$CL$35,86-AM61,FALSE),0)</f>
        <v>0</v>
      </c>
      <c r="AG8" s="77">
        <f>IFERROR(VLOOKUP(Vaktplan!$A$49,Vaktplan!$U$4:$CL$35,86-AL61,FALSE),0)</f>
        <v>0</v>
      </c>
      <c r="AH8" s="9">
        <f>IFERROR(VLOOKUP(Vaktplan!$A$49,Vaktplan!$U$4:$CL$35,89-$AM61,FALSE),0)</f>
        <v>0</v>
      </c>
      <c r="AI8" s="9">
        <f t="shared" si="12"/>
        <v>0</v>
      </c>
      <c r="AJ8" s="9">
        <f t="shared" si="13"/>
        <v>24</v>
      </c>
      <c r="AK8" s="9">
        <f t="shared" si="1"/>
        <v>0</v>
      </c>
      <c r="AL8" s="10">
        <f t="shared" si="14"/>
        <v>24</v>
      </c>
      <c r="AM8" s="10">
        <f t="shared" si="15"/>
        <v>0</v>
      </c>
    </row>
    <row r="9" spans="1:39" ht="13" x14ac:dyDescent="0.25">
      <c r="A9" s="7">
        <f>IF($M$1&gt;=4,4,0)</f>
        <v>4</v>
      </c>
      <c r="B9" s="77">
        <f>IFERROR(VLOOKUP(Vaktplan!$A$49,Vaktplan!$V$4:$CL$35,87-AH62,FALSE),0)</f>
        <v>0</v>
      </c>
      <c r="C9" s="77">
        <f>IFERROR(VLOOKUP(Vaktplan!$A$49,Vaktplan!$V$4:$CL$35,87-AG62,FALSE),0)</f>
        <v>0</v>
      </c>
      <c r="D9" s="9">
        <f>IFERROR(VLOOKUP(Vaktplan!$A$49,Vaktplan!$V$4:$CL$35,89-AG62,FALSE),0)</f>
        <v>0</v>
      </c>
      <c r="E9" s="9">
        <f t="shared" si="16"/>
        <v>0</v>
      </c>
      <c r="F9" s="9">
        <f t="shared" si="2"/>
        <v>24</v>
      </c>
      <c r="G9" s="77">
        <f>IFERROR(VLOOKUP(Vaktplan!$A$49,Vaktplan!$W$4:$CL$35,86-AH62,FALSE),0)</f>
        <v>0</v>
      </c>
      <c r="H9" s="77">
        <f>IFERROR(VLOOKUP(Vaktplan!$A$49,Vaktplan!$W$4:$CL$35,86-AG62,FALSE),0)</f>
        <v>0</v>
      </c>
      <c r="I9" s="9">
        <f>IFERROR(VLOOKUP(Vaktplan!$A$49,Vaktplan!$W$4:$CL$35,89-$AH62,FALSE),0)</f>
        <v>0</v>
      </c>
      <c r="J9" s="9">
        <f t="shared" si="3"/>
        <v>0</v>
      </c>
      <c r="K9" s="9">
        <f t="shared" si="4"/>
        <v>24</v>
      </c>
      <c r="L9" s="77">
        <f>IFERROR(VLOOKUP(Vaktplan!$A$49,Vaktplan!$X$4:$CL$35,86-AI62,FALSE),0)</f>
        <v>0</v>
      </c>
      <c r="M9" s="77">
        <f>IFERROR(VLOOKUP(Vaktplan!$A$49,Vaktplan!$X$4:$CL$35,86-AH62,FALSE),0)</f>
        <v>0</v>
      </c>
      <c r="N9" s="9">
        <f>IFERROR(VLOOKUP(Vaktplan!$A$49,Vaktplan!$X$4:$CL$35,89-$AI62,FALSE),0)</f>
        <v>0</v>
      </c>
      <c r="O9" s="9">
        <f t="shared" si="5"/>
        <v>0</v>
      </c>
      <c r="P9" s="9">
        <f t="shared" si="6"/>
        <v>24</v>
      </c>
      <c r="Q9" s="77">
        <f>IFERROR(VLOOKUP(Vaktplan!$A$49,Vaktplan!$Y$4:$CL$35,86-AJ62,FALSE),0)</f>
        <v>0</v>
      </c>
      <c r="R9" s="77">
        <f>IFERROR(VLOOKUP(Vaktplan!$A$49,Vaktplan!$Y$4:$CL$35,86-AI62,FALSE),0)</f>
        <v>0</v>
      </c>
      <c r="S9" s="9">
        <f>IFERROR(VLOOKUP(Vaktplan!$A$49,Vaktplan!$Y$4:$CL$35,89-$AJ62,FALSE),0)</f>
        <v>0</v>
      </c>
      <c r="T9" s="9">
        <f t="shared" si="0"/>
        <v>0</v>
      </c>
      <c r="U9" s="9">
        <f t="shared" si="7"/>
        <v>24</v>
      </c>
      <c r="V9" s="77">
        <f>IFERROR(VLOOKUP(Vaktplan!$A$49,Vaktplan!$Z$4:$CL$35,86-AK62,FALSE),0)</f>
        <v>0</v>
      </c>
      <c r="W9" s="77">
        <f>IFERROR(VLOOKUP(Vaktplan!$A$49,Vaktplan!$Z$4:$CL$35,86-AJ62,FALSE),0)</f>
        <v>0</v>
      </c>
      <c r="X9" s="9">
        <f>IFERROR(VLOOKUP(Vaktplan!$A$49,Vaktplan!$Z$4:$CL$35,89-$AK62,FALSE),0)</f>
        <v>0</v>
      </c>
      <c r="Y9" s="9">
        <f t="shared" si="8"/>
        <v>0</v>
      </c>
      <c r="Z9" s="9">
        <f t="shared" si="9"/>
        <v>24</v>
      </c>
      <c r="AA9" s="77">
        <f>IFERROR(VLOOKUP(Vaktplan!$A$49,Vaktplan!$AA$4:$CL$35,86-AL62,FALSE),0)</f>
        <v>0</v>
      </c>
      <c r="AB9" s="77">
        <f>IFERROR(VLOOKUP(Vaktplan!$A$49,Vaktplan!$AA$4:$CL$35,86-AK62,FALSE),0)</f>
        <v>0</v>
      </c>
      <c r="AC9" s="9">
        <f>IFERROR(VLOOKUP(Vaktplan!$A$49,Vaktplan!$AA$4:$CL$35,89-$AL62,FALSE),0)</f>
        <v>0</v>
      </c>
      <c r="AD9" s="9">
        <f t="shared" si="10"/>
        <v>0</v>
      </c>
      <c r="AE9" s="9">
        <f t="shared" si="11"/>
        <v>24</v>
      </c>
      <c r="AF9" s="77">
        <f>IFERROR(VLOOKUP(Vaktplan!$A$49,Vaktplan!$AB$4:$CL$35,86-AM62,FALSE),0)</f>
        <v>0</v>
      </c>
      <c r="AG9" s="77">
        <f>IFERROR(VLOOKUP(Vaktplan!$A$49,Vaktplan!$AB$4:$CL$35,86-AL62,FALSE),0)</f>
        <v>0</v>
      </c>
      <c r="AH9" s="9">
        <f>IFERROR(VLOOKUP(Vaktplan!$A$49,Vaktplan!$AB$4:$CL$35,89-$AM62,FALSE),0)</f>
        <v>0</v>
      </c>
      <c r="AI9" s="9">
        <f t="shared" si="12"/>
        <v>0</v>
      </c>
      <c r="AJ9" s="9">
        <f t="shared" si="13"/>
        <v>24</v>
      </c>
      <c r="AK9" s="9">
        <f t="shared" si="1"/>
        <v>0</v>
      </c>
      <c r="AL9" s="10">
        <f t="shared" si="14"/>
        <v>24</v>
      </c>
      <c r="AM9" s="10">
        <f t="shared" si="15"/>
        <v>0</v>
      </c>
    </row>
    <row r="10" spans="1:39" ht="13" x14ac:dyDescent="0.25">
      <c r="A10" s="7">
        <f>IF($M$1&gt;=5,5,0)</f>
        <v>5</v>
      </c>
      <c r="B10" s="77">
        <f>IFERROR(VLOOKUP(Vaktplan!$A$49,Vaktplan!$AC$4:$CL$35,87-AH63,FALSE),0)</f>
        <v>0</v>
      </c>
      <c r="C10" s="77">
        <f>IFERROR(VLOOKUP(Vaktplan!$A$49,Vaktplan!$AC$4:$CL$35,87-AG63,FALSE),0)</f>
        <v>0</v>
      </c>
      <c r="D10" s="9">
        <f>IFERROR(VLOOKUP(Vaktplan!$A$49,Vaktplan!$AC$4:$CL$35,89-AG63,FALSE),0)</f>
        <v>0</v>
      </c>
      <c r="E10" s="9">
        <f t="shared" si="16"/>
        <v>0</v>
      </c>
      <c r="F10" s="9">
        <f t="shared" si="2"/>
        <v>24</v>
      </c>
      <c r="G10" s="77">
        <f>IFERROR(VLOOKUP(Vaktplan!$A$49,Vaktplan!$AD$4:$CL$35,86-AH63,FALSE),0)</f>
        <v>0</v>
      </c>
      <c r="H10" s="77">
        <f>IFERROR(VLOOKUP(Vaktplan!$A$49,Vaktplan!$AD$4:$CL$35,86-AG63,FALSE),0)</f>
        <v>0</v>
      </c>
      <c r="I10" s="9">
        <f>IFERROR(VLOOKUP(Vaktplan!$A$49,Vaktplan!$AD$4:$CL$35,89-$AH63,FALSE),0)</f>
        <v>0</v>
      </c>
      <c r="J10" s="9">
        <f t="shared" si="3"/>
        <v>0</v>
      </c>
      <c r="K10" s="9">
        <f t="shared" si="4"/>
        <v>24</v>
      </c>
      <c r="L10" s="77">
        <f>IFERROR(VLOOKUP(Vaktplan!$A$49,Vaktplan!$AE$4:$CL$35,86-AI63,FALSE),0)</f>
        <v>0</v>
      </c>
      <c r="M10" s="77">
        <f>IFERROR(VLOOKUP(Vaktplan!$A$49,Vaktplan!$AE$4:$CL$35,86-AH63,FALSE),0)</f>
        <v>0</v>
      </c>
      <c r="N10" s="9">
        <f>IFERROR(VLOOKUP(Vaktplan!$A$49,Vaktplan!$AE$4:$CL$35,89-$AI63,FALSE),0)</f>
        <v>0</v>
      </c>
      <c r="O10" s="9">
        <f t="shared" si="5"/>
        <v>0</v>
      </c>
      <c r="P10" s="9">
        <f t="shared" si="6"/>
        <v>24</v>
      </c>
      <c r="Q10" s="77">
        <f>IFERROR(VLOOKUP(Vaktplan!$A$49,Vaktplan!$AF$4:$CL$35,86-AJ63,FALSE),0)</f>
        <v>0</v>
      </c>
      <c r="R10" s="77">
        <f>IFERROR(VLOOKUP(Vaktplan!$A$49,Vaktplan!$AF$4:$CL$35,86-AI63,FALSE),0)</f>
        <v>0</v>
      </c>
      <c r="S10" s="9">
        <f>IFERROR(VLOOKUP(Vaktplan!$A$49,Vaktplan!$AF$4:$CL$35,89-$AJ63,FALSE),0)</f>
        <v>0</v>
      </c>
      <c r="T10" s="9">
        <f t="shared" si="0"/>
        <v>0</v>
      </c>
      <c r="U10" s="9">
        <f t="shared" si="7"/>
        <v>24</v>
      </c>
      <c r="V10" s="77">
        <f>IFERROR(VLOOKUP(Vaktplan!$A$49,Vaktplan!$AG$4:$CL$35,86-AK63,FALSE),0)</f>
        <v>0</v>
      </c>
      <c r="W10" s="77">
        <f>IFERROR(VLOOKUP(Vaktplan!$A$49,Vaktplan!$AG$4:$CL$35,86-AJ63,FALSE),0)</f>
        <v>0</v>
      </c>
      <c r="X10" s="9">
        <f>IFERROR(VLOOKUP(Vaktplan!$A$49,Vaktplan!$AG$4:$CL$35,89-$AK63,FALSE),0)</f>
        <v>0</v>
      </c>
      <c r="Y10" s="9">
        <f t="shared" si="8"/>
        <v>0</v>
      </c>
      <c r="Z10" s="9">
        <f t="shared" si="9"/>
        <v>24</v>
      </c>
      <c r="AA10" s="77">
        <f>IFERROR(VLOOKUP(Vaktplan!$A$49,Vaktplan!$AH$4:$CL$35,86-AL63,FALSE),0)</f>
        <v>0</v>
      </c>
      <c r="AB10" s="77">
        <f>IFERROR(VLOOKUP(Vaktplan!$A$49,Vaktplan!$AH$4:$CL$35,86-AK63,FALSE),0)</f>
        <v>0</v>
      </c>
      <c r="AC10" s="9">
        <f>IFERROR(VLOOKUP(Vaktplan!$A$49,Vaktplan!$AH$4:$CL$35,89-$AL63,FALSE),0)</f>
        <v>0</v>
      </c>
      <c r="AD10" s="9">
        <f t="shared" si="10"/>
        <v>0</v>
      </c>
      <c r="AE10" s="9">
        <f t="shared" si="11"/>
        <v>24</v>
      </c>
      <c r="AF10" s="77">
        <f>IFERROR(VLOOKUP(Vaktplan!$A$49,Vaktplan!$AI$4:$CL$35,86-AM63,FALSE),0)</f>
        <v>0</v>
      </c>
      <c r="AG10" s="77">
        <f>IFERROR(VLOOKUP(Vaktplan!$A$49,Vaktplan!$AI$4:$CL$35,86-AL63,FALSE),0)</f>
        <v>0</v>
      </c>
      <c r="AH10" s="9">
        <f>IFERROR(VLOOKUP(Vaktplan!$A$49,Vaktplan!$AI$4:$CL$35,89-$AM63,FALSE),0)</f>
        <v>0</v>
      </c>
      <c r="AI10" s="9">
        <f t="shared" si="12"/>
        <v>0</v>
      </c>
      <c r="AJ10" s="9">
        <f t="shared" si="13"/>
        <v>24</v>
      </c>
      <c r="AK10" s="9">
        <f t="shared" si="1"/>
        <v>0</v>
      </c>
      <c r="AL10" s="10">
        <f t="shared" si="14"/>
        <v>24</v>
      </c>
      <c r="AM10" s="10">
        <f t="shared" si="15"/>
        <v>0</v>
      </c>
    </row>
    <row r="11" spans="1:39" ht="13" x14ac:dyDescent="0.25">
      <c r="A11" s="7">
        <f>IF($M$1&gt;=6,6,0)</f>
        <v>6</v>
      </c>
      <c r="B11" s="77">
        <f>IFERROR(VLOOKUP(Vaktplan!$A$49,Vaktplan!$AJ$4:$CL$35,87-AH64,FALSE),0)</f>
        <v>0</v>
      </c>
      <c r="C11" s="77">
        <f>IFERROR(VLOOKUP(Vaktplan!$A$49,Vaktplan!$AJ$4:$CL$35,87-AG64,FALSE),0)</f>
        <v>0</v>
      </c>
      <c r="D11" s="9">
        <f>IFERROR(VLOOKUP(Vaktplan!$A$49,Vaktplan!$AJ$4:$CL$35,89-AG64,FALSE),0)</f>
        <v>0</v>
      </c>
      <c r="E11" s="9">
        <f t="shared" si="16"/>
        <v>0</v>
      </c>
      <c r="F11" s="9">
        <f t="shared" si="2"/>
        <v>24</v>
      </c>
      <c r="G11" s="77">
        <f>IFERROR(VLOOKUP(Vaktplan!$A$49,Vaktplan!$AK$4:$CL$35,86-AH64,FALSE),0)</f>
        <v>0</v>
      </c>
      <c r="H11" s="77">
        <f>IFERROR(VLOOKUP(Vaktplan!$A$49,Vaktplan!$AK$4:$CL$35,86-AG64,FALSE),0)</f>
        <v>0</v>
      </c>
      <c r="I11" s="9">
        <f>IFERROR(VLOOKUP(Vaktplan!$A$49,Vaktplan!$AK$4:$CL$35,89-$AH64,FALSE),0)</f>
        <v>0</v>
      </c>
      <c r="J11" s="9">
        <f t="shared" si="3"/>
        <v>0</v>
      </c>
      <c r="K11" s="9">
        <f t="shared" si="4"/>
        <v>24</v>
      </c>
      <c r="L11" s="77">
        <f>IFERROR(VLOOKUP(Vaktplan!$A$49,Vaktplan!$AL$4:$CL$35,86-AI64,FALSE),0)</f>
        <v>0</v>
      </c>
      <c r="M11" s="77">
        <f>IFERROR(VLOOKUP(Vaktplan!$A$49,Vaktplan!$AL$4:$CL$35,86-AH64,FALSE),0)</f>
        <v>0</v>
      </c>
      <c r="N11" s="9">
        <f>IFERROR(VLOOKUP(Vaktplan!$A$49,Vaktplan!$AL$4:$CL$35,89-$AI64,FALSE),0)</f>
        <v>0</v>
      </c>
      <c r="O11" s="9">
        <f t="shared" si="5"/>
        <v>0</v>
      </c>
      <c r="P11" s="9">
        <f t="shared" si="6"/>
        <v>24</v>
      </c>
      <c r="Q11" s="77">
        <f>IFERROR(VLOOKUP(Vaktplan!$A$49,Vaktplan!$AM$4:$CL$35,86-AJ64,FALSE),0)</f>
        <v>0</v>
      </c>
      <c r="R11" s="77">
        <f>IFERROR(VLOOKUP(Vaktplan!$A$49,Vaktplan!$AM$4:$CL$35,86-AI64,FALSE),0)</f>
        <v>0</v>
      </c>
      <c r="S11" s="9">
        <f>IFERROR(VLOOKUP(Vaktplan!$A$49,Vaktplan!$AM$4:$CL$35,89-$AJ64,FALSE),0)</f>
        <v>0</v>
      </c>
      <c r="T11" s="9">
        <f t="shared" si="0"/>
        <v>0</v>
      </c>
      <c r="U11" s="9">
        <f t="shared" si="7"/>
        <v>24</v>
      </c>
      <c r="V11" s="77">
        <f>IFERROR(VLOOKUP(Vaktplan!$A$49,Vaktplan!$AN$4:$CL$35,86-AK64,FALSE),0)</f>
        <v>0</v>
      </c>
      <c r="W11" s="77">
        <f>IFERROR(VLOOKUP(Vaktplan!$A$49,Vaktplan!$AN$4:$CL$35,86-AJ64,FALSE),0)</f>
        <v>0</v>
      </c>
      <c r="X11" s="9">
        <f>IFERROR(VLOOKUP(Vaktplan!$A$49,Vaktplan!$AN$4:$CL$35,89-$AK64,FALSE),0)</f>
        <v>0</v>
      </c>
      <c r="Y11" s="9">
        <f t="shared" si="8"/>
        <v>0</v>
      </c>
      <c r="Z11" s="9">
        <f t="shared" si="9"/>
        <v>24</v>
      </c>
      <c r="AA11" s="77">
        <f>IFERROR(VLOOKUP(Vaktplan!$A$49,Vaktplan!$AO$4:$CL$35,86-AL64,FALSE),0)</f>
        <v>0</v>
      </c>
      <c r="AB11" s="77">
        <f>IFERROR(VLOOKUP(Vaktplan!$A$49,Vaktplan!$AO$4:$CL$35,86-AK64,FALSE),0)</f>
        <v>0</v>
      </c>
      <c r="AC11" s="9">
        <f>IFERROR(VLOOKUP(Vaktplan!$A$49,Vaktplan!$AO$4:$CL$35,89-$AL64,FALSE),0)</f>
        <v>0</v>
      </c>
      <c r="AD11" s="9">
        <f t="shared" si="10"/>
        <v>0</v>
      </c>
      <c r="AE11" s="9">
        <f t="shared" si="11"/>
        <v>24</v>
      </c>
      <c r="AF11" s="77">
        <f>IFERROR(VLOOKUP(Vaktplan!$A$49,Vaktplan!$AP$4:$CL$35,86-AM64,FALSE),0)</f>
        <v>0</v>
      </c>
      <c r="AG11" s="77">
        <f>IFERROR(VLOOKUP(Vaktplan!$A$49,Vaktplan!$AP$4:$CL$35,86-AL64,FALSE),0)</f>
        <v>0</v>
      </c>
      <c r="AH11" s="9">
        <f>IFERROR(VLOOKUP(Vaktplan!$A$49,Vaktplan!$AP$4:$CL$35,89-$AM64,FALSE),0)</f>
        <v>0</v>
      </c>
      <c r="AI11" s="9">
        <f t="shared" si="12"/>
        <v>0</v>
      </c>
      <c r="AJ11" s="9">
        <f t="shared" si="13"/>
        <v>24</v>
      </c>
      <c r="AK11" s="9">
        <f t="shared" si="1"/>
        <v>0</v>
      </c>
      <c r="AL11" s="10">
        <f t="shared" si="14"/>
        <v>24</v>
      </c>
      <c r="AM11" s="10">
        <f t="shared" si="15"/>
        <v>0</v>
      </c>
    </row>
    <row r="12" spans="1:39" ht="13" x14ac:dyDescent="0.25">
      <c r="A12" s="7">
        <f>IF($M$1&gt;=7,7,0)</f>
        <v>7</v>
      </c>
      <c r="B12" s="77">
        <f>IFERROR(VLOOKUP(Vaktplan!$A$49,Vaktplan!$AQ$4:$CL$35,87-AH65,FALSE),0)</f>
        <v>0</v>
      </c>
      <c r="C12" s="77">
        <f>IFERROR(VLOOKUP(Vaktplan!$A$49,Vaktplan!$AQ$4:$CL$35,87-AG65,FALSE),0)</f>
        <v>0</v>
      </c>
      <c r="D12" s="9">
        <f>IFERROR(VLOOKUP(Vaktplan!$A$49,Vaktplan!$AQ$4:$CL$35,89-AG65,FALSE),0)</f>
        <v>0</v>
      </c>
      <c r="E12" s="9">
        <f t="shared" si="16"/>
        <v>0</v>
      </c>
      <c r="F12" s="9">
        <f t="shared" si="2"/>
        <v>24</v>
      </c>
      <c r="G12" s="77">
        <f>IFERROR(VLOOKUP(Vaktplan!$A$49,Vaktplan!$AR$4:$CL$35,86-AH65,FALSE),0)</f>
        <v>0</v>
      </c>
      <c r="H12" s="77">
        <f>IFERROR(VLOOKUP(Vaktplan!$A$49,Vaktplan!$AR$4:$CL$35,86-AG65,FALSE),0)</f>
        <v>0</v>
      </c>
      <c r="I12" s="9">
        <f>IFERROR(VLOOKUP(Vaktplan!$A$49,Vaktplan!$AR$4:$CL$35,89-$AH65,FALSE),0)</f>
        <v>0</v>
      </c>
      <c r="J12" s="9">
        <f t="shared" si="3"/>
        <v>0</v>
      </c>
      <c r="K12" s="9">
        <f t="shared" si="4"/>
        <v>24</v>
      </c>
      <c r="L12" s="77">
        <f>IFERROR(VLOOKUP(Vaktplan!$A$49,Vaktplan!$AS$4:$CL$35,86-AI65,FALSE),0)</f>
        <v>0</v>
      </c>
      <c r="M12" s="77">
        <f>IFERROR(VLOOKUP(Vaktplan!$A$49,Vaktplan!$AS$4:$CL$35,86-AH65,FALSE),0)</f>
        <v>0</v>
      </c>
      <c r="N12" s="9">
        <f>IFERROR(VLOOKUP(Vaktplan!$A$49,Vaktplan!$AS$4:$CL$35,89-$AI65,FALSE),0)</f>
        <v>0</v>
      </c>
      <c r="O12" s="9">
        <f t="shared" si="5"/>
        <v>0</v>
      </c>
      <c r="P12" s="9">
        <f t="shared" si="6"/>
        <v>24</v>
      </c>
      <c r="Q12" s="77">
        <f>IFERROR(VLOOKUP(Vaktplan!$A$49,Vaktplan!$AT$4:$CL$35,86-AJ65,FALSE),0)</f>
        <v>0</v>
      </c>
      <c r="R12" s="77">
        <f>IFERROR(VLOOKUP(Vaktplan!$A$49,Vaktplan!$AT$4:$CL$35,86-AI65,FALSE),0)</f>
        <v>0</v>
      </c>
      <c r="S12" s="9">
        <f>IFERROR(VLOOKUP(Vaktplan!$A$49,Vaktplan!$AT$4:$CL$35,89-$AJ65,FALSE),0)</f>
        <v>0</v>
      </c>
      <c r="T12" s="9">
        <f t="shared" si="0"/>
        <v>0</v>
      </c>
      <c r="U12" s="9">
        <f t="shared" si="7"/>
        <v>24</v>
      </c>
      <c r="V12" s="77">
        <f>IFERROR(VLOOKUP(Vaktplan!$A$49,Vaktplan!$AU$4:$CL$35,86-AK65,FALSE),0)</f>
        <v>0</v>
      </c>
      <c r="W12" s="77">
        <f>IFERROR(VLOOKUP(Vaktplan!$A$49,Vaktplan!$AU$4:$CL$35,86-AJ65,FALSE),0)</f>
        <v>0</v>
      </c>
      <c r="X12" s="9">
        <f>IFERROR(VLOOKUP(Vaktplan!$A$49,Vaktplan!$AU$4:$CL$35,89-$AK65,FALSE),0)</f>
        <v>0</v>
      </c>
      <c r="Y12" s="9">
        <f t="shared" si="8"/>
        <v>0</v>
      </c>
      <c r="Z12" s="9">
        <f t="shared" si="9"/>
        <v>24</v>
      </c>
      <c r="AA12" s="77">
        <f>IFERROR(VLOOKUP(Vaktplan!$A$49,Vaktplan!$AV$4:$CL$35,86-AL65,FALSE),0)</f>
        <v>0</v>
      </c>
      <c r="AB12" s="77">
        <f>IFERROR(VLOOKUP(Vaktplan!$A$49,Vaktplan!$AV$4:$CL$35,86-AK65,FALSE),0)</f>
        <v>0</v>
      </c>
      <c r="AC12" s="9">
        <f>IFERROR(VLOOKUP(Vaktplan!$A$49,Vaktplan!$AV$4:$CL$35,89-$AL65,FALSE),0)</f>
        <v>0</v>
      </c>
      <c r="AD12" s="9">
        <f t="shared" si="10"/>
        <v>0</v>
      </c>
      <c r="AE12" s="9">
        <f t="shared" si="11"/>
        <v>24</v>
      </c>
      <c r="AF12" s="77">
        <f>IFERROR(VLOOKUP(Vaktplan!$A$49,Vaktplan!$AW$4:$CL$35,86-AM65,FALSE),0)</f>
        <v>0</v>
      </c>
      <c r="AG12" s="77">
        <f>IFERROR(VLOOKUP(Vaktplan!$A$49,Vaktplan!$AW$4:$CL$35,86-AL65,FALSE),0)</f>
        <v>0</v>
      </c>
      <c r="AH12" s="9">
        <f>IFERROR(VLOOKUP(Vaktplan!$A$49,Vaktplan!$AW$4:$CL$35,89-$AM65,FALSE),0)</f>
        <v>0</v>
      </c>
      <c r="AI12" s="9">
        <f t="shared" si="12"/>
        <v>0</v>
      </c>
      <c r="AJ12" s="9">
        <f t="shared" si="13"/>
        <v>24</v>
      </c>
      <c r="AK12" s="9">
        <f t="shared" si="1"/>
        <v>0</v>
      </c>
      <c r="AL12" s="10">
        <f t="shared" si="14"/>
        <v>24</v>
      </c>
      <c r="AM12" s="10">
        <f t="shared" si="15"/>
        <v>0</v>
      </c>
    </row>
    <row r="13" spans="1:39" ht="13" x14ac:dyDescent="0.25">
      <c r="A13" s="7">
        <f>IF($M$1&gt;=8,8,0)</f>
        <v>8</v>
      </c>
      <c r="B13" s="77">
        <f>IFERROR(VLOOKUP(Vaktplan!$A$49,Vaktplan!$AX$4:$CL$35,87-AH66,FALSE),0)</f>
        <v>0</v>
      </c>
      <c r="C13" s="77">
        <f>IFERROR(VLOOKUP(Vaktplan!$A$49,Vaktplan!$AX$4:$CL$35,87-AG66,FALSE),0)</f>
        <v>0</v>
      </c>
      <c r="D13" s="9">
        <f>IFERROR(VLOOKUP(Vaktplan!$A$49,Vaktplan!$AX$4:$CL$35,89-AG66,FALSE),0)</f>
        <v>0</v>
      </c>
      <c r="E13" s="9">
        <f t="shared" si="16"/>
        <v>0</v>
      </c>
      <c r="F13" s="9">
        <f t="shared" si="2"/>
        <v>24</v>
      </c>
      <c r="G13" s="77">
        <f>IFERROR(VLOOKUP(Vaktplan!$A$49,Vaktplan!$AY$4:$CL$35,86-AH66,FALSE),0)</f>
        <v>0</v>
      </c>
      <c r="H13" s="77">
        <f>IFERROR(VLOOKUP(Vaktplan!$A$49,Vaktplan!$AY$4:$CL$35,86-AG66,FALSE),0)</f>
        <v>0</v>
      </c>
      <c r="I13" s="9">
        <f>IFERROR(VLOOKUP(Vaktplan!$A$49,Vaktplan!$AY$4:$CL$35,89-$AH66,FALSE),0)</f>
        <v>0</v>
      </c>
      <c r="J13" s="9">
        <f t="shared" si="3"/>
        <v>0</v>
      </c>
      <c r="K13" s="9">
        <f t="shared" si="4"/>
        <v>24</v>
      </c>
      <c r="L13" s="77">
        <f>IFERROR(VLOOKUP(Vaktplan!$A$49,Vaktplan!$AZ$4:$CL$35,86-AI66,FALSE),0)</f>
        <v>0</v>
      </c>
      <c r="M13" s="77">
        <f>IFERROR(VLOOKUP(Vaktplan!$A$49,Vaktplan!$AZ$4:$CL$35,86-AH66,FALSE),0)</f>
        <v>0</v>
      </c>
      <c r="N13" s="9">
        <f>IFERROR(VLOOKUP(Vaktplan!$A$49,Vaktplan!$AZ$4:$CL$35,89-$AI66,FALSE),0)</f>
        <v>0</v>
      </c>
      <c r="O13" s="9">
        <f t="shared" si="5"/>
        <v>0</v>
      </c>
      <c r="P13" s="9">
        <f t="shared" si="6"/>
        <v>24</v>
      </c>
      <c r="Q13" s="77">
        <f>IFERROR(VLOOKUP(Vaktplan!$A$49,Vaktplan!$BA$4:$CL$35,86-AJ66,FALSE),0)</f>
        <v>0</v>
      </c>
      <c r="R13" s="77">
        <f>IFERROR(VLOOKUP(Vaktplan!$A$49,Vaktplan!$BA$4:$CL$35,86-AI66,FALSE),0)</f>
        <v>0</v>
      </c>
      <c r="S13" s="9">
        <f>IFERROR(VLOOKUP(Vaktplan!$A$49,Vaktplan!$BA$4:$CL$35,89-$AJ66,FALSE),0)</f>
        <v>0</v>
      </c>
      <c r="T13" s="9">
        <f t="shared" si="0"/>
        <v>0</v>
      </c>
      <c r="U13" s="9">
        <f t="shared" si="7"/>
        <v>24</v>
      </c>
      <c r="V13" s="77">
        <f>IFERROR(VLOOKUP(Vaktplan!$A$49,Vaktplan!$BB$4:$CL$35,86-AK66,FALSE),0)</f>
        <v>0</v>
      </c>
      <c r="W13" s="77">
        <f>IFERROR(VLOOKUP(Vaktplan!$A$49,Vaktplan!$BB$4:$CL$35,86-AJ66,FALSE),0)</f>
        <v>0</v>
      </c>
      <c r="X13" s="9">
        <f>IFERROR(VLOOKUP(Vaktplan!$A$49,Vaktplan!$BB$4:$CL$35,89-$AK66,FALSE),0)</f>
        <v>0</v>
      </c>
      <c r="Y13" s="9">
        <f t="shared" si="8"/>
        <v>0</v>
      </c>
      <c r="Z13" s="9">
        <f t="shared" si="9"/>
        <v>24</v>
      </c>
      <c r="AA13" s="77">
        <f>IFERROR(VLOOKUP(Vaktplan!$A$49,Vaktplan!$BC$4:$CL$35,86-AL66,FALSE),0)</f>
        <v>0</v>
      </c>
      <c r="AB13" s="77">
        <f>IFERROR(VLOOKUP(Vaktplan!$A$49,Vaktplan!$BC$4:$CL$35,86-AK66,FALSE),0)</f>
        <v>0</v>
      </c>
      <c r="AC13" s="9">
        <f>IFERROR(VLOOKUP(Vaktplan!$A$49,Vaktplan!$BC$4:$CL$35,89-$AL66,FALSE),0)</f>
        <v>0</v>
      </c>
      <c r="AD13" s="9">
        <f t="shared" si="10"/>
        <v>0</v>
      </c>
      <c r="AE13" s="9">
        <f t="shared" si="11"/>
        <v>24</v>
      </c>
      <c r="AF13" s="77">
        <f>IFERROR(VLOOKUP(Vaktplan!$A$49,Vaktplan!$BD$4:$CL$35,86-AM66,FALSE),0)</f>
        <v>0</v>
      </c>
      <c r="AG13" s="77">
        <f>IFERROR(VLOOKUP(Vaktplan!$A$49,Vaktplan!$BD$4:$CL$35,86-AL66,FALSE),0)</f>
        <v>0</v>
      </c>
      <c r="AH13" s="9">
        <f>IFERROR(VLOOKUP(Vaktplan!$A$49,Vaktplan!$BD$4:$CL$35,89-$AM66,FALSE),0)</f>
        <v>0</v>
      </c>
      <c r="AI13" s="9">
        <f t="shared" si="12"/>
        <v>0</v>
      </c>
      <c r="AJ13" s="9">
        <f t="shared" si="13"/>
        <v>24</v>
      </c>
      <c r="AK13" s="9">
        <f t="shared" si="1"/>
        <v>0</v>
      </c>
      <c r="AL13" s="10">
        <f t="shared" si="14"/>
        <v>24</v>
      </c>
      <c r="AM13" s="10">
        <f t="shared" si="15"/>
        <v>0</v>
      </c>
    </row>
    <row r="14" spans="1:39" ht="13" x14ac:dyDescent="0.25">
      <c r="A14" s="7">
        <v>9</v>
      </c>
      <c r="B14" s="77">
        <f>IFERROR(VLOOKUP(Vaktplan!$A$49,Vaktplan!$BE$4:$CL$35,87-AH67,FALSE),0)</f>
        <v>0</v>
      </c>
      <c r="C14" s="77">
        <f>IFERROR(VLOOKUP(Vaktplan!$A$49,Vaktplan!$BE$4:$CL$35,87-AG67,FALSE),0)</f>
        <v>0</v>
      </c>
      <c r="D14" s="9">
        <f>IFERROR(VLOOKUP(Vaktplan!$A$49,Vaktplan!$BE$4:$CL$35,89-AG67,FALSE),0)</f>
        <v>0</v>
      </c>
      <c r="E14" s="9">
        <f t="shared" si="16"/>
        <v>0</v>
      </c>
      <c r="F14" s="9">
        <f t="shared" si="2"/>
        <v>24</v>
      </c>
      <c r="G14" s="77">
        <f>IFERROR(VLOOKUP(Vaktplan!$A$49,Vaktplan!$BF$4:$CL$35,86-AH67,FALSE),0)</f>
        <v>0</v>
      </c>
      <c r="H14" s="77">
        <f>IFERROR(VLOOKUP(Vaktplan!$A$49,Vaktplan!$BF$4:$CL$35,86-AG67,FALSE),0)</f>
        <v>0</v>
      </c>
      <c r="I14" s="9">
        <f>IFERROR(VLOOKUP(Vaktplan!$A$49,Vaktplan!$BF$4:$CL$35,89-$AH67,FALSE),0)</f>
        <v>0</v>
      </c>
      <c r="J14" s="9">
        <f t="shared" si="3"/>
        <v>0</v>
      </c>
      <c r="K14" s="9">
        <f t="shared" si="4"/>
        <v>24</v>
      </c>
      <c r="L14" s="77">
        <f>IFERROR(VLOOKUP(Vaktplan!$A$49,Vaktplan!$BG$4:$CL$35,86-AI67,FALSE),0)</f>
        <v>0</v>
      </c>
      <c r="M14" s="77">
        <f>IFERROR(VLOOKUP(Vaktplan!$A$49,Vaktplan!$BG$4:$CL$35,86-AH67,FALSE),0)</f>
        <v>0</v>
      </c>
      <c r="N14" s="9">
        <f>IFERROR(VLOOKUP(Vaktplan!$A$49,Vaktplan!$BG$4:$CL$35,89-$AI67,FALSE),0)</f>
        <v>0</v>
      </c>
      <c r="O14" s="9">
        <f t="shared" si="5"/>
        <v>0</v>
      </c>
      <c r="P14" s="9">
        <f t="shared" si="6"/>
        <v>24</v>
      </c>
      <c r="Q14" s="77">
        <f>IFERROR(VLOOKUP(Vaktplan!$A$49,Vaktplan!$BH$4:$CL$35,86-AJ67,FALSE),0)</f>
        <v>0</v>
      </c>
      <c r="R14" s="77">
        <f>IFERROR(VLOOKUP(Vaktplan!$A$49,Vaktplan!$BH$4:$CL$35,86-AI67,FALSE),0)</f>
        <v>0</v>
      </c>
      <c r="S14" s="9">
        <f>IFERROR(VLOOKUP(Vaktplan!$A$49,Vaktplan!$BH$4:$CL$35,89-$AJ67,FALSE),0)</f>
        <v>0</v>
      </c>
      <c r="T14" s="9">
        <f t="shared" si="0"/>
        <v>0</v>
      </c>
      <c r="U14" s="9">
        <f t="shared" si="7"/>
        <v>24</v>
      </c>
      <c r="V14" s="77">
        <f>IFERROR(VLOOKUP(Vaktplan!$A$49,Vaktplan!$BI$4:$CL$35,86-AK67,FALSE),0)</f>
        <v>0</v>
      </c>
      <c r="W14" s="77">
        <f>IFERROR(VLOOKUP(Vaktplan!$A$49,Vaktplan!$BI$4:$CL$35,86-AJ67,FALSE),0)</f>
        <v>0</v>
      </c>
      <c r="X14" s="9">
        <f>IFERROR(VLOOKUP(Vaktplan!$A$49,Vaktplan!$BI$4:$CL$35,89-$AK67,FALSE),0)</f>
        <v>0</v>
      </c>
      <c r="Y14" s="9">
        <f>IF(AND(V14=0,W14=0),0,IF(V14&lt;W14,((W14-V14)*24)-X14,(((1-V14)+W14)*24)-X14))</f>
        <v>0</v>
      </c>
      <c r="Z14" s="9">
        <f t="shared" si="9"/>
        <v>24</v>
      </c>
      <c r="AA14" s="77">
        <f>IFERROR(VLOOKUP(Vaktplan!$A$49,Vaktplan!$BJ$4:$CL$35,86-AL67,FALSE),0)</f>
        <v>0</v>
      </c>
      <c r="AB14" s="77">
        <f>IFERROR(VLOOKUP(Vaktplan!$A$49,Vaktplan!$BJ$4:$CL$35,86-AK67,FALSE),0)</f>
        <v>0</v>
      </c>
      <c r="AC14" s="9">
        <f>IFERROR(VLOOKUP(Vaktplan!$A$49,Vaktplan!$BJ$4:$CL$35,89-$AL67,FALSE),0)</f>
        <v>0</v>
      </c>
      <c r="AD14" s="9">
        <f>IF(AND(AA14=0,AB14=0),0,IF(AA14&lt;AB14,((AB14-AA14)*24)-AC14,(((1-AA14)+AB14)*24)-AC14))</f>
        <v>0</v>
      </c>
      <c r="AE14" s="9">
        <f t="shared" si="11"/>
        <v>24</v>
      </c>
      <c r="AF14" s="77">
        <f>IFERROR(VLOOKUP(Vaktplan!$A$49,Vaktplan!$BK$4:$CL$35,86-AM67,FALSE),0)</f>
        <v>0</v>
      </c>
      <c r="AG14" s="77">
        <f>IFERROR(VLOOKUP(Vaktplan!$A$49,Vaktplan!$BK$4:$CL$35,86-AL67,FALSE),0)</f>
        <v>0</v>
      </c>
      <c r="AH14" s="9">
        <f>IFERROR(VLOOKUP(Vaktplan!$A$49,Vaktplan!$BK$4:$CL$35,89-$AM67,FALSE),0)</f>
        <v>0</v>
      </c>
      <c r="AI14" s="9">
        <f>IF(AND(AF14=0,AG14=0),0,IF(AF14&lt;AG14,((AG14-AF14)*24)-AH14,(((1-AF14)+AG14)*24)-AH14))</f>
        <v>0</v>
      </c>
      <c r="AJ14" s="9">
        <f t="shared" si="13"/>
        <v>24</v>
      </c>
      <c r="AK14" s="9">
        <f t="shared" si="1"/>
        <v>0</v>
      </c>
      <c r="AL14" s="10"/>
      <c r="AM14" s="10"/>
    </row>
    <row r="15" spans="1:39" ht="13" x14ac:dyDescent="0.25">
      <c r="A15" s="7">
        <v>10</v>
      </c>
      <c r="B15" s="77">
        <f>IFERROR(VLOOKUP(Vaktplan!$A$49,Vaktplan!$BL$4:$CL$35,87-AH68,FALSE),0)</f>
        <v>0</v>
      </c>
      <c r="C15" s="77">
        <f>IFERROR(VLOOKUP(Vaktplan!$A$49,Vaktplan!$BL$4:$CL$35,87-AG68,FALSE),0)</f>
        <v>0</v>
      </c>
      <c r="D15" s="9">
        <f>IFERROR(VLOOKUP(Vaktplan!$A$49,Vaktplan!$BL$4:$CL$35,89-AG68,FALSE),0)</f>
        <v>0</v>
      </c>
      <c r="E15" s="9">
        <f t="shared" si="16"/>
        <v>0</v>
      </c>
      <c r="F15" s="9">
        <f t="shared" si="2"/>
        <v>24</v>
      </c>
      <c r="G15" s="77">
        <f>IFERROR(VLOOKUP(Vaktplan!$A$49,Vaktplan!$BM$4:$CL$35,86-AH68,FALSE),0)</f>
        <v>0</v>
      </c>
      <c r="H15" s="77">
        <f>IFERROR(VLOOKUP(Vaktplan!$A$49,Vaktplan!$BM$4:$CL$35,86-AG68,FALSE),0)</f>
        <v>0</v>
      </c>
      <c r="I15" s="9">
        <f>IFERROR(VLOOKUP(Vaktplan!$A$49,Vaktplan!$BM$4:$CL$35,89-$AH68,FALSE),0)</f>
        <v>0</v>
      </c>
      <c r="J15" s="9">
        <f t="shared" si="3"/>
        <v>0</v>
      </c>
      <c r="K15" s="9">
        <f t="shared" si="4"/>
        <v>24</v>
      </c>
      <c r="L15" s="77">
        <f>IFERROR(VLOOKUP(Vaktplan!$A$49,Vaktplan!$BN$4:$CL$35,86-AI68,FALSE),0)</f>
        <v>0</v>
      </c>
      <c r="M15" s="77">
        <f>IFERROR(VLOOKUP(Vaktplan!$A$49,Vaktplan!$BN$4:$CL$35,86-AH68,FALSE),0)</f>
        <v>0</v>
      </c>
      <c r="N15" s="9">
        <f>IFERROR(VLOOKUP(Vaktplan!$A$49,Vaktplan!$BN$4:$CL$35,89-$AI68,FALSE),0)</f>
        <v>0</v>
      </c>
      <c r="O15" s="9">
        <f t="shared" si="5"/>
        <v>0</v>
      </c>
      <c r="P15" s="9">
        <f t="shared" si="6"/>
        <v>24</v>
      </c>
      <c r="Q15" s="77">
        <f>IFERROR(VLOOKUP(Vaktplan!$A$49,Vaktplan!$BO$4:$CL$35,86-AJ68,FALSE),0)</f>
        <v>0</v>
      </c>
      <c r="R15" s="77">
        <f>IFERROR(VLOOKUP(Vaktplan!$A$49,Vaktplan!$BO$4:$CL$35,86-AI68,FALSE),0)</f>
        <v>0</v>
      </c>
      <c r="S15" s="9">
        <f>IFERROR(VLOOKUP(Vaktplan!$A$49,Vaktplan!$BO$4:$CL$35,89-$AJ68,FALSE),0)</f>
        <v>0</v>
      </c>
      <c r="T15" s="9">
        <f t="shared" si="0"/>
        <v>0</v>
      </c>
      <c r="U15" s="9">
        <f t="shared" si="7"/>
        <v>24</v>
      </c>
      <c r="V15" s="77">
        <f>IFERROR(VLOOKUP(Vaktplan!$A$49,Vaktplan!$BP$4:$CL$35,86-AK68,FALSE),0)</f>
        <v>0</v>
      </c>
      <c r="W15" s="77">
        <f>IFERROR(VLOOKUP(Vaktplan!$A$49,Vaktplan!$BP$4:$CL$35,86-AJ68,FALSE),0)</f>
        <v>0</v>
      </c>
      <c r="X15" s="9">
        <f>IFERROR(VLOOKUP(Vaktplan!$A$49,Vaktplan!$BP$4:$CL$35,89-$AK68,FALSE),0)</f>
        <v>0</v>
      </c>
      <c r="Y15" s="9">
        <f>IF(AND(V15=0,W15=0),0,IF(V15&lt;W15,((W15-V15)*24)-X15,(((1-V15)+W15)*24)-X15))</f>
        <v>0</v>
      </c>
      <c r="Z15" s="9">
        <f t="shared" si="9"/>
        <v>24</v>
      </c>
      <c r="AA15" s="77">
        <f>IFERROR(VLOOKUP(Vaktplan!$A$49,Vaktplan!$BQ$4:$CL$35,86-AL68,FALSE),0)</f>
        <v>0</v>
      </c>
      <c r="AB15" s="77">
        <f>IFERROR(VLOOKUP(Vaktplan!$A$49,Vaktplan!$BQ$4:$CL$35,86-AK68,FALSE),0)</f>
        <v>0</v>
      </c>
      <c r="AC15" s="9">
        <f>IFERROR(VLOOKUP(Vaktplan!$A$49,Vaktplan!$BQ$4:$CL$35,89-$AL68,FALSE),0)</f>
        <v>0</v>
      </c>
      <c r="AD15" s="9">
        <f>IF(AND(AA15=0,AB15=0),0,IF(AA15&lt;AB15,((AB15-AA15)*24)-AC15,(((1-AA15)+AB15)*24)-AC15))</f>
        <v>0</v>
      </c>
      <c r="AE15" s="9">
        <f t="shared" si="11"/>
        <v>24</v>
      </c>
      <c r="AF15" s="77">
        <f>IFERROR(VLOOKUP(Vaktplan!$A$49,Vaktplan!$BR$4:$CL$35,86-AM68,FALSE),0)</f>
        <v>0</v>
      </c>
      <c r="AG15" s="77">
        <f>IFERROR(VLOOKUP(Vaktplan!$A$49,Vaktplan!$BR$4:$CL$35,86-AL68,FALSE),0)</f>
        <v>0</v>
      </c>
      <c r="AH15" s="9">
        <f>IFERROR(VLOOKUP(Vaktplan!$A$49,Vaktplan!$BR$4:$CL$35,89-$AM68,FALSE),0)</f>
        <v>0</v>
      </c>
      <c r="AI15" s="9">
        <f>IF(AND(AF15=0,AG15=0),0,IF(AF15&lt;AG15,((AG15-AF15)*24)-AH15,(((1-AF15)+AG15)*24)-AH15))</f>
        <v>0</v>
      </c>
      <c r="AJ15" s="9">
        <f t="shared" si="13"/>
        <v>24</v>
      </c>
      <c r="AK15" s="9">
        <f t="shared" si="1"/>
        <v>0</v>
      </c>
      <c r="AL15" s="10"/>
      <c r="AM15" s="10"/>
    </row>
    <row r="16" spans="1:39" ht="13" x14ac:dyDescent="0.25">
      <c r="A16" s="7">
        <v>11</v>
      </c>
      <c r="B16" s="77">
        <f>IFERROR(VLOOKUP(Vaktplan!$A$49,Vaktplan!$BS$4:$CL$35,87-AH69,FALSE),0)</f>
        <v>0</v>
      </c>
      <c r="C16" s="77">
        <f>IFERROR(VLOOKUP(Vaktplan!$A$49,Vaktplan!$BS$4:$CL$35,87-AG69,FALSE),0)</f>
        <v>0</v>
      </c>
      <c r="D16" s="9">
        <f>IFERROR(VLOOKUP(Vaktplan!$A$49,Vaktplan!$BS$4:$CL$35,89-AG69,FALSE),0)</f>
        <v>0</v>
      </c>
      <c r="E16" s="9">
        <f t="shared" si="16"/>
        <v>0</v>
      </c>
      <c r="F16" s="9">
        <f t="shared" si="2"/>
        <v>24</v>
      </c>
      <c r="G16" s="77">
        <f>IFERROR(VLOOKUP(Vaktplan!$A$49,Vaktplan!$BT$4:$CL$35,86-AH69,FALSE),0)</f>
        <v>0</v>
      </c>
      <c r="H16" s="77">
        <f>IFERROR(VLOOKUP(Vaktplan!$A$49,Vaktplan!$BT$4:$CL$35,86-AG69,FALSE),0)</f>
        <v>0</v>
      </c>
      <c r="I16" s="9">
        <f>IFERROR(VLOOKUP(Vaktplan!$A$49,Vaktplan!$BT$4:$CL$35,89-$AH69,FALSE),0)</f>
        <v>0</v>
      </c>
      <c r="J16" s="9">
        <f t="shared" si="3"/>
        <v>0</v>
      </c>
      <c r="K16" s="9">
        <f t="shared" si="4"/>
        <v>24</v>
      </c>
      <c r="L16" s="77">
        <f>IFERROR(VLOOKUP(Vaktplan!$A$49,Vaktplan!$BU$4:$CL$35,86-AI69,FALSE),0)</f>
        <v>0</v>
      </c>
      <c r="M16" s="77">
        <f>IFERROR(VLOOKUP(Vaktplan!$A$49,Vaktplan!$BU$4:$CL$35,86-AH69,FALSE),0)</f>
        <v>0</v>
      </c>
      <c r="N16" s="9">
        <f>IFERROR(VLOOKUP(Vaktplan!$A$49,Vaktplan!$BU$4:$CL$35,89-$AI69,FALSE),0)</f>
        <v>0</v>
      </c>
      <c r="O16" s="9">
        <f t="shared" si="5"/>
        <v>0</v>
      </c>
      <c r="P16" s="9">
        <f t="shared" si="6"/>
        <v>24</v>
      </c>
      <c r="Q16" s="77">
        <f>IFERROR(VLOOKUP(Vaktplan!$A$49,Vaktplan!$BV$4:$CL$35,86-AJ69,FALSE),0)</f>
        <v>0</v>
      </c>
      <c r="R16" s="77">
        <f>IFERROR(VLOOKUP(Vaktplan!$A$49,Vaktplan!$BV$4:$CL$35,86-AI69,FALSE),0)</f>
        <v>0</v>
      </c>
      <c r="S16" s="9">
        <f>IFERROR(VLOOKUP(Vaktplan!$A$49,Vaktplan!$BV$4:$CL$35,89-$AJ69,FALSE),0)</f>
        <v>0</v>
      </c>
      <c r="T16" s="9">
        <f t="shared" si="0"/>
        <v>0</v>
      </c>
      <c r="U16" s="9">
        <f t="shared" si="7"/>
        <v>24</v>
      </c>
      <c r="V16" s="77">
        <f>IFERROR(VLOOKUP(Vaktplan!$A$49,Vaktplan!$BW$4:$CL$35,86-AK69,FALSE),0)</f>
        <v>0</v>
      </c>
      <c r="W16" s="77">
        <f>IFERROR(VLOOKUP(Vaktplan!$A$49,Vaktplan!$BW$4:$CL$35,86-AJ69,FALSE),0)</f>
        <v>0</v>
      </c>
      <c r="X16" s="9">
        <f>IFERROR(VLOOKUP(Vaktplan!$A$49,Vaktplan!$BW$4:$CL$35,89-$AK69,FALSE),0)</f>
        <v>0</v>
      </c>
      <c r="Y16" s="9">
        <f>IF(AND(V16=0,W16=0),0,IF(V16&lt;W16,((W16-V16)*24)-X16,(((1-V16)+W16)*24)-X16))</f>
        <v>0</v>
      </c>
      <c r="Z16" s="9">
        <f t="shared" si="9"/>
        <v>24</v>
      </c>
      <c r="AA16" s="77">
        <f>IFERROR(VLOOKUP(Vaktplan!$A$49,Vaktplan!$BX$4:$CL$35,86-AL69,FALSE),0)</f>
        <v>0</v>
      </c>
      <c r="AB16" s="77">
        <f>IFERROR(VLOOKUP(Vaktplan!$A$49,Vaktplan!$BX$4:$CL$35,86-AK69,FALSE),0)</f>
        <v>0</v>
      </c>
      <c r="AC16" s="9">
        <f>IFERROR(VLOOKUP(Vaktplan!$A$49,Vaktplan!$BX$4:$CL$35,89-$AL69,FALSE),0)</f>
        <v>0</v>
      </c>
      <c r="AD16" s="9">
        <f>IF(AND(AA16=0,AB16=0),0,IF(AA16&lt;AB16,((AB16-AA16)*24)-AC16,(((1-AA16)+AB16)*24)-AC16))</f>
        <v>0</v>
      </c>
      <c r="AE16" s="9">
        <f t="shared" si="11"/>
        <v>24</v>
      </c>
      <c r="AF16" s="77">
        <f>IFERROR(VLOOKUP(Vaktplan!$A$49,Vaktplan!$BY$4:$CL$35,86-AM69,FALSE),0)</f>
        <v>0</v>
      </c>
      <c r="AG16" s="77">
        <f>IFERROR(VLOOKUP(Vaktplan!$A$49,Vaktplan!$BY$4:$CL$35,86-AL69,FALSE),0)</f>
        <v>0</v>
      </c>
      <c r="AH16" s="9">
        <f>IFERROR(VLOOKUP(Vaktplan!$A$49,Vaktplan!$BY$4:$CL$35,89-$AM69,FALSE),0)</f>
        <v>0</v>
      </c>
      <c r="AI16" s="9">
        <f>IF(AND(AF16=0,AG16=0),0,IF(AF16&lt;AG16,((AG16-AF16)*24)-AH16,(((1-AF16)+AG16)*24)-AH16))</f>
        <v>0</v>
      </c>
      <c r="AJ16" s="9">
        <f t="shared" si="13"/>
        <v>24</v>
      </c>
      <c r="AK16" s="9">
        <f t="shared" si="1"/>
        <v>0</v>
      </c>
      <c r="AL16" s="10"/>
      <c r="AM16" s="10"/>
    </row>
    <row r="17" spans="1:43" ht="13" x14ac:dyDescent="0.25">
      <c r="A17" s="7">
        <v>12</v>
      </c>
      <c r="B17" s="77">
        <f>IFERROR(VLOOKUP(Vaktplan!$A$49,Vaktplan!$BZ$4:$CL$35,87-AH70,FALSE),0)</f>
        <v>0</v>
      </c>
      <c r="C17" s="77">
        <f>IFERROR(VLOOKUP(Vaktplan!$A$49,Vaktplan!$BZ$4:$CL$35,87-AG70,FALSE),0)</f>
        <v>0</v>
      </c>
      <c r="D17" s="9">
        <f>IFERROR(VLOOKUP(Vaktplan!$A$49,Vaktplan!$BZ$4:$CL$35,89-AG70,FALSE),0)</f>
        <v>0</v>
      </c>
      <c r="E17" s="9">
        <f t="shared" si="16"/>
        <v>0</v>
      </c>
      <c r="F17" s="9">
        <f t="shared" si="2"/>
        <v>24</v>
      </c>
      <c r="G17" s="77">
        <f>IFERROR(VLOOKUP(Vaktplan!$A$49,Vaktplan!$CA$4:$CL$35,86-AH70,FALSE),0)</f>
        <v>0</v>
      </c>
      <c r="H17" s="77">
        <f>IFERROR(VLOOKUP(Vaktplan!$A$49,Vaktplan!$CA$4:$CL$35,86-AG70,FALSE),0)</f>
        <v>0</v>
      </c>
      <c r="I17" s="9">
        <f>IFERROR(VLOOKUP(Vaktplan!$A$49,Vaktplan!$CA$4:$CL$35,89-$AH70,FALSE),0)</f>
        <v>0</v>
      </c>
      <c r="J17" s="9">
        <f t="shared" si="3"/>
        <v>0</v>
      </c>
      <c r="K17" s="9">
        <f t="shared" si="4"/>
        <v>24</v>
      </c>
      <c r="L17" s="77">
        <f>IFERROR(VLOOKUP(Vaktplan!$A$49,Vaktplan!$CB$4:$CL$35,86-AI70,FALSE),0)</f>
        <v>0</v>
      </c>
      <c r="M17" s="77">
        <f>IFERROR(VLOOKUP(Vaktplan!$A$49,Vaktplan!$CB$4:$CL$35,86-AH70,FALSE),0)</f>
        <v>0</v>
      </c>
      <c r="N17" s="9">
        <f>IFERROR(VLOOKUP(Vaktplan!$A$49,Vaktplan!$CB$4:$CL$35,89-$AI70,FALSE),0)</f>
        <v>0</v>
      </c>
      <c r="O17" s="9">
        <f t="shared" si="5"/>
        <v>0</v>
      </c>
      <c r="P17" s="9">
        <f t="shared" si="6"/>
        <v>24</v>
      </c>
      <c r="Q17" s="77">
        <f>IFERROR(VLOOKUP(Vaktplan!$A$49,Vaktplan!$CC$4:$CL$35,86-AJ70,FALSE),0)</f>
        <v>0</v>
      </c>
      <c r="R17" s="77">
        <f>IFERROR(VLOOKUP(Vaktplan!$A$49,Vaktplan!$CC$4:$CL$35,86-AI70,FALSE),0)</f>
        <v>0</v>
      </c>
      <c r="S17" s="9">
        <f>IFERROR(VLOOKUP(Vaktplan!$A$49,Vaktplan!$CC$4:$CL$35,89-$AJ70,FALSE),0)</f>
        <v>0</v>
      </c>
      <c r="T17" s="9">
        <f t="shared" si="0"/>
        <v>0</v>
      </c>
      <c r="U17" s="9">
        <f t="shared" si="7"/>
        <v>24</v>
      </c>
      <c r="V17" s="77">
        <f>IFERROR(VLOOKUP(Vaktplan!$A$49,Vaktplan!$CD$4:$CL$35,86-AK70,FALSE),0)</f>
        <v>0</v>
      </c>
      <c r="W17" s="77">
        <f>IFERROR(VLOOKUP(Vaktplan!$A$49,Vaktplan!$CD$4:$CL$35,86-AJ70,FALSE),0)</f>
        <v>0</v>
      </c>
      <c r="X17" s="9">
        <f>IFERROR(VLOOKUP(Vaktplan!$A$49,Vaktplan!$CD$4:$CL$35,89-$AK70,FALSE),0)</f>
        <v>0</v>
      </c>
      <c r="Y17" s="9">
        <f>IF(AND(V17=0,W17=0),0,IF(V17&lt;W17,((W17-V17)*24)-X17,(((1-V17)+W17)*24)-X17))</f>
        <v>0</v>
      </c>
      <c r="Z17" s="9">
        <f t="shared" si="9"/>
        <v>24</v>
      </c>
      <c r="AA17" s="77">
        <f>IFERROR(VLOOKUP(Vaktplan!$A$49,Vaktplan!$CE$4:$CL$35,86-AL70,FALSE),0)</f>
        <v>0</v>
      </c>
      <c r="AB17" s="77">
        <f>IFERROR(VLOOKUP(Vaktplan!$A$49,Vaktplan!$CE$4:$CL$35,86-AK70,FALSE),0)</f>
        <v>0</v>
      </c>
      <c r="AC17" s="9">
        <f>IFERROR(VLOOKUP(Vaktplan!$A$49,Vaktplan!$CE$4:$FCE$35,89-$AL70,FALSE),0)</f>
        <v>0</v>
      </c>
      <c r="AD17" s="9">
        <f>IF(AND(AA17=0,AB17=0),0,IF(AA17&lt;AB17,((AB17-AA17)*24)-AC17,(((1-AA17)+AB17)*24)-AC17))</f>
        <v>0</v>
      </c>
      <c r="AE17" s="9">
        <f t="shared" si="11"/>
        <v>24</v>
      </c>
      <c r="AF17" s="77">
        <f>IFERROR(VLOOKUP(Vaktplan!$A$49,Vaktplan!$CF$4:$CL$35,86-AM70,FALSE),0)</f>
        <v>0</v>
      </c>
      <c r="AG17" s="77">
        <f>IFERROR(VLOOKUP(Vaktplan!$A$49,Vaktplan!$CF$4:$CL$35,86-AL70,FALSE),0)</f>
        <v>0</v>
      </c>
      <c r="AH17" s="9">
        <f>IFERROR(VLOOKUP(Vaktplan!$A$49,Vaktplan!$CF$4:$CL$35,89-$AM70,FALSE),0)</f>
        <v>0</v>
      </c>
      <c r="AI17" s="9">
        <f>IF(AND(AF17=0,AG17=0),0,IF(AF17&lt;AG17,((AG17-AF17)*24)-AH17,(((1-AF17)+AG17)*24)-AH17))</f>
        <v>0</v>
      </c>
      <c r="AJ17" s="9">
        <f t="shared" si="13"/>
        <v>24</v>
      </c>
      <c r="AK17" s="9">
        <f t="shared" si="1"/>
        <v>0</v>
      </c>
      <c r="AL17" s="10"/>
      <c r="AM17" s="10"/>
    </row>
    <row r="19" spans="1:43" ht="13" x14ac:dyDescent="0.3">
      <c r="A19" s="4" t="s">
        <v>76</v>
      </c>
    </row>
    <row r="20" spans="1:43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3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3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3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3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6" spans="1:43" ht="13" x14ac:dyDescent="0.3">
      <c r="A26" s="4" t="s">
        <v>77</v>
      </c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</row>
    <row r="27" spans="1:43" ht="13" x14ac:dyDescent="0.3">
      <c r="A27" s="3" t="s">
        <v>78</v>
      </c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80" t="s">
        <v>79</v>
      </c>
      <c r="AM27" s="78"/>
      <c r="AN27" s="78"/>
      <c r="AO27" s="78"/>
    </row>
    <row r="28" spans="1:43" ht="13" x14ac:dyDescent="0.3">
      <c r="A28" s="98" t="s">
        <v>36</v>
      </c>
      <c r="B28" s="98"/>
      <c r="C28" s="98"/>
      <c r="D28" s="88"/>
      <c r="E28" s="8">
        <f>E2</f>
        <v>0</v>
      </c>
      <c r="F28" s="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>
        <v>1</v>
      </c>
      <c r="AM28" s="78"/>
      <c r="AN28" s="78"/>
      <c r="AO28" s="78"/>
    </row>
    <row r="29" spans="1:43" ht="13" x14ac:dyDescent="0.3">
      <c r="A29" s="98" t="s">
        <v>80</v>
      </c>
      <c r="B29" s="98"/>
      <c r="C29" s="98"/>
      <c r="D29" s="88"/>
      <c r="E29" s="5">
        <f>E3</f>
        <v>0</v>
      </c>
      <c r="F29" s="5"/>
      <c r="T29" s="10"/>
      <c r="U29" s="10"/>
      <c r="V29" s="10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80" t="s">
        <v>81</v>
      </c>
      <c r="AH29" s="80"/>
      <c r="AI29" s="78"/>
      <c r="AJ29" s="78"/>
      <c r="AK29" s="78"/>
      <c r="AL29" s="78">
        <v>2</v>
      </c>
      <c r="AM29" s="78"/>
      <c r="AN29" s="78"/>
      <c r="AO29" s="78"/>
      <c r="AP29" s="10"/>
      <c r="AQ29" s="10"/>
    </row>
    <row r="30" spans="1:43" ht="13" x14ac:dyDescent="0.3">
      <c r="A30" s="98" t="s">
        <v>82</v>
      </c>
      <c r="B30" s="98"/>
      <c r="C30" s="98"/>
      <c r="D30" s="88"/>
      <c r="T30" s="10"/>
      <c r="U30" s="10"/>
      <c r="V30" s="10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>
        <v>3</v>
      </c>
      <c r="AM30" s="78"/>
      <c r="AN30" s="78"/>
      <c r="AO30" s="78"/>
      <c r="AP30" s="10"/>
      <c r="AQ30" s="10"/>
    </row>
    <row r="31" spans="1:43" ht="13" x14ac:dyDescent="0.3">
      <c r="A31" s="4" t="s">
        <v>83</v>
      </c>
      <c r="B31" s="4" t="s">
        <v>84</v>
      </c>
      <c r="C31" s="4" t="s">
        <v>85</v>
      </c>
      <c r="D31" s="98" t="s">
        <v>86</v>
      </c>
      <c r="E31" s="98"/>
      <c r="F31" s="4" t="s">
        <v>87</v>
      </c>
      <c r="G31" s="4" t="s">
        <v>88</v>
      </c>
      <c r="H31" s="98" t="s">
        <v>27</v>
      </c>
      <c r="I31" s="98"/>
      <c r="J31" s="4" t="s">
        <v>28</v>
      </c>
      <c r="K31" s="4" t="s">
        <v>29</v>
      </c>
      <c r="L31" s="4" t="s">
        <v>30</v>
      </c>
      <c r="M31" s="4" t="s">
        <v>31</v>
      </c>
      <c r="N31" s="98" t="s">
        <v>32</v>
      </c>
      <c r="O31" s="98"/>
      <c r="T31" s="10"/>
      <c r="U31" s="10"/>
      <c r="V31" s="10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80" t="s">
        <v>9</v>
      </c>
      <c r="AH31" s="80"/>
      <c r="AI31" s="78"/>
      <c r="AJ31" s="78"/>
      <c r="AK31" s="78"/>
      <c r="AL31" s="78">
        <v>4</v>
      </c>
      <c r="AM31" s="78"/>
      <c r="AN31" s="78"/>
      <c r="AO31" s="78"/>
      <c r="AP31" s="10"/>
      <c r="AQ31" s="10"/>
    </row>
    <row r="32" spans="1:43" ht="13" x14ac:dyDescent="0.3">
      <c r="A32" s="3">
        <f>AK6</f>
        <v>0</v>
      </c>
      <c r="B32" s="3">
        <f>AK7</f>
        <v>0</v>
      </c>
      <c r="C32" s="3">
        <f>AK8</f>
        <v>0</v>
      </c>
      <c r="D32" s="101">
        <f>AK9</f>
        <v>0</v>
      </c>
      <c r="E32" s="101"/>
      <c r="F32" s="3">
        <f>AK10</f>
        <v>0</v>
      </c>
      <c r="G32" s="3">
        <f>AK11</f>
        <v>0</v>
      </c>
      <c r="H32" s="101">
        <f>AK12</f>
        <v>0</v>
      </c>
      <c r="I32" s="101"/>
      <c r="J32" s="3">
        <f>AK13</f>
        <v>0</v>
      </c>
      <c r="K32" s="3">
        <f>AK14</f>
        <v>0</v>
      </c>
      <c r="L32" s="3">
        <f>AK15</f>
        <v>0</v>
      </c>
      <c r="M32" s="3">
        <f>AK16</f>
        <v>0</v>
      </c>
      <c r="N32" s="101">
        <f>AK17</f>
        <v>0</v>
      </c>
      <c r="O32" s="101"/>
      <c r="T32" s="11" t="s">
        <v>70</v>
      </c>
      <c r="U32" s="10" t="s">
        <v>89</v>
      </c>
      <c r="V32" s="10" t="s">
        <v>90</v>
      </c>
      <c r="W32" s="78" t="s">
        <v>91</v>
      </c>
      <c r="X32" s="78" t="s">
        <v>92</v>
      </c>
      <c r="Y32" s="78" t="s">
        <v>93</v>
      </c>
      <c r="Z32" s="78" t="s">
        <v>94</v>
      </c>
      <c r="AA32" s="78"/>
      <c r="AB32" s="78"/>
      <c r="AC32" s="78"/>
      <c r="AD32" s="78"/>
      <c r="AE32" s="78"/>
      <c r="AF32" s="78"/>
      <c r="AG32" s="78" t="s">
        <v>10</v>
      </c>
      <c r="AH32" s="78"/>
      <c r="AI32" s="79">
        <v>42177</v>
      </c>
      <c r="AJ32" s="79"/>
      <c r="AK32" s="78"/>
      <c r="AL32" s="78">
        <v>5</v>
      </c>
      <c r="AM32" s="78"/>
      <c r="AN32" s="78"/>
      <c r="AO32" s="78"/>
      <c r="AP32" s="10"/>
      <c r="AQ32" s="10"/>
    </row>
    <row r="33" spans="1:43" ht="13" x14ac:dyDescent="0.3">
      <c r="A33" s="98" t="s">
        <v>95</v>
      </c>
      <c r="B33" s="98"/>
      <c r="C33" s="98"/>
      <c r="D33" s="88"/>
      <c r="G33" s="101"/>
      <c r="H33" s="101"/>
      <c r="I33" s="90"/>
      <c r="T33" s="10">
        <v>1</v>
      </c>
      <c r="U33" s="10">
        <f>IF(AND(B6&gt;0,G6&gt;0),0,IF(AND(G6&gt;0),0,F6+K6))</f>
        <v>48</v>
      </c>
      <c r="V33" s="10">
        <f>IF(AND(G6&gt;0,L6&gt;0),0,IF(AND(L6&gt;0),0,K6+P6))</f>
        <v>48</v>
      </c>
      <c r="W33" s="78">
        <f>IF(AND(L6&gt;0,Q6&gt;0),0,IF(AND(Q6&gt;0),0,P6+U6))</f>
        <v>48</v>
      </c>
      <c r="X33" s="78">
        <f>IF(AND(Q6&gt;0,V6&gt;0),0,IF(AND(V6&gt;0),0,U6+Z6))</f>
        <v>48</v>
      </c>
      <c r="Y33" s="78">
        <f>IF(AND(V6&gt;0,AA6&gt;0),0,IF(AND(AA6&gt;0),0,Z6+AE6))</f>
        <v>48</v>
      </c>
      <c r="Z33" s="78">
        <f>IF(AND(AA6&gt;0,AF6&gt;0),0,IF(AND(AF6&gt;0),0,AE6+AJ6))</f>
        <v>48</v>
      </c>
      <c r="AA33" s="78"/>
      <c r="AB33" s="78"/>
      <c r="AC33" s="78"/>
      <c r="AD33" s="78"/>
      <c r="AE33" s="78"/>
      <c r="AF33" s="78"/>
      <c r="AG33" s="78" t="s">
        <v>11</v>
      </c>
      <c r="AH33" s="78"/>
      <c r="AI33" s="79">
        <v>42178</v>
      </c>
      <c r="AJ33" s="79"/>
      <c r="AK33" s="78"/>
      <c r="AL33" s="78">
        <v>6</v>
      </c>
      <c r="AM33" s="78"/>
      <c r="AN33" s="78"/>
      <c r="AO33" s="78"/>
      <c r="AP33" s="10"/>
      <c r="AQ33" s="10"/>
    </row>
    <row r="34" spans="1:43" x14ac:dyDescent="0.25">
      <c r="A34" s="101" t="s">
        <v>96</v>
      </c>
      <c r="B34" s="101"/>
      <c r="C34" s="3">
        <f>(AK6+AK7+AK8+AK9+AK10+AK11+AK12+AK13+AK14+AK15+AK16+AK17)/M1</f>
        <v>0</v>
      </c>
      <c r="T34" s="10">
        <v>2</v>
      </c>
      <c r="U34" s="10">
        <f t="shared" ref="U34:U40" si="17">IF(AND(B7&gt;0,G7&gt;0),0,IF(AND(G7&gt;0),0,F7+K7))</f>
        <v>48</v>
      </c>
      <c r="V34" s="10">
        <f t="shared" ref="V34:V40" si="18">IF(AND(G7&gt;0,L7&gt;0),0,IF(AND(L7&gt;0),0,K7+P7))</f>
        <v>48</v>
      </c>
      <c r="W34" s="78">
        <f t="shared" ref="W34:W44" si="19">IF(AND(L7&gt;0,Q7&gt;0),0,IF(AND(Q7&gt;0),0,P7+U7))</f>
        <v>48</v>
      </c>
      <c r="X34" s="78">
        <f t="shared" ref="X34:X44" si="20">IF(AND(Q7&gt;0,V7&gt;0),0,IF(AND(V7&gt;0),0,U7+Z7))</f>
        <v>48</v>
      </c>
      <c r="Y34" s="78">
        <f t="shared" ref="Y34:Y44" si="21">IF(AND(V7&gt;0,AA7&gt;0),0,IF(AND(AA7&gt;0),0,Z7+AE7))</f>
        <v>48</v>
      </c>
      <c r="Z34" s="78">
        <f t="shared" ref="Z34:Z44" si="22">IF(AND(AA7&gt;0,AF7&gt;0),0,IF(AND(AF7&gt;0),0,AE7+AJ7))</f>
        <v>48</v>
      </c>
      <c r="AA34" s="78"/>
      <c r="AB34" s="78"/>
      <c r="AC34" s="78"/>
      <c r="AD34" s="78"/>
      <c r="AE34" s="78"/>
      <c r="AF34" s="78"/>
      <c r="AG34" s="78" t="s">
        <v>12</v>
      </c>
      <c r="AH34" s="78"/>
      <c r="AI34" s="79">
        <v>42179</v>
      </c>
      <c r="AJ34" s="79"/>
      <c r="AK34" s="78"/>
      <c r="AL34" s="78">
        <v>7</v>
      </c>
      <c r="AM34" s="78"/>
      <c r="AN34" s="78"/>
      <c r="AO34" s="78"/>
      <c r="AP34" s="10"/>
      <c r="AQ34" s="10"/>
    </row>
    <row r="35" spans="1:43" x14ac:dyDescent="0.25">
      <c r="T35" s="10">
        <v>3</v>
      </c>
      <c r="U35" s="10">
        <f t="shared" si="17"/>
        <v>48</v>
      </c>
      <c r="V35" s="10">
        <f t="shared" si="18"/>
        <v>48</v>
      </c>
      <c r="W35" s="78">
        <f t="shared" si="19"/>
        <v>48</v>
      </c>
      <c r="X35" s="78">
        <f t="shared" si="20"/>
        <v>48</v>
      </c>
      <c r="Y35" s="78">
        <f t="shared" si="21"/>
        <v>48</v>
      </c>
      <c r="Z35" s="78">
        <f t="shared" si="22"/>
        <v>48</v>
      </c>
      <c r="AA35" s="78"/>
      <c r="AB35" s="78"/>
      <c r="AC35" s="78"/>
      <c r="AD35" s="78"/>
      <c r="AE35" s="78"/>
      <c r="AF35" s="78"/>
      <c r="AG35" s="78" t="s">
        <v>13</v>
      </c>
      <c r="AH35" s="78"/>
      <c r="AI35" s="79">
        <v>42180</v>
      </c>
      <c r="AJ35" s="79"/>
      <c r="AK35" s="78"/>
      <c r="AL35" s="78">
        <v>8</v>
      </c>
      <c r="AM35" s="78"/>
      <c r="AN35" s="78"/>
      <c r="AO35" s="78"/>
      <c r="AP35" s="78"/>
      <c r="AQ35" s="10"/>
    </row>
    <row r="36" spans="1:43" ht="13" x14ac:dyDescent="0.3">
      <c r="A36" s="98" t="s">
        <v>97</v>
      </c>
      <c r="B36" s="98"/>
      <c r="C36" s="98"/>
      <c r="D36" s="98"/>
      <c r="E36" s="98"/>
      <c r="F36" s="88"/>
      <c r="T36" s="10">
        <v>4</v>
      </c>
      <c r="U36" s="10">
        <f t="shared" si="17"/>
        <v>48</v>
      </c>
      <c r="V36" s="10">
        <f t="shared" si="18"/>
        <v>48</v>
      </c>
      <c r="W36" s="78">
        <f t="shared" si="19"/>
        <v>48</v>
      </c>
      <c r="X36" s="78">
        <f t="shared" si="20"/>
        <v>48</v>
      </c>
      <c r="Y36" s="78">
        <f t="shared" si="21"/>
        <v>48</v>
      </c>
      <c r="Z36" s="78">
        <f t="shared" si="22"/>
        <v>48</v>
      </c>
      <c r="AA36" s="78"/>
      <c r="AB36" s="78"/>
      <c r="AC36" s="78"/>
      <c r="AD36" s="78"/>
      <c r="AE36" s="78"/>
      <c r="AF36" s="78"/>
      <c r="AG36" s="78" t="s">
        <v>14</v>
      </c>
      <c r="AH36" s="78"/>
      <c r="AI36" s="79">
        <v>42181</v>
      </c>
      <c r="AJ36" s="79"/>
      <c r="AK36" s="78"/>
      <c r="AL36" s="3">
        <v>9</v>
      </c>
      <c r="AM36" s="78"/>
      <c r="AN36" s="78"/>
      <c r="AO36" s="78"/>
      <c r="AP36" s="78"/>
      <c r="AQ36" s="10"/>
    </row>
    <row r="37" spans="1:43" x14ac:dyDescent="0.25">
      <c r="A37" s="99" t="e">
        <f>C34/E3</f>
        <v>#DIV/0!</v>
      </c>
      <c r="B37" s="99"/>
      <c r="C37" s="99"/>
      <c r="T37" s="10">
        <v>5</v>
      </c>
      <c r="U37" s="10">
        <f t="shared" si="17"/>
        <v>48</v>
      </c>
      <c r="V37" s="10">
        <f t="shared" si="18"/>
        <v>48</v>
      </c>
      <c r="W37" s="78">
        <f t="shared" si="19"/>
        <v>48</v>
      </c>
      <c r="X37" s="78">
        <f t="shared" si="20"/>
        <v>48</v>
      </c>
      <c r="Y37" s="78">
        <f t="shared" si="21"/>
        <v>48</v>
      </c>
      <c r="Z37" s="78">
        <f t="shared" si="22"/>
        <v>48</v>
      </c>
      <c r="AA37" s="78"/>
      <c r="AB37" s="78"/>
      <c r="AC37" s="78"/>
      <c r="AD37" s="78"/>
      <c r="AE37" s="78"/>
      <c r="AF37" s="78"/>
      <c r="AG37" s="78" t="s">
        <v>15</v>
      </c>
      <c r="AH37" s="78"/>
      <c r="AI37" s="79">
        <v>42182</v>
      </c>
      <c r="AJ37" s="79"/>
      <c r="AK37" s="78"/>
      <c r="AL37" s="3">
        <v>10</v>
      </c>
      <c r="AM37" s="78"/>
      <c r="AN37" s="78"/>
      <c r="AO37" s="78"/>
      <c r="AP37" s="78"/>
      <c r="AQ37" s="10"/>
    </row>
    <row r="38" spans="1:43" x14ac:dyDescent="0.25">
      <c r="T38" s="10">
        <v>6</v>
      </c>
      <c r="U38" s="10">
        <f t="shared" si="17"/>
        <v>48</v>
      </c>
      <c r="V38" s="10">
        <f t="shared" si="18"/>
        <v>48</v>
      </c>
      <c r="W38" s="78">
        <f t="shared" si="19"/>
        <v>48</v>
      </c>
      <c r="X38" s="78">
        <f t="shared" si="20"/>
        <v>48</v>
      </c>
      <c r="Y38" s="78">
        <f t="shared" si="21"/>
        <v>48</v>
      </c>
      <c r="Z38" s="78">
        <f t="shared" si="22"/>
        <v>48</v>
      </c>
      <c r="AA38" s="78"/>
      <c r="AB38" s="78"/>
      <c r="AC38" s="78"/>
      <c r="AD38" s="78"/>
      <c r="AE38" s="78"/>
      <c r="AF38" s="78"/>
      <c r="AG38" s="78" t="s">
        <v>16</v>
      </c>
      <c r="AH38" s="78"/>
      <c r="AI38" s="79">
        <v>42183</v>
      </c>
      <c r="AJ38" s="79"/>
      <c r="AK38" s="78"/>
      <c r="AL38" s="3">
        <v>11</v>
      </c>
      <c r="AM38" s="78"/>
      <c r="AN38" s="78"/>
      <c r="AO38" s="78"/>
      <c r="AP38" s="78"/>
      <c r="AQ38" s="10"/>
    </row>
    <row r="39" spans="1:43" x14ac:dyDescent="0.25">
      <c r="T39" s="10">
        <v>7</v>
      </c>
      <c r="U39" s="10">
        <f t="shared" si="17"/>
        <v>48</v>
      </c>
      <c r="V39" s="10">
        <f t="shared" si="18"/>
        <v>48</v>
      </c>
      <c r="W39" s="78">
        <f t="shared" si="19"/>
        <v>48</v>
      </c>
      <c r="X39" s="78">
        <f t="shared" si="20"/>
        <v>48</v>
      </c>
      <c r="Y39" s="78">
        <f t="shared" si="21"/>
        <v>48</v>
      </c>
      <c r="Z39" s="78">
        <f t="shared" si="22"/>
        <v>48</v>
      </c>
      <c r="AA39" s="78"/>
      <c r="AB39" s="78"/>
      <c r="AC39" s="78"/>
      <c r="AD39" s="78"/>
      <c r="AE39" s="78"/>
      <c r="AF39" s="78"/>
      <c r="AG39" s="100">
        <f>IF(E1=AG32,AI32,IF(E1=AG33,AI33,IF(E1=AG34,AI34,IF(E1=AG35,AI35,IF(E1=AG36,AI36,IF(E1=AG37,AI37,IF(E1=AG38,AI38,AI32)))))))</f>
        <v>42177</v>
      </c>
      <c r="AH39" s="100"/>
      <c r="AI39" s="100"/>
      <c r="AJ39" s="100"/>
      <c r="AK39" s="100"/>
      <c r="AL39" s="3">
        <v>12</v>
      </c>
      <c r="AM39" s="78"/>
      <c r="AN39" s="78"/>
      <c r="AO39" s="78"/>
      <c r="AP39" s="78"/>
      <c r="AQ39" s="10"/>
    </row>
    <row r="40" spans="1:43" ht="13" x14ac:dyDescent="0.3">
      <c r="A40" s="4" t="s">
        <v>98</v>
      </c>
      <c r="T40" s="10">
        <v>8</v>
      </c>
      <c r="U40" s="10">
        <f t="shared" si="17"/>
        <v>48</v>
      </c>
      <c r="V40" s="10">
        <f t="shared" si="18"/>
        <v>48</v>
      </c>
      <c r="W40" s="78">
        <f t="shared" si="19"/>
        <v>48</v>
      </c>
      <c r="X40" s="78">
        <f t="shared" si="20"/>
        <v>48</v>
      </c>
      <c r="Y40" s="78">
        <f t="shared" si="21"/>
        <v>48</v>
      </c>
      <c r="Z40" s="78">
        <f t="shared" si="22"/>
        <v>48</v>
      </c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10"/>
    </row>
    <row r="41" spans="1:43" x14ac:dyDescent="0.25">
      <c r="A41" s="3" t="s">
        <v>99</v>
      </c>
      <c r="T41" s="10"/>
      <c r="U41" s="10"/>
      <c r="V41" s="10"/>
      <c r="W41" s="78">
        <f t="shared" si="19"/>
        <v>48</v>
      </c>
      <c r="X41" s="78">
        <f t="shared" si="20"/>
        <v>48</v>
      </c>
      <c r="Y41" s="78">
        <f t="shared" si="21"/>
        <v>48</v>
      </c>
      <c r="Z41" s="78">
        <f t="shared" si="22"/>
        <v>48</v>
      </c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10"/>
    </row>
    <row r="42" spans="1:43" ht="13" x14ac:dyDescent="0.3">
      <c r="A42" s="3" t="s">
        <v>100</v>
      </c>
      <c r="O42" s="81">
        <v>0.29166666666666669</v>
      </c>
      <c r="P42" s="81">
        <v>0.33333333333333331</v>
      </c>
      <c r="Q42" s="3">
        <f>(P42-O42)*24</f>
        <v>0.99999999999999911</v>
      </c>
      <c r="T42" s="10"/>
      <c r="U42" s="10"/>
      <c r="V42" s="10"/>
      <c r="W42" s="78">
        <f t="shared" si="19"/>
        <v>48</v>
      </c>
      <c r="X42" s="78">
        <f t="shared" si="20"/>
        <v>48</v>
      </c>
      <c r="Y42" s="78">
        <f t="shared" si="21"/>
        <v>48</v>
      </c>
      <c r="Z42" s="78">
        <f t="shared" si="22"/>
        <v>48</v>
      </c>
      <c r="AA42" s="78"/>
      <c r="AB42" s="78"/>
      <c r="AC42" s="78"/>
      <c r="AD42" s="78"/>
      <c r="AE42" s="78"/>
      <c r="AF42" s="78"/>
      <c r="AG42" s="80" t="s">
        <v>101</v>
      </c>
      <c r="AH42" s="80"/>
      <c r="AI42" s="78"/>
      <c r="AJ42" s="78"/>
      <c r="AK42" s="78"/>
      <c r="AL42" s="80" t="s">
        <v>102</v>
      </c>
      <c r="AM42" s="78"/>
      <c r="AN42" s="78"/>
      <c r="AO42" s="78"/>
      <c r="AP42" s="78"/>
      <c r="AQ42" s="10"/>
    </row>
    <row r="43" spans="1:43" x14ac:dyDescent="0.25">
      <c r="T43" s="10"/>
      <c r="U43" s="10"/>
      <c r="V43" s="10"/>
      <c r="W43" s="78">
        <f t="shared" si="19"/>
        <v>48</v>
      </c>
      <c r="X43" s="78">
        <f t="shared" si="20"/>
        <v>48</v>
      </c>
      <c r="Y43" s="78">
        <f t="shared" si="21"/>
        <v>48</v>
      </c>
      <c r="Z43" s="78">
        <f t="shared" si="22"/>
        <v>48</v>
      </c>
      <c r="AA43" s="78"/>
      <c r="AB43" s="78"/>
      <c r="AC43" s="78"/>
      <c r="AD43" s="78"/>
      <c r="AE43" s="78"/>
      <c r="AF43" s="78"/>
      <c r="AG43" s="78">
        <v>33.6</v>
      </c>
      <c r="AH43" s="78"/>
      <c r="AI43" s="78"/>
      <c r="AJ43" s="78"/>
      <c r="AK43" s="78"/>
      <c r="AL43" s="78" t="s">
        <v>103</v>
      </c>
      <c r="AM43" s="78"/>
      <c r="AN43" s="78"/>
      <c r="AO43" s="78"/>
      <c r="AP43" s="78"/>
      <c r="AQ43" s="10"/>
    </row>
    <row r="44" spans="1:43" x14ac:dyDescent="0.25">
      <c r="A44" s="3" t="s">
        <v>104</v>
      </c>
      <c r="T44" s="10"/>
      <c r="U44" s="10"/>
      <c r="V44" s="10"/>
      <c r="W44" s="78">
        <f t="shared" si="19"/>
        <v>48</v>
      </c>
      <c r="X44" s="78">
        <f t="shared" si="20"/>
        <v>48</v>
      </c>
      <c r="Y44" s="78">
        <f t="shared" si="21"/>
        <v>48</v>
      </c>
      <c r="Z44" s="78">
        <f t="shared" si="22"/>
        <v>48</v>
      </c>
      <c r="AA44" s="78"/>
      <c r="AB44" s="78"/>
      <c r="AC44" s="78"/>
      <c r="AD44" s="78"/>
      <c r="AE44" s="78"/>
      <c r="AF44" s="78"/>
      <c r="AG44" s="78">
        <v>35.5</v>
      </c>
      <c r="AH44" s="78"/>
      <c r="AI44" s="78"/>
      <c r="AJ44" s="78"/>
      <c r="AK44" s="78"/>
      <c r="AL44" s="78" t="s">
        <v>105</v>
      </c>
      <c r="AM44" s="78"/>
      <c r="AN44" s="78"/>
      <c r="AO44" s="78"/>
      <c r="AP44" s="78"/>
      <c r="AQ44" s="10"/>
    </row>
    <row r="45" spans="1:43" x14ac:dyDescent="0.25">
      <c r="A45" s="1">
        <v>11</v>
      </c>
      <c r="B45" s="5">
        <f>COUNTIF($F$6:$F$13,"&lt;" &amp; A45)+COUNTIF($K$6:$K$13,"&lt;" &amp; A45)+COUNTIF($P$6:$P$13,"&lt;" &amp; A45)+COUNTIF($U$6:$U$13,"&lt;" &amp; A45)+COUNTIF($Z$6:$Z$13,"&lt;" &amp; A45)+COUNTIF($AE$6:$AE$13,"&lt;" &amp; A45)+COUNTIF($AJ$6:$AJ$13,"&lt;" &amp; A45)</f>
        <v>0</v>
      </c>
      <c r="T45" s="10"/>
      <c r="U45" s="10"/>
      <c r="V45" s="10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>
        <v>37.5</v>
      </c>
      <c r="AH45" s="78"/>
      <c r="AI45" s="78"/>
      <c r="AJ45" s="78"/>
      <c r="AK45" s="78"/>
      <c r="AL45" s="78"/>
      <c r="AM45" s="78"/>
      <c r="AN45" s="78"/>
      <c r="AO45" s="78"/>
      <c r="AP45" s="78"/>
      <c r="AQ45" s="10"/>
    </row>
    <row r="46" spans="1:43" x14ac:dyDescent="0.25">
      <c r="T46" s="10"/>
      <c r="U46" s="10"/>
      <c r="V46" s="10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78"/>
      <c r="AQ46" s="10"/>
    </row>
    <row r="47" spans="1:43" x14ac:dyDescent="0.25">
      <c r="T47" s="10"/>
      <c r="U47" s="10"/>
      <c r="V47" s="10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10"/>
    </row>
    <row r="48" spans="1:43" x14ac:dyDescent="0.25">
      <c r="T48" s="10"/>
      <c r="U48" s="10"/>
      <c r="V48" s="10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78"/>
      <c r="AO48" s="78"/>
      <c r="AP48" s="78"/>
      <c r="AQ48" s="10"/>
    </row>
    <row r="49" spans="1:43" ht="13" x14ac:dyDescent="0.3">
      <c r="A49" s="4" t="s">
        <v>106</v>
      </c>
      <c r="T49" s="10"/>
      <c r="U49" s="10"/>
      <c r="V49" s="10"/>
      <c r="W49" s="78"/>
      <c r="X49" s="78"/>
      <c r="Y49" s="78"/>
      <c r="Z49" s="78"/>
      <c r="AA49" s="78"/>
      <c r="AB49" s="80" t="s">
        <v>107</v>
      </c>
      <c r="AC49" s="80"/>
      <c r="AD49" s="78"/>
      <c r="AE49" s="78"/>
      <c r="AF49" s="78"/>
      <c r="AG49" s="78"/>
      <c r="AH49" s="78"/>
      <c r="AI49" s="78"/>
      <c r="AJ49" s="78"/>
      <c r="AK49" s="78"/>
      <c r="AL49" s="78"/>
      <c r="AM49" s="78"/>
      <c r="AN49" s="78"/>
      <c r="AO49" s="78"/>
      <c r="AP49" s="78"/>
      <c r="AQ49" s="10"/>
    </row>
    <row r="50" spans="1:43" x14ac:dyDescent="0.25">
      <c r="A50" s="3" t="s">
        <v>108</v>
      </c>
      <c r="T50" s="10"/>
      <c r="U50" s="10"/>
      <c r="V50" s="10"/>
      <c r="W50" s="78"/>
      <c r="X50" s="78"/>
      <c r="Y50" s="78"/>
      <c r="Z50" s="78"/>
      <c r="AA50" s="78"/>
      <c r="AB50" s="78" t="s">
        <v>109</v>
      </c>
      <c r="AC50" s="78"/>
      <c r="AD50" s="78"/>
      <c r="AE50" s="78"/>
      <c r="AF50" s="78"/>
      <c r="AG50" s="78"/>
      <c r="AH50" s="78"/>
      <c r="AI50" s="78"/>
      <c r="AJ50" s="78"/>
      <c r="AK50" s="78"/>
      <c r="AL50" s="78"/>
      <c r="AM50" s="78"/>
      <c r="AN50" s="78"/>
      <c r="AO50" s="78"/>
      <c r="AP50" s="78"/>
      <c r="AQ50" s="10"/>
    </row>
    <row r="51" spans="1:43" ht="13" x14ac:dyDescent="0.3">
      <c r="A51" s="4" t="s">
        <v>110</v>
      </c>
      <c r="T51" s="10"/>
      <c r="U51" s="10"/>
      <c r="V51" s="10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  <c r="AN51" s="78"/>
      <c r="AO51" s="78"/>
      <c r="AP51" s="78"/>
      <c r="AQ51" s="10"/>
    </row>
    <row r="52" spans="1:43" x14ac:dyDescent="0.25">
      <c r="A52" s="3" t="s">
        <v>111</v>
      </c>
      <c r="T52" s="10"/>
      <c r="U52" s="10"/>
      <c r="V52" s="10"/>
      <c r="W52" s="78"/>
      <c r="X52" s="78"/>
      <c r="Y52" s="78"/>
      <c r="Z52" s="78"/>
      <c r="AA52" s="78"/>
      <c r="AB52" s="78" t="s">
        <v>112</v>
      </c>
      <c r="AC52" s="78"/>
      <c r="AD52" s="78"/>
      <c r="AE52" s="78"/>
      <c r="AF52" s="78"/>
      <c r="AG52" s="78"/>
      <c r="AH52" s="78"/>
      <c r="AI52" s="78"/>
      <c r="AJ52" s="78"/>
      <c r="AK52" s="78"/>
      <c r="AL52" s="78"/>
      <c r="AM52" s="78"/>
      <c r="AN52" s="78"/>
      <c r="AO52" s="78"/>
      <c r="AP52" s="78"/>
      <c r="AQ52" s="10"/>
    </row>
    <row r="53" spans="1:43" x14ac:dyDescent="0.25">
      <c r="A53" s="3" t="s">
        <v>113</v>
      </c>
      <c r="T53" s="10"/>
      <c r="U53" s="10"/>
      <c r="V53" s="10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78"/>
      <c r="AO53" s="78"/>
      <c r="AP53" s="78"/>
      <c r="AQ53" s="10"/>
    </row>
    <row r="54" spans="1:43" x14ac:dyDescent="0.25">
      <c r="A54" s="3" t="s">
        <v>114</v>
      </c>
      <c r="T54" s="10"/>
      <c r="U54" s="10"/>
      <c r="V54" s="10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78"/>
      <c r="AL54" s="78"/>
      <c r="AM54" s="78"/>
      <c r="AN54" s="78"/>
      <c r="AO54" s="78"/>
      <c r="AP54" s="78"/>
      <c r="AQ54" s="10"/>
    </row>
    <row r="55" spans="1:43" x14ac:dyDescent="0.25">
      <c r="T55" s="10"/>
      <c r="U55" s="10"/>
      <c r="V55" s="10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10"/>
    </row>
    <row r="56" spans="1:43" ht="13" x14ac:dyDescent="0.3">
      <c r="A56" s="4" t="s">
        <v>115</v>
      </c>
      <c r="T56" s="10"/>
      <c r="U56" s="10"/>
      <c r="V56" s="10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78"/>
      <c r="AO56" s="78"/>
      <c r="AP56" s="78"/>
      <c r="AQ56" s="10"/>
    </row>
    <row r="57" spans="1:43" x14ac:dyDescent="0.25">
      <c r="A57" s="3" t="s">
        <v>116</v>
      </c>
      <c r="T57" s="10"/>
      <c r="U57" s="10"/>
      <c r="V57" s="10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/>
      <c r="AO57" s="78"/>
      <c r="AP57" s="78"/>
      <c r="AQ57" s="10"/>
    </row>
    <row r="58" spans="1:43" ht="13" x14ac:dyDescent="0.3">
      <c r="A58" s="4" t="s">
        <v>110</v>
      </c>
      <c r="T58" s="10"/>
      <c r="U58" s="10"/>
      <c r="V58" s="10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 t="s">
        <v>117</v>
      </c>
      <c r="AH58" s="78"/>
      <c r="AI58" s="78"/>
      <c r="AJ58" s="78"/>
      <c r="AK58" s="78"/>
      <c r="AL58" s="78"/>
      <c r="AM58" s="78"/>
      <c r="AN58" s="78"/>
      <c r="AO58" s="78"/>
      <c r="AP58" s="78"/>
      <c r="AQ58" s="10"/>
    </row>
    <row r="59" spans="1:43" x14ac:dyDescent="0.25">
      <c r="A59" s="3" t="s">
        <v>111</v>
      </c>
      <c r="T59" s="10"/>
      <c r="U59" s="10"/>
      <c r="V59" s="10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>
        <v>0</v>
      </c>
      <c r="AH59" s="78">
        <v>1</v>
      </c>
      <c r="AI59" s="78">
        <v>2</v>
      </c>
      <c r="AJ59" s="78">
        <v>3</v>
      </c>
      <c r="AK59" s="78">
        <v>4</v>
      </c>
      <c r="AL59" s="78">
        <v>5</v>
      </c>
      <c r="AM59" s="78">
        <v>6</v>
      </c>
      <c r="AN59" s="78"/>
      <c r="AO59" s="78"/>
      <c r="AP59" s="78"/>
      <c r="AQ59" s="10"/>
    </row>
    <row r="60" spans="1:43" x14ac:dyDescent="0.25">
      <c r="A60" s="3" t="s">
        <v>113</v>
      </c>
      <c r="T60" s="10"/>
      <c r="U60" s="10"/>
      <c r="V60" s="10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>
        <v>7</v>
      </c>
      <c r="AH60" s="78">
        <v>8</v>
      </c>
      <c r="AI60" s="78">
        <v>9</v>
      </c>
      <c r="AJ60" s="78">
        <v>10</v>
      </c>
      <c r="AK60" s="78">
        <v>11</v>
      </c>
      <c r="AL60" s="78">
        <v>12</v>
      </c>
      <c r="AM60" s="78">
        <v>13</v>
      </c>
      <c r="AN60" s="78"/>
      <c r="AO60" s="78"/>
      <c r="AP60" s="78"/>
      <c r="AQ60" s="10"/>
    </row>
    <row r="61" spans="1:43" x14ac:dyDescent="0.25">
      <c r="T61" s="10"/>
      <c r="U61" s="10"/>
      <c r="V61" s="10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>
        <v>14</v>
      </c>
      <c r="AH61" s="78">
        <v>15</v>
      </c>
      <c r="AI61" s="78">
        <v>16</v>
      </c>
      <c r="AJ61" s="78">
        <v>17</v>
      </c>
      <c r="AK61" s="78">
        <v>18</v>
      </c>
      <c r="AL61" s="78">
        <v>19</v>
      </c>
      <c r="AM61" s="78">
        <v>20</v>
      </c>
      <c r="AN61" s="78"/>
      <c r="AO61" s="78"/>
      <c r="AP61" s="78"/>
      <c r="AQ61" s="10"/>
    </row>
    <row r="62" spans="1:43" ht="13" x14ac:dyDescent="0.3">
      <c r="A62" s="4" t="s">
        <v>118</v>
      </c>
      <c r="T62" s="10"/>
      <c r="U62" s="10"/>
      <c r="V62" s="10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>
        <v>21</v>
      </c>
      <c r="AH62" s="78">
        <v>22</v>
      </c>
      <c r="AI62" s="78">
        <v>23</v>
      </c>
      <c r="AJ62" s="78">
        <v>24</v>
      </c>
      <c r="AK62" s="78">
        <v>25</v>
      </c>
      <c r="AL62" s="78">
        <v>26</v>
      </c>
      <c r="AM62" s="78">
        <v>27</v>
      </c>
      <c r="AN62" s="78"/>
      <c r="AO62" s="78"/>
      <c r="AP62" s="78"/>
      <c r="AQ62" s="10"/>
    </row>
    <row r="63" spans="1:43" x14ac:dyDescent="0.25">
      <c r="A63" s="3" t="s">
        <v>119</v>
      </c>
      <c r="T63" s="10"/>
      <c r="U63" s="10"/>
      <c r="V63" s="10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>
        <v>28</v>
      </c>
      <c r="AH63" s="78">
        <v>29</v>
      </c>
      <c r="AI63" s="78">
        <v>30</v>
      </c>
      <c r="AJ63" s="78">
        <v>31</v>
      </c>
      <c r="AK63" s="78">
        <v>32</v>
      </c>
      <c r="AL63" s="78">
        <v>33</v>
      </c>
      <c r="AM63" s="78">
        <v>34</v>
      </c>
      <c r="AN63" s="78"/>
      <c r="AO63" s="78"/>
      <c r="AP63" s="78"/>
      <c r="AQ63" s="10"/>
    </row>
    <row r="64" spans="1:43" x14ac:dyDescent="0.25">
      <c r="A64" s="3" t="s">
        <v>120</v>
      </c>
      <c r="T64" s="10"/>
      <c r="U64" s="10"/>
      <c r="V64" s="10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>
        <v>35</v>
      </c>
      <c r="AH64" s="78">
        <v>36</v>
      </c>
      <c r="AI64" s="78">
        <v>37</v>
      </c>
      <c r="AJ64" s="78">
        <v>38</v>
      </c>
      <c r="AK64" s="78">
        <v>39</v>
      </c>
      <c r="AL64" s="78">
        <v>40</v>
      </c>
      <c r="AM64" s="78">
        <v>41</v>
      </c>
      <c r="AN64" s="78"/>
      <c r="AO64" s="78"/>
      <c r="AP64" s="78"/>
      <c r="AQ64" s="10"/>
    </row>
    <row r="65" spans="1:43" x14ac:dyDescent="0.25">
      <c r="T65" s="10"/>
      <c r="U65" s="10"/>
      <c r="V65" s="10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>
        <v>42</v>
      </c>
      <c r="AH65" s="78">
        <v>43</v>
      </c>
      <c r="AI65" s="78">
        <v>44</v>
      </c>
      <c r="AJ65" s="78">
        <v>45</v>
      </c>
      <c r="AK65" s="78">
        <v>46</v>
      </c>
      <c r="AL65" s="78">
        <v>47</v>
      </c>
      <c r="AM65" s="78">
        <v>48</v>
      </c>
      <c r="AN65" s="78"/>
      <c r="AO65" s="78"/>
      <c r="AP65" s="78"/>
      <c r="AQ65" s="10"/>
    </row>
    <row r="66" spans="1:43" ht="13" x14ac:dyDescent="0.3">
      <c r="A66" s="3" t="s">
        <v>121</v>
      </c>
      <c r="B66" s="4"/>
      <c r="T66" s="10"/>
      <c r="U66" s="10"/>
      <c r="V66" s="10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>
        <v>49</v>
      </c>
      <c r="AH66" s="78">
        <v>50</v>
      </c>
      <c r="AI66" s="78">
        <v>51</v>
      </c>
      <c r="AJ66" s="78">
        <v>52</v>
      </c>
      <c r="AK66" s="78">
        <v>53</v>
      </c>
      <c r="AL66" s="78">
        <v>54</v>
      </c>
      <c r="AM66" s="78">
        <v>55</v>
      </c>
      <c r="AN66" s="78"/>
      <c r="AO66" s="78"/>
      <c r="AP66" s="78"/>
      <c r="AQ66" s="10"/>
    </row>
    <row r="67" spans="1:43" ht="13" x14ac:dyDescent="0.3">
      <c r="A67" s="1">
        <v>9</v>
      </c>
      <c r="B67" s="5">
        <f>COUNTIF($E$6:$E$13,"&gt;" &amp; A67)+COUNTIF($J$6:$J$13,"&gt;" &amp; A67)+COUNTIF($O$6:$O$13,"&gt;" &amp; A67)+COUNTIF($T$6:$T$13,"&gt;" &amp; A67)+COUNTIF($Y$6:$Y$13,"&gt;" &amp; A67)+COUNTIF($AD$6:$AD$13,"&gt;" &amp; A67)+COUNTIF($AI$6:$AI$13,"&gt;" &amp; A67)</f>
        <v>0</v>
      </c>
      <c r="C67" s="3" t="s">
        <v>122</v>
      </c>
      <c r="E67" s="3" t="s">
        <v>123</v>
      </c>
      <c r="H67" s="1" t="s">
        <v>124</v>
      </c>
      <c r="L67" s="3" t="s">
        <v>125</v>
      </c>
      <c r="T67" s="10"/>
      <c r="U67" s="10"/>
      <c r="V67" s="10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>
        <v>56</v>
      </c>
      <c r="AH67" s="78">
        <v>57</v>
      </c>
      <c r="AI67" s="78">
        <v>58</v>
      </c>
      <c r="AJ67" s="78">
        <v>59</v>
      </c>
      <c r="AK67" s="78">
        <v>60</v>
      </c>
      <c r="AL67" s="78">
        <v>61</v>
      </c>
      <c r="AM67" s="78">
        <v>62</v>
      </c>
      <c r="AN67" s="78"/>
      <c r="AO67" s="78"/>
      <c r="AP67" s="78"/>
      <c r="AQ67" s="10"/>
    </row>
    <row r="68" spans="1:43" x14ac:dyDescent="0.25">
      <c r="T68" s="10"/>
      <c r="U68" s="10"/>
      <c r="V68" s="10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>
        <v>63</v>
      </c>
      <c r="AH68" s="78">
        <v>64</v>
      </c>
      <c r="AI68" s="78">
        <v>65</v>
      </c>
      <c r="AJ68" s="78">
        <v>66</v>
      </c>
      <c r="AK68" s="78">
        <v>67</v>
      </c>
      <c r="AL68" s="78">
        <v>68</v>
      </c>
      <c r="AM68" s="78">
        <v>69</v>
      </c>
      <c r="AN68" s="78"/>
      <c r="AO68" s="78"/>
      <c r="AP68" s="78"/>
      <c r="AQ68" s="10"/>
    </row>
    <row r="69" spans="1:43" x14ac:dyDescent="0.25">
      <c r="A69" s="3" t="s">
        <v>126</v>
      </c>
      <c r="T69" s="10"/>
      <c r="U69" s="10"/>
      <c r="V69" s="10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>
        <v>70</v>
      </c>
      <c r="AH69" s="78">
        <v>71</v>
      </c>
      <c r="AI69" s="78">
        <v>72</v>
      </c>
      <c r="AJ69" s="78">
        <v>73</v>
      </c>
      <c r="AK69" s="78">
        <v>74</v>
      </c>
      <c r="AL69" s="78">
        <v>75</v>
      </c>
      <c r="AM69" s="78">
        <v>76</v>
      </c>
      <c r="AN69" s="78"/>
      <c r="AO69" s="78"/>
      <c r="AP69" s="78"/>
      <c r="AQ69" s="10"/>
    </row>
    <row r="70" spans="1:43" x14ac:dyDescent="0.25">
      <c r="A70" s="1">
        <v>20</v>
      </c>
      <c r="B70" s="5">
        <f>COUNTIF($AK$6:$AK$13,"&gt;" &amp; A70)</f>
        <v>0</v>
      </c>
      <c r="C70" s="3" t="s">
        <v>127</v>
      </c>
      <c r="E70" s="3" t="s">
        <v>128</v>
      </c>
      <c r="H70" s="1" t="s">
        <v>124</v>
      </c>
      <c r="T70" s="10"/>
      <c r="U70" s="10"/>
      <c r="V70" s="10"/>
      <c r="W70" s="78"/>
      <c r="X70" s="78"/>
      <c r="Y70" s="78"/>
      <c r="Z70" s="78"/>
      <c r="AA70" s="78"/>
      <c r="AB70" s="78"/>
      <c r="AC70" s="78"/>
      <c r="AD70" s="78"/>
      <c r="AE70" s="78"/>
      <c r="AF70" s="78"/>
      <c r="AG70" s="78">
        <v>77</v>
      </c>
      <c r="AH70" s="78">
        <v>78</v>
      </c>
      <c r="AI70" s="78">
        <v>79</v>
      </c>
      <c r="AJ70" s="78">
        <v>80</v>
      </c>
      <c r="AK70" s="78">
        <v>81</v>
      </c>
      <c r="AL70" s="78">
        <v>82</v>
      </c>
      <c r="AM70" s="78">
        <v>83</v>
      </c>
      <c r="AN70" s="78"/>
      <c r="AO70" s="78"/>
      <c r="AP70" s="78"/>
      <c r="AQ70" s="10"/>
    </row>
    <row r="71" spans="1:43" x14ac:dyDescent="0.25">
      <c r="W71" s="78"/>
      <c r="X71" s="78"/>
      <c r="Y71" s="78"/>
      <c r="Z71" s="78"/>
      <c r="AA71" s="78"/>
      <c r="AB71" s="78"/>
      <c r="AC71" s="78"/>
      <c r="AD71" s="78"/>
      <c r="AE71" s="78"/>
      <c r="AF71" s="78"/>
      <c r="AG71" s="78">
        <v>84</v>
      </c>
      <c r="AH71" s="78">
        <v>85</v>
      </c>
      <c r="AI71" s="78">
        <v>86</v>
      </c>
      <c r="AJ71" s="78">
        <v>87</v>
      </c>
      <c r="AK71" s="78">
        <v>88</v>
      </c>
      <c r="AL71" s="78">
        <v>89</v>
      </c>
      <c r="AM71" s="78">
        <v>90</v>
      </c>
      <c r="AN71" s="78"/>
      <c r="AO71" s="78"/>
      <c r="AP71" s="78"/>
    </row>
    <row r="72" spans="1:43" x14ac:dyDescent="0.25"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  <c r="AL72" s="78"/>
      <c r="AM72" s="78"/>
      <c r="AN72" s="78"/>
      <c r="AO72" s="78"/>
      <c r="AP72" s="78"/>
    </row>
    <row r="73" spans="1:43" x14ac:dyDescent="0.25">
      <c r="W73" s="78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8"/>
      <c r="AK73" s="78"/>
      <c r="AL73" s="78"/>
      <c r="AM73" s="78"/>
      <c r="AN73" s="78"/>
      <c r="AO73" s="78"/>
      <c r="AP73" s="78"/>
    </row>
    <row r="74" spans="1:43" x14ac:dyDescent="0.25"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78"/>
      <c r="AO74" s="78"/>
      <c r="AP74" s="78"/>
    </row>
    <row r="75" spans="1:43" x14ac:dyDescent="0.25"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  <c r="AK75" s="78"/>
      <c r="AL75" s="78"/>
      <c r="AM75" s="78"/>
      <c r="AN75" s="78"/>
      <c r="AO75" s="78"/>
      <c r="AP75" s="78"/>
    </row>
    <row r="76" spans="1:43" x14ac:dyDescent="0.25">
      <c r="W76" s="78"/>
      <c r="X76" s="78"/>
      <c r="Y76" s="78"/>
      <c r="Z76" s="78"/>
      <c r="AA76" s="78"/>
      <c r="AB76" s="78"/>
      <c r="AC76" s="78"/>
      <c r="AD76" s="78"/>
      <c r="AE76" s="78"/>
      <c r="AF76" s="78"/>
      <c r="AG76" s="78"/>
      <c r="AH76" s="78"/>
      <c r="AI76" s="78"/>
      <c r="AJ76" s="78"/>
      <c r="AK76" s="78"/>
      <c r="AL76" s="78"/>
      <c r="AM76" s="78"/>
      <c r="AN76" s="78"/>
      <c r="AO76" s="78"/>
      <c r="AP76" s="78"/>
    </row>
    <row r="77" spans="1:43" x14ac:dyDescent="0.25"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78"/>
      <c r="AK77" s="78"/>
      <c r="AL77" s="78"/>
      <c r="AM77" s="78"/>
      <c r="AN77" s="78"/>
      <c r="AO77" s="78"/>
      <c r="AP77" s="78"/>
    </row>
    <row r="78" spans="1:43" x14ac:dyDescent="0.25">
      <c r="W78" s="78"/>
      <c r="X78" s="78"/>
      <c r="Y78" s="78"/>
      <c r="Z78" s="78"/>
      <c r="AA78" s="78"/>
      <c r="AB78" s="78"/>
      <c r="AC78" s="78"/>
      <c r="AD78" s="78"/>
      <c r="AE78" s="78"/>
      <c r="AF78" s="78"/>
      <c r="AG78" s="78"/>
      <c r="AH78" s="78"/>
      <c r="AI78" s="78"/>
      <c r="AJ78" s="78"/>
      <c r="AK78" s="78"/>
      <c r="AL78" s="78"/>
      <c r="AM78" s="78"/>
      <c r="AN78" s="78"/>
      <c r="AO78" s="78"/>
      <c r="AP78" s="78"/>
    </row>
    <row r="79" spans="1:43" x14ac:dyDescent="0.25">
      <c r="W79" s="78"/>
      <c r="X79" s="78"/>
      <c r="Y79" s="78"/>
      <c r="Z79" s="78"/>
      <c r="AA79" s="78"/>
      <c r="AB79" s="78"/>
      <c r="AC79" s="78"/>
      <c r="AD79" s="78"/>
      <c r="AE79" s="78"/>
      <c r="AF79" s="78"/>
      <c r="AG79" s="78"/>
      <c r="AH79" s="78"/>
      <c r="AI79" s="78"/>
      <c r="AJ79" s="78"/>
      <c r="AK79" s="78"/>
      <c r="AL79" s="78"/>
      <c r="AM79" s="78"/>
      <c r="AN79" s="78"/>
      <c r="AO79" s="78"/>
      <c r="AP79" s="78"/>
    </row>
    <row r="80" spans="1:43" x14ac:dyDescent="0.25">
      <c r="W80" s="78"/>
      <c r="X80" s="78"/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  <c r="AJ80" s="78"/>
      <c r="AK80" s="78"/>
      <c r="AL80" s="78"/>
      <c r="AM80" s="78"/>
      <c r="AN80" s="78"/>
      <c r="AO80" s="78"/>
      <c r="AP80" s="78"/>
    </row>
    <row r="81" spans="1:42" x14ac:dyDescent="0.25"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  <c r="AJ81" s="78"/>
      <c r="AK81" s="78"/>
      <c r="AL81" s="78"/>
      <c r="AM81" s="78"/>
      <c r="AN81" s="78"/>
      <c r="AO81" s="78"/>
      <c r="AP81" s="78"/>
    </row>
    <row r="82" spans="1:42" x14ac:dyDescent="0.25"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8"/>
      <c r="AH82" s="78"/>
      <c r="AI82" s="78"/>
      <c r="AJ82" s="78"/>
      <c r="AK82" s="78"/>
      <c r="AL82" s="78"/>
      <c r="AM82" s="78"/>
      <c r="AN82" s="78"/>
      <c r="AO82" s="78"/>
      <c r="AP82" s="78"/>
    </row>
    <row r="83" spans="1:42" x14ac:dyDescent="0.25"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</row>
    <row r="84" spans="1:42" x14ac:dyDescent="0.25"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</row>
    <row r="85" spans="1:42" x14ac:dyDescent="0.25"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</row>
    <row r="86" spans="1:42" x14ac:dyDescent="0.25"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8"/>
      <c r="AO86" s="78"/>
      <c r="AP86" s="78"/>
    </row>
    <row r="87" spans="1:42" x14ac:dyDescent="0.25"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  <c r="AN87" s="78"/>
      <c r="AO87" s="78"/>
      <c r="AP87" s="78"/>
    </row>
    <row r="95" spans="1:42" ht="13" x14ac:dyDescent="0.3">
      <c r="A95" s="4"/>
    </row>
  </sheetData>
  <sheetProtection algorithmName="SHA-512" hashValue="IxUdT2pjKl50VtZfMuSeaOL+T3P20RUnPm6RHJFUcWqITadztZzqSf5DuXgIogLtRbbZs2dnNyx0rPTYe5U4Mw==" saltValue="Kmor8YOZeqjaxz+gD0W/ZA==" spinCount="100000" sheet="1" objects="1" scenarios="1"/>
  <mergeCells count="27">
    <mergeCell ref="A1:C1"/>
    <mergeCell ref="H1:L1"/>
    <mergeCell ref="A2:C2"/>
    <mergeCell ref="A3:C3"/>
    <mergeCell ref="B4:F4"/>
    <mergeCell ref="G4:J4"/>
    <mergeCell ref="L4:O4"/>
    <mergeCell ref="I2:J2"/>
    <mergeCell ref="Q4:T4"/>
    <mergeCell ref="V4:Y4"/>
    <mergeCell ref="AA4:AD4"/>
    <mergeCell ref="AF4:AI4"/>
    <mergeCell ref="AG39:AK39"/>
    <mergeCell ref="A28:C28"/>
    <mergeCell ref="A29:C29"/>
    <mergeCell ref="A30:C30"/>
    <mergeCell ref="D32:E32"/>
    <mergeCell ref="H32:I32"/>
    <mergeCell ref="A37:C37"/>
    <mergeCell ref="D31:E31"/>
    <mergeCell ref="H31:I31"/>
    <mergeCell ref="A36:E36"/>
    <mergeCell ref="N32:O32"/>
    <mergeCell ref="A33:C33"/>
    <mergeCell ref="G33:H33"/>
    <mergeCell ref="A34:B34"/>
    <mergeCell ref="N31:O31"/>
  </mergeCells>
  <conditionalFormatting sqref="A6:A17">
    <cfRule type="cellIs" dxfId="798" priority="373" operator="equal">
      <formula>0</formula>
    </cfRule>
  </conditionalFormatting>
  <conditionalFormatting sqref="A37">
    <cfRule type="cellIs" dxfId="797" priority="253" operator="notEqual">
      <formula>$E$2</formula>
    </cfRule>
    <cfRule type="cellIs" dxfId="796" priority="254" operator="equal">
      <formula>$E$2</formula>
    </cfRule>
  </conditionalFormatting>
  <conditionalFormatting sqref="A32:D32 F32:H32 C34">
    <cfRule type="cellIs" dxfId="795" priority="251" operator="notEqual">
      <formula>$E$3</formula>
    </cfRule>
    <cfRule type="cellIs" dxfId="794" priority="252" operator="equal">
      <formula>$E$3</formula>
    </cfRule>
  </conditionalFormatting>
  <conditionalFormatting sqref="B6:D17">
    <cfRule type="expression" dxfId="793" priority="112">
      <formula>$A6=0</formula>
    </cfRule>
  </conditionalFormatting>
  <conditionalFormatting sqref="E6:E17">
    <cfRule type="expression" dxfId="792" priority="116">
      <formula>AND($H$67="ja",E6&gt;$A$67)</formula>
    </cfRule>
    <cfRule type="cellIs" dxfId="791" priority="117" operator="greaterThanOrEqual">
      <formula>0</formula>
    </cfRule>
  </conditionalFormatting>
  <conditionalFormatting sqref="F6:F17">
    <cfRule type="cellIs" dxfId="790" priority="31" operator="lessThan">
      <formula>$A$45</formula>
    </cfRule>
    <cfRule type="cellIs" dxfId="789" priority="32" operator="equal">
      <formula>0</formula>
    </cfRule>
    <cfRule type="cellIs" dxfId="788" priority="33" operator="notEqual">
      <formula>0</formula>
    </cfRule>
  </conditionalFormatting>
  <conditionalFormatting sqref="G6:I17">
    <cfRule type="expression" dxfId="787" priority="52">
      <formula>$A6=0</formula>
    </cfRule>
  </conditionalFormatting>
  <conditionalFormatting sqref="J6:J17">
    <cfRule type="expression" dxfId="786" priority="104">
      <formula>AND($H$67="ja",J6&gt;$A$67)</formula>
    </cfRule>
    <cfRule type="cellIs" dxfId="785" priority="105" operator="greaterThanOrEqual">
      <formula>0</formula>
    </cfRule>
  </conditionalFormatting>
  <conditionalFormatting sqref="J32:N32">
    <cfRule type="cellIs" dxfId="784" priority="249" operator="notEqual">
      <formula>$E$3</formula>
    </cfRule>
    <cfRule type="cellIs" dxfId="783" priority="250" operator="equal">
      <formula>$E$3</formula>
    </cfRule>
  </conditionalFormatting>
  <conditionalFormatting sqref="K6:K17">
    <cfRule type="cellIs" dxfId="782" priority="28" operator="lessThan">
      <formula>$A$45</formula>
    </cfRule>
    <cfRule type="cellIs" dxfId="781" priority="29" operator="equal">
      <formula>0</formula>
    </cfRule>
    <cfRule type="cellIs" dxfId="780" priority="30" operator="notEqual">
      <formula>0</formula>
    </cfRule>
  </conditionalFormatting>
  <conditionalFormatting sqref="L6:N17">
    <cfRule type="expression" dxfId="779" priority="48">
      <formula>$A6=0</formula>
    </cfRule>
  </conditionalFormatting>
  <conditionalFormatting sqref="O6:O17">
    <cfRule type="cellIs" dxfId="778" priority="97" operator="greaterThanOrEqual">
      <formula>0</formula>
    </cfRule>
    <cfRule type="expression" dxfId="777" priority="96">
      <formula>AND($H$67="ja",O6&gt;$A$67)</formula>
    </cfRule>
  </conditionalFormatting>
  <conditionalFormatting sqref="P6:P17">
    <cfRule type="cellIs" dxfId="776" priority="22" operator="lessThan">
      <formula>$A$45</formula>
    </cfRule>
    <cfRule type="cellIs" dxfId="775" priority="23" operator="equal">
      <formula>0</formula>
    </cfRule>
    <cfRule type="cellIs" dxfId="774" priority="24" operator="notEqual">
      <formula>0</formula>
    </cfRule>
  </conditionalFormatting>
  <conditionalFormatting sqref="Q6:S17">
    <cfRule type="expression" dxfId="773" priority="47">
      <formula>$A6=0</formula>
    </cfRule>
  </conditionalFormatting>
  <conditionalFormatting sqref="T6:T17">
    <cfRule type="cellIs" dxfId="772" priority="89" operator="greaterThanOrEqual">
      <formula>0</formula>
    </cfRule>
    <cfRule type="expression" dxfId="771" priority="88">
      <formula>AND($H$67="ja",T6&gt;$A$67)</formula>
    </cfRule>
  </conditionalFormatting>
  <conditionalFormatting sqref="U6:U17">
    <cfRule type="cellIs" dxfId="770" priority="17" operator="equal">
      <formula>0</formula>
    </cfRule>
    <cfRule type="cellIs" dxfId="769" priority="16" operator="lessThan">
      <formula>$A$45</formula>
    </cfRule>
    <cfRule type="cellIs" dxfId="768" priority="18" operator="notEqual">
      <formula>0</formula>
    </cfRule>
  </conditionalFormatting>
  <conditionalFormatting sqref="V6:X17">
    <cfRule type="expression" dxfId="767" priority="46">
      <formula>$A6=0</formula>
    </cfRule>
  </conditionalFormatting>
  <conditionalFormatting sqref="Y6:Y17 AD6:AD17 AI6:AI17">
    <cfRule type="expression" dxfId="766" priority="59">
      <formula>AND($H$67="ja",Y6&gt;$A$67)</formula>
    </cfRule>
    <cfRule type="cellIs" dxfId="765" priority="60" operator="greaterThanOrEqual">
      <formula>0</formula>
    </cfRule>
  </conditionalFormatting>
  <conditionalFormatting sqref="Z6:Z17">
    <cfRule type="cellIs" dxfId="764" priority="11" operator="equal">
      <formula>0</formula>
    </cfRule>
    <cfRule type="cellIs" dxfId="763" priority="10" operator="lessThan">
      <formula>$A$45</formula>
    </cfRule>
    <cfRule type="cellIs" dxfId="762" priority="12" operator="notEqual">
      <formula>0</formula>
    </cfRule>
  </conditionalFormatting>
  <conditionalFormatting sqref="AA6:AC17">
    <cfRule type="expression" dxfId="761" priority="43">
      <formula>$A6=0</formula>
    </cfRule>
  </conditionalFormatting>
  <conditionalFormatting sqref="AE6:AE17">
    <cfRule type="cellIs" dxfId="760" priority="5" operator="equal">
      <formula>0</formula>
    </cfRule>
    <cfRule type="cellIs" dxfId="759" priority="4" operator="lessThan">
      <formula>$A$45</formula>
    </cfRule>
    <cfRule type="cellIs" dxfId="758" priority="6" operator="notEqual">
      <formula>0</formula>
    </cfRule>
  </conditionalFormatting>
  <conditionalFormatting sqref="AF6:AH17">
    <cfRule type="expression" dxfId="757" priority="34">
      <formula>$A6=0</formula>
    </cfRule>
  </conditionalFormatting>
  <conditionalFormatting sqref="AJ6:AJ17">
    <cfRule type="cellIs" dxfId="756" priority="3" operator="notEqual">
      <formula>0</formula>
    </cfRule>
    <cfRule type="cellIs" dxfId="755" priority="2" operator="equal">
      <formula>0</formula>
    </cfRule>
    <cfRule type="cellIs" dxfId="754" priority="1" operator="lessThan">
      <formula>$A$45</formula>
    </cfRule>
  </conditionalFormatting>
  <conditionalFormatting sqref="AK6:AK17">
    <cfRule type="expression" dxfId="753" priority="58">
      <formula>AND($H$70="ja",AK6&gt;$A$70)</formula>
    </cfRule>
    <cfRule type="cellIs" dxfId="752" priority="61" operator="greaterThanOrEqual">
      <formula>0</formula>
    </cfRule>
  </conditionalFormatting>
  <dataValidations count="1">
    <dataValidation type="list" allowBlank="1" showInputMessage="1" showErrorMessage="1" sqref="H67 H70" xr:uid="{00000000-0002-0000-0A00-000000000000}">
      <formula1>Ja_og_nei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4"/>
  <dimension ref="A1:AQ95"/>
  <sheetViews>
    <sheetView zoomScale="85" zoomScaleNormal="85" workbookViewId="0">
      <pane ySplit="24" topLeftCell="A25" activePane="bottomLeft" state="frozen"/>
      <selection pane="bottomLeft" activeCell="C11" sqref="C11"/>
    </sheetView>
  </sheetViews>
  <sheetFormatPr defaultColWidth="9.08984375" defaultRowHeight="12.5" x14ac:dyDescent="0.25"/>
  <cols>
    <col min="1" max="1" width="10.7265625" style="3" customWidth="1"/>
    <col min="2" max="2" width="7.6328125" style="3" customWidth="1"/>
    <col min="3" max="3" width="7.81640625" style="3" customWidth="1"/>
    <col min="4" max="4" width="4.36328125" style="3" bestFit="1" customWidth="1"/>
    <col min="5" max="6" width="10" style="3" customWidth="1"/>
    <col min="7" max="7" width="7" style="3" customWidth="1"/>
    <col min="8" max="8" width="7.6328125" style="3" customWidth="1"/>
    <col min="9" max="9" width="4.36328125" style="3" bestFit="1" customWidth="1"/>
    <col min="10" max="11" width="10" style="3" customWidth="1"/>
    <col min="12" max="12" width="7.26953125" style="3" customWidth="1"/>
    <col min="13" max="13" width="7.7265625" style="3" customWidth="1"/>
    <col min="14" max="14" width="4.36328125" style="3" bestFit="1" customWidth="1"/>
    <col min="15" max="15" width="10.08984375" style="3" bestFit="1" customWidth="1"/>
    <col min="16" max="16" width="10.08984375" style="3" customWidth="1"/>
    <col min="17" max="17" width="7.6328125" style="3" customWidth="1"/>
    <col min="18" max="18" width="7.7265625" style="3" customWidth="1"/>
    <col min="19" max="19" width="4.36328125" style="3" bestFit="1" customWidth="1"/>
    <col min="20" max="20" width="10.08984375" style="3" bestFit="1" customWidth="1"/>
    <col min="21" max="21" width="10.08984375" style="3" customWidth="1"/>
    <col min="22" max="22" width="8.36328125" style="3" customWidth="1"/>
    <col min="23" max="23" width="8.81640625" style="3" customWidth="1"/>
    <col min="24" max="24" width="4.36328125" style="3" bestFit="1" customWidth="1"/>
    <col min="25" max="26" width="10" style="3" customWidth="1"/>
    <col min="27" max="28" width="7.81640625" style="3" customWidth="1"/>
    <col min="29" max="29" width="4.36328125" style="3" bestFit="1" customWidth="1"/>
    <col min="30" max="31" width="9.7265625" style="3" customWidth="1"/>
    <col min="32" max="32" width="6.81640625" style="3" customWidth="1"/>
    <col min="33" max="33" width="7.6328125" style="3" customWidth="1"/>
    <col min="34" max="34" width="4.36328125" style="3" bestFit="1" customWidth="1"/>
    <col min="35" max="36" width="9.6328125" style="3" customWidth="1"/>
    <col min="37" max="37" width="15.6328125" style="3" bestFit="1" customWidth="1"/>
    <col min="38" max="16384" width="9.08984375" style="3"/>
  </cols>
  <sheetData>
    <row r="1" spans="1:39" ht="13" x14ac:dyDescent="0.3">
      <c r="A1" s="98" t="s">
        <v>66</v>
      </c>
      <c r="B1" s="98"/>
      <c r="C1" s="98"/>
      <c r="D1" s="88"/>
      <c r="E1" s="5" t="str">
        <f>Vaktplan!G38</f>
        <v>mandag</v>
      </c>
      <c r="H1" s="98" t="s">
        <v>67</v>
      </c>
      <c r="I1" s="98"/>
      <c r="J1" s="98"/>
      <c r="K1" s="98"/>
      <c r="L1" s="98"/>
      <c r="M1" s="5">
        <f>Vaktplan!AJ50</f>
        <v>12</v>
      </c>
    </row>
    <row r="2" spans="1:39" ht="13" x14ac:dyDescent="0.3">
      <c r="A2" s="98" t="s">
        <v>36</v>
      </c>
      <c r="B2" s="98"/>
      <c r="C2" s="98"/>
      <c r="D2" s="88"/>
      <c r="E2" s="8">
        <f>Vaktplan!AM50</f>
        <v>0</v>
      </c>
      <c r="I2" s="106"/>
      <c r="J2" s="106"/>
    </row>
    <row r="3" spans="1:39" ht="13" x14ac:dyDescent="0.3">
      <c r="A3" s="98" t="s">
        <v>68</v>
      </c>
      <c r="B3" s="98"/>
      <c r="C3" s="98"/>
      <c r="D3" s="88"/>
      <c r="E3" s="5">
        <f>Vaktplan!AQ50</f>
        <v>0</v>
      </c>
      <c r="F3" s="4" t="s">
        <v>69</v>
      </c>
    </row>
    <row r="4" spans="1:39" ht="13" x14ac:dyDescent="0.3">
      <c r="A4" s="89" t="s">
        <v>70</v>
      </c>
      <c r="B4" s="103" t="str">
        <f>TEXT(AG39,"DDDD")</f>
        <v>Monday</v>
      </c>
      <c r="C4" s="104"/>
      <c r="D4" s="104"/>
      <c r="E4" s="104"/>
      <c r="F4" s="105"/>
      <c r="G4" s="102" t="str">
        <f>TEXT($AG$39+1,"DDDD")</f>
        <v>Tuesday</v>
      </c>
      <c r="H4" s="102"/>
      <c r="I4" s="102"/>
      <c r="J4" s="102"/>
      <c r="K4" s="89"/>
      <c r="L4" s="102" t="str">
        <f>TEXT($AG$39+2,"DDDD")</f>
        <v>Wednesday</v>
      </c>
      <c r="M4" s="102"/>
      <c r="N4" s="102"/>
      <c r="O4" s="102"/>
      <c r="P4" s="89"/>
      <c r="Q4" s="102" t="str">
        <f>TEXT($AG$39+3,"DDDD")</f>
        <v>Thursday</v>
      </c>
      <c r="R4" s="102"/>
      <c r="S4" s="102"/>
      <c r="T4" s="102"/>
      <c r="U4" s="89"/>
      <c r="V4" s="102" t="str">
        <f>TEXT($AG$39+4,"DDDD")</f>
        <v>Friday</v>
      </c>
      <c r="W4" s="102"/>
      <c r="X4" s="102"/>
      <c r="Y4" s="102"/>
      <c r="Z4" s="89"/>
      <c r="AA4" s="102" t="str">
        <f>TEXT($AG$39+5,"DDDD")</f>
        <v>Saturday</v>
      </c>
      <c r="AB4" s="102"/>
      <c r="AC4" s="102"/>
      <c r="AD4" s="102"/>
      <c r="AE4" s="89"/>
      <c r="AF4" s="102" t="str">
        <f>TEXT($AG$39+6,"DDDD")</f>
        <v>Sunday</v>
      </c>
      <c r="AG4" s="102"/>
      <c r="AH4" s="102"/>
      <c r="AI4" s="102"/>
      <c r="AJ4" s="89"/>
      <c r="AK4" s="7" t="s">
        <v>71</v>
      </c>
      <c r="AL4" s="91"/>
    </row>
    <row r="5" spans="1:39" x14ac:dyDescent="0.25">
      <c r="A5" s="6"/>
      <c r="B5" s="6" t="s">
        <v>72</v>
      </c>
      <c r="C5" s="6" t="s">
        <v>73</v>
      </c>
      <c r="D5" s="6" t="s">
        <v>55</v>
      </c>
      <c r="E5" s="6" t="s">
        <v>74</v>
      </c>
      <c r="F5" s="6" t="s">
        <v>75</v>
      </c>
      <c r="G5" s="6" t="s">
        <v>72</v>
      </c>
      <c r="H5" s="6" t="s">
        <v>73</v>
      </c>
      <c r="I5" s="6" t="s">
        <v>55</v>
      </c>
      <c r="J5" s="6" t="s">
        <v>74</v>
      </c>
      <c r="K5" s="6" t="s">
        <v>75</v>
      </c>
      <c r="L5" s="6" t="s">
        <v>72</v>
      </c>
      <c r="M5" s="6" t="s">
        <v>73</v>
      </c>
      <c r="N5" s="6" t="s">
        <v>55</v>
      </c>
      <c r="O5" s="6" t="s">
        <v>74</v>
      </c>
      <c r="P5" s="6" t="s">
        <v>75</v>
      </c>
      <c r="Q5" s="6" t="s">
        <v>72</v>
      </c>
      <c r="R5" s="6" t="s">
        <v>73</v>
      </c>
      <c r="S5" s="6" t="s">
        <v>55</v>
      </c>
      <c r="T5" s="6" t="s">
        <v>74</v>
      </c>
      <c r="U5" s="6" t="s">
        <v>75</v>
      </c>
      <c r="V5" s="6" t="s">
        <v>72</v>
      </c>
      <c r="W5" s="6" t="s">
        <v>73</v>
      </c>
      <c r="X5" s="6" t="s">
        <v>55</v>
      </c>
      <c r="Y5" s="6" t="s">
        <v>74</v>
      </c>
      <c r="Z5" s="6" t="s">
        <v>75</v>
      </c>
      <c r="AA5" s="6" t="s">
        <v>72</v>
      </c>
      <c r="AB5" s="6" t="s">
        <v>73</v>
      </c>
      <c r="AC5" s="6" t="s">
        <v>55</v>
      </c>
      <c r="AD5" s="6" t="s">
        <v>74</v>
      </c>
      <c r="AE5" s="6" t="s">
        <v>75</v>
      </c>
      <c r="AF5" s="6" t="s">
        <v>72</v>
      </c>
      <c r="AG5" s="6" t="s">
        <v>73</v>
      </c>
      <c r="AH5" s="6" t="s">
        <v>55</v>
      </c>
      <c r="AI5" s="6" t="s">
        <v>74</v>
      </c>
      <c r="AJ5" s="6" t="s">
        <v>75</v>
      </c>
      <c r="AK5" s="6"/>
      <c r="AL5" s="91"/>
    </row>
    <row r="6" spans="1:39" ht="13" x14ac:dyDescent="0.25">
      <c r="A6" s="7">
        <f>IF(M1&gt;=1,1,0)</f>
        <v>1</v>
      </c>
      <c r="B6" s="77">
        <f>IFERROR(VLOOKUP(Vaktplan!$A$50,Vaktplan!$A$4:$CL$35,87-AH59,FALSE),0)</f>
        <v>0</v>
      </c>
      <c r="C6" s="77">
        <f>IFERROR(VLOOKUP(Vaktplan!$A$50,Vaktplan!$A$4:$CL$35,87-AG59,FALSE),0)</f>
        <v>0</v>
      </c>
      <c r="D6" s="9">
        <f>IFERROR(VLOOKUP(Vaktplan!$A$50,Vaktplan!$A$4:$CL$35,89-AG59,FALSE),0)</f>
        <v>0</v>
      </c>
      <c r="E6" s="9">
        <f>IF(AND(B6=0,C6=0),0,IF(B6&lt;C6,((C6-B6)*24)-D6,(((1-B6)+C6)*24)-D6))</f>
        <v>0</v>
      </c>
      <c r="F6" s="9">
        <f>IF(AND(C6=0,G6=0),24,IF(C6=0,12+(G6*24),IF(C6&lt;G6,((G6-C6)*24),IF(G6=0,(1-C6+0.5)*24,((1-C6)+G6)*24))))</f>
        <v>24</v>
      </c>
      <c r="G6" s="77">
        <f>IFERROR(VLOOKUP(Vaktplan!$A$50,Vaktplan!$B$4:$CL$35,86-AH59,FALSE),0)</f>
        <v>0</v>
      </c>
      <c r="H6" s="77">
        <f>IFERROR(VLOOKUP(Vaktplan!$A$50,Vaktplan!$B$4:$CL$35,86-AG59,FALSE),0)</f>
        <v>0</v>
      </c>
      <c r="I6" s="9">
        <f>IFERROR(VLOOKUP(Vaktplan!$A$50,Vaktplan!$B$4:$CL$35,89-$AH59,FALSE),0)</f>
        <v>0</v>
      </c>
      <c r="J6" s="9">
        <f>IF(AND(G6=0,H6=0),0,IF(G6&lt;H6,((H6-G6)*24)-I6,(((1-G6)+H6)*24)-I6))</f>
        <v>0</v>
      </c>
      <c r="K6" s="9">
        <f>IF(AND(H6=0,L6=0),24,IF(H6=0,12+(L6*24),IF(H6&lt;L6,((L6-H6)*24),IF(L6=0,(1-H6+0.5)*24,((1-H6)+L6)*24))))</f>
        <v>24</v>
      </c>
      <c r="L6" s="77">
        <f>IFERROR(VLOOKUP(Vaktplan!$A$50,Vaktplan!$C$4:$CL$35,86-AI59,FALSE),0)</f>
        <v>0</v>
      </c>
      <c r="M6" s="77">
        <f>IFERROR(VLOOKUP(Vaktplan!$A$50,Vaktplan!$C$4:$CL$35,86-AH59,FALSE),0)</f>
        <v>0</v>
      </c>
      <c r="N6" s="9">
        <f>IFERROR(VLOOKUP(Vaktplan!$A$50,Vaktplan!$C$4:$CL$35,89-$AI59,FALSE),0)</f>
        <v>0</v>
      </c>
      <c r="O6" s="9">
        <f>IF(AND(L6=0,M6=0),0,IF(L6&lt;M6,((M6-L6)*24)-N6,(((1-L6)+M6)*24)-N6))</f>
        <v>0</v>
      </c>
      <c r="P6" s="9">
        <f>IF(AND(M6=0,Q6=0),24,IF(M6=0,12+(Q6*24),IF(M6&lt;Q6,((Q6-M6)*24),IF(Q6=0,(1-M6+0.5)*24,((1-M6)+Q6)*24))))</f>
        <v>24</v>
      </c>
      <c r="Q6" s="77">
        <f>IFERROR(VLOOKUP(Vaktplan!$A$50,Vaktplan!$D$4:$CL$35,86-AJ59,FALSE),0)</f>
        <v>0</v>
      </c>
      <c r="R6" s="77">
        <f>IFERROR(VLOOKUP(Vaktplan!$A$50,Vaktplan!$D$4:$CL$35,86-AI59,FALSE),0)</f>
        <v>0</v>
      </c>
      <c r="S6" s="9">
        <f>IFERROR(VLOOKUP(Vaktplan!$A$50,Vaktplan!$D$4:$CL$35,89-$AJ59,FALSE),0)</f>
        <v>0</v>
      </c>
      <c r="T6" s="9">
        <f t="shared" ref="T6:T17" si="0">IF(AND(Q6=0,R6=0),0,IF(Q6&lt;R6,((R6-Q6)*24)-S6,(((1-Q6)+R6)*24)-S6))</f>
        <v>0</v>
      </c>
      <c r="U6" s="9">
        <f>IF(AND(R6=0,V6=0),24,IF(R6=0,12+(V6*24),IF(R6&lt;V6,((V6-R6)*24),IF(V6=0,(1-R6+0.5)*24,((1-R6)+V6)*24))))</f>
        <v>24</v>
      </c>
      <c r="V6" s="77">
        <f>IFERROR(VLOOKUP(Vaktplan!$A$50,Vaktplan!$E$4:$CL$35,86-AK59,FALSE),0)</f>
        <v>0</v>
      </c>
      <c r="W6" s="77">
        <f>IFERROR(VLOOKUP(Vaktplan!$A$50,Vaktplan!$E$4:$CL$35,86-AJ59,FALSE),0)</f>
        <v>0</v>
      </c>
      <c r="X6" s="9">
        <f>IFERROR(VLOOKUP(Vaktplan!$A$50,Vaktplan!$E$4:$CL$35,89-$AK59,FALSE),0)</f>
        <v>0</v>
      </c>
      <c r="Y6" s="9">
        <f>IF(AND(V6=0,W6=0),0,IF(V6&lt;W6,((W6-V6)*24)-X6,(((1-V6)+W6)*24)-X6))</f>
        <v>0</v>
      </c>
      <c r="Z6" s="9">
        <f>IF(AND(W6=0,AA6=0),24,IF(W6=0,12+(AA6*24),IF(W6&lt;AA6,((AA6-W6)*24),IF(AA6=0,(1-W6+0.5)*24,((1-W6)+AA6)*24))))</f>
        <v>24</v>
      </c>
      <c r="AA6" s="77">
        <f>IFERROR(VLOOKUP(Vaktplan!$A$50,Vaktplan!$F$4:$CL$35,86-AL59,FALSE),0)</f>
        <v>0</v>
      </c>
      <c r="AB6" s="77">
        <f>IFERROR(VLOOKUP(Vaktplan!$A$50,Vaktplan!$F$4:$CL$35,86-AK59,FALSE),0)</f>
        <v>0</v>
      </c>
      <c r="AC6" s="9">
        <f>IFERROR(VLOOKUP(Vaktplan!$A$50,Vaktplan!$F$4:$CL$35,89-$AL59,FALSE),0)</f>
        <v>0</v>
      </c>
      <c r="AD6" s="9">
        <f>IF(AND(AA6=0,AB6=0),0,IF(AA6&lt;AB6,((AB6-AA6)*24)-AC6,(((1-AA6)+AB6)*24)-AC6))</f>
        <v>0</v>
      </c>
      <c r="AE6" s="9">
        <f>IF(AND(AB6=0,AF6=0),24,IF(AB6=0,12+(AF6*24),IF(AB6&lt;AF6,((AF6-AB6)*24),IF(AF6=0,(1-AB6+0.5)*24,((1-AB6)+AF6)*24))))</f>
        <v>24</v>
      </c>
      <c r="AF6" s="77">
        <f>IFERROR(VLOOKUP(Vaktplan!$A$50,Vaktplan!$G$4:$CL$35,86-AM59,FALSE),0)</f>
        <v>0</v>
      </c>
      <c r="AG6" s="77">
        <f>IFERROR(VLOOKUP(Vaktplan!$A$50,Vaktplan!$G$4:$CL$35,86-AL59,FALSE),0)</f>
        <v>0</v>
      </c>
      <c r="AH6" s="9">
        <f>IFERROR(VLOOKUP(Vaktplan!$A$50,Vaktplan!$G$4:$CL$35,89-$AM59,FALSE),0)</f>
        <v>0</v>
      </c>
      <c r="AI6" s="9">
        <f>IF(AND(AF6=0,AG6=0),0,IF(AF6&lt;AG6,((AG6-AF6)*24)-AH6,(((1-AF6)+AG6)*24)-AH6))</f>
        <v>0</v>
      </c>
      <c r="AJ6" s="9">
        <f>IF($M$1=AL28,IF(AND(AG6=0,B6=0),24,IF(AG6=0,12+($B$6*24),IF(AG6&lt;$B$6,(($B$6-AG6)*24),IF($B$6=0,(1-AG6+1)*24,((1-AG6)+$B$6)*24)))),IF(AND(AG6=0,B7=0),24,IF(AG6=0,12+(B7*24),IF(AG6&lt;B7,((B7-AG6)*24),IF(B7=0,(1-AG6+1)*24,((1-AG6)+B7)*24)))))</f>
        <v>24</v>
      </c>
      <c r="AK6" s="9">
        <f t="shared" ref="AK6:AK17" si="1">E6+J6+O6+T6+Y6+AD6+AI6</f>
        <v>0</v>
      </c>
      <c r="AL6" s="92">
        <f>AJ6</f>
        <v>24</v>
      </c>
      <c r="AM6" s="10">
        <f>AK6</f>
        <v>0</v>
      </c>
    </row>
    <row r="7" spans="1:39" ht="13" x14ac:dyDescent="0.25">
      <c r="A7" s="7">
        <f>IF($M$1&gt;=2,2,0)</f>
        <v>2</v>
      </c>
      <c r="B7" s="77">
        <f>IFERROR(VLOOKUP(Vaktplan!$A$50,Vaktplan!$H$4:$CL$35,87-AH60,FALSE),0)</f>
        <v>0</v>
      </c>
      <c r="C7" s="77">
        <f>IFERROR(VLOOKUP(Vaktplan!$A$50,Vaktplan!$H$4:$CL$35,87-AG60,FALSE),0)</f>
        <v>0</v>
      </c>
      <c r="D7" s="9">
        <f>IFERROR(VLOOKUP(Vaktplan!$A$50,Vaktplan!$H$4:$CL$35,89-AG60,FALSE),0)</f>
        <v>0</v>
      </c>
      <c r="E7" s="9">
        <f>IF(AND(B7=0,C7=0),0,IF(B7&lt;C7,((C7-B7)*24)-D7,(((1-B7)+C7)*24)-D7))</f>
        <v>0</v>
      </c>
      <c r="F7" s="9">
        <f t="shared" ref="F7:F17" si="2">IF(AND(C7=0,G7=0),24,IF(C7=0,12+(G7*24),IF(C7&lt;G7,((G7-C7)*24),IF(G7=0,(1-C7+0.5)*24,((1-C7)+G7)*24))))</f>
        <v>24</v>
      </c>
      <c r="G7" s="77">
        <f>IFERROR(VLOOKUP(Vaktplan!$A$50,Vaktplan!$I$4:$CL$35,86-AH60,FALSE),0)</f>
        <v>0</v>
      </c>
      <c r="H7" s="77">
        <f>IFERROR(VLOOKUP(Vaktplan!$A$50,Vaktplan!$I$4:$CL$35,86-AG60,FALSE),0)</f>
        <v>0</v>
      </c>
      <c r="I7" s="9">
        <f>IFERROR(VLOOKUP(Vaktplan!$A$50,Vaktplan!$I$4:$CL$35,89-$AH60,FALSE),0)</f>
        <v>0</v>
      </c>
      <c r="J7" s="9">
        <f t="shared" ref="J7:J17" si="3">IF(AND(G7=0,H7=0),0,IF(G7&lt;H7,((H7-G7)*24)-I7,(((1-G7)+H7)*24)-I7))</f>
        <v>0</v>
      </c>
      <c r="K7" s="9">
        <f t="shared" ref="K7:K17" si="4">IF(AND(H7=0,L7=0),24,IF(H7=0,12+(L7*24),IF(H7&lt;L7,((L7-H7)*24),IF(L7=0,(1-H7+0.5)*24,((1-H7)+L7)*24))))</f>
        <v>24</v>
      </c>
      <c r="L7" s="77">
        <f>IFERROR(VLOOKUP(Vaktplan!$A$50,Vaktplan!$J$4:$CL$35,86-AI60,FALSE),0)</f>
        <v>0</v>
      </c>
      <c r="M7" s="77">
        <f>IFERROR(VLOOKUP(Vaktplan!$A$50,Vaktplan!$J$4:$CL$35,86-AH60,FALSE),0)</f>
        <v>0</v>
      </c>
      <c r="N7" s="9">
        <f>IFERROR(VLOOKUP(Vaktplan!$A$50,Vaktplan!$J$4:$CL$35,89-$AI60,FALSE),0)</f>
        <v>0</v>
      </c>
      <c r="O7" s="9">
        <f t="shared" ref="O7:O17" si="5">IF(AND(L7=0,M7=0),0,IF(L7&lt;M7,((M7-L7)*24)-N7,(((1-L7)+M7)*24)-N7))</f>
        <v>0</v>
      </c>
      <c r="P7" s="9">
        <f t="shared" ref="P7:P17" si="6">IF(AND(M7=0,Q7=0),24,IF(M7=0,12+(Q7*24),IF(M7&lt;Q7,((Q7-M7)*24),IF(Q7=0,(1-M7+0.5)*24,((1-M7)+Q7)*24))))</f>
        <v>24</v>
      </c>
      <c r="Q7" s="77">
        <f>IFERROR(VLOOKUP(Vaktplan!$A$50,Vaktplan!$K$4:$CL$35,86-AJ60,FALSE),0)</f>
        <v>0</v>
      </c>
      <c r="R7" s="77">
        <f>IFERROR(VLOOKUP(Vaktplan!$A$50,Vaktplan!$K$4:$CL$35,86-AI60,FALSE),0)</f>
        <v>0</v>
      </c>
      <c r="S7" s="9">
        <f>IFERROR(VLOOKUP(Vaktplan!$A$50,Vaktplan!$K$4:$CL$35,89-$AJ60,FALSE),0)</f>
        <v>0</v>
      </c>
      <c r="T7" s="9">
        <f t="shared" si="0"/>
        <v>0</v>
      </c>
      <c r="U7" s="9">
        <f t="shared" ref="U7:U17" si="7">IF(AND(R7=0,V7=0),24,IF(R7=0,12+(V7*24),IF(R7&lt;V7,((V7-R7)*24),IF(V7=0,(1-R7+0.5)*24,((1-R7)+V7)*24))))</f>
        <v>24</v>
      </c>
      <c r="V7" s="77">
        <f>IFERROR(VLOOKUP(Vaktplan!$A$50,Vaktplan!$L$4:$CL$35,86-AK60,FALSE),0)</f>
        <v>0</v>
      </c>
      <c r="W7" s="77">
        <f>IFERROR(VLOOKUP(Vaktplan!$A$50,Vaktplan!$L$4:$CL$35,86-AJ60,FALSE),0)</f>
        <v>0</v>
      </c>
      <c r="X7" s="9">
        <f>IFERROR(VLOOKUP(Vaktplan!$A$50,Vaktplan!$L$4:$CL$35,89-$AK60,FALSE),0)</f>
        <v>0</v>
      </c>
      <c r="Y7" s="9">
        <f t="shared" ref="Y7:Y13" si="8">IF(AND(V7=0,W7=0),0,IF(V7&lt;W7,((W7-V7)*24)-X7,(((1-V7)+W7)*24)-X7))</f>
        <v>0</v>
      </c>
      <c r="Z7" s="9">
        <f t="shared" ref="Z7:Z17" si="9">IF(AND(W7=0,AA7=0),24,IF(W7=0,12+(AA7*24),IF(W7&lt;AA7,((AA7-W7)*24),IF(AA7=0,(1-W7+0.5)*24,((1-W7)+AA7)*24))))</f>
        <v>24</v>
      </c>
      <c r="AA7" s="77">
        <f>IFERROR(VLOOKUP(Vaktplan!$A$50,Vaktplan!$M$4:$CL$35,86-AL60,FALSE),0)</f>
        <v>0</v>
      </c>
      <c r="AB7" s="77">
        <f>IFERROR(VLOOKUP(Vaktplan!$A$50,Vaktplan!$M$4:$CL$35,86-AK60,FALSE),0)</f>
        <v>0</v>
      </c>
      <c r="AC7" s="9">
        <f>IFERROR(VLOOKUP(Vaktplan!$A$50,Vaktplan!$M$4:$CL$35,89-$AL60,FALSE),0)</f>
        <v>0</v>
      </c>
      <c r="AD7" s="9">
        <f t="shared" ref="AD7:AD13" si="10">IF(AND(AA7=0,AB7=0),0,IF(AA7&lt;AB7,((AB7-AA7)*24)-AC7,(((1-AA7)+AB7)*24)-AC7))</f>
        <v>0</v>
      </c>
      <c r="AE7" s="9">
        <f t="shared" ref="AE7:AE17" si="11">IF(AND(AB7=0,AF7=0),24,IF(AB7=0,12+(AF7*24),IF(AB7&lt;AF7,((AF7-AB7)*24),IF(AF7=0,(1-AB7+0.5)*24,((1-AB7)+AF7)*24))))</f>
        <v>24</v>
      </c>
      <c r="AF7" s="77">
        <f>IFERROR(VLOOKUP(Vaktplan!$A$50,Vaktplan!$N$4:$CL$35,86-AM60,FALSE),0)</f>
        <v>0</v>
      </c>
      <c r="AG7" s="77">
        <f>IFERROR(VLOOKUP(Vaktplan!$A$50,Vaktplan!$N$4:$CL$35,86-AL60,FALSE),0)</f>
        <v>0</v>
      </c>
      <c r="AH7" s="9">
        <f>IFERROR(VLOOKUP(Vaktplan!$A$50,Vaktplan!$N$4:$CL$35,89-$AM60,FALSE),0)</f>
        <v>0</v>
      </c>
      <c r="AI7" s="9">
        <f t="shared" ref="AI7:AI13" si="12">IF(AND(AF7=0,AG7=0),0,IF(AF7&lt;AG7,((AG7-AF7)*24)-AH7,(((1-AF7)+AG7)*24)-AH7))</f>
        <v>0</v>
      </c>
      <c r="AJ7" s="9">
        <f t="shared" ref="AJ7:AJ17" si="13">IF($M$1=AL29,IF(AND(AG7=0,B7=0),24,IF(AG7=0,12+($B$6*24),IF(AG7&lt;$B$6,(($B$6-AG7)*24),IF($B$6=0,(1-AG7+1)*24,((1-AG7)+$B$6)*24)))),IF(AND(AG7=0,B8=0),24,IF(AG7=0,12+(B8*24),IF(AG7&lt;B8,((B8-AG7)*24),IF(B8=0,(1-AG7+1)*24,((1-AG7)+B8)*24)))))</f>
        <v>24</v>
      </c>
      <c r="AK7" s="9">
        <f t="shared" si="1"/>
        <v>0</v>
      </c>
      <c r="AL7" s="92">
        <f t="shared" ref="AL7:AL13" si="14">AJ7</f>
        <v>24</v>
      </c>
      <c r="AM7" s="10">
        <f t="shared" ref="AM7:AM13" si="15">AK7</f>
        <v>0</v>
      </c>
    </row>
    <row r="8" spans="1:39" ht="13" x14ac:dyDescent="0.25">
      <c r="A8" s="7">
        <f>IF($M$1&gt;=3,3,0)</f>
        <v>3</v>
      </c>
      <c r="B8" s="77">
        <f>IFERROR(VLOOKUP(Vaktplan!$A$50,Vaktplan!$O$4:$CL$35,87-AH61,FALSE),0)</f>
        <v>0</v>
      </c>
      <c r="C8" s="77">
        <f>IFERROR(VLOOKUP(Vaktplan!$A$50,Vaktplan!$O$4:$CL$35,87-AG61,FALSE),0)</f>
        <v>0</v>
      </c>
      <c r="D8" s="9">
        <f>IFERROR(VLOOKUP(Vaktplan!$A$50,Vaktplan!$O$4:$CL$35,89-AG61,FALSE),0)</f>
        <v>0</v>
      </c>
      <c r="E8" s="9">
        <f t="shared" ref="E8:E17" si="16">IF(AND(B8=0,C8=0),0,IF(B8&lt;C8,((C8-B8)*24)-D8,(((1-B8)+C8)*24)-D8))</f>
        <v>0</v>
      </c>
      <c r="F8" s="9">
        <f t="shared" si="2"/>
        <v>24</v>
      </c>
      <c r="G8" s="77">
        <f>IFERROR(VLOOKUP(Vaktplan!$A$50,Vaktplan!$P$4:$CL$35,86-AH61,FALSE),0)</f>
        <v>0</v>
      </c>
      <c r="H8" s="77">
        <f>IFERROR(VLOOKUP(Vaktplan!$A$50,Vaktplan!$P$4:$CL$35,86-AG61,FALSE),0)</f>
        <v>0</v>
      </c>
      <c r="I8" s="9">
        <f>IFERROR(VLOOKUP(Vaktplan!$A$50,Vaktplan!$P$4:$CL$35,89-$AH61,FALSE),0)</f>
        <v>0</v>
      </c>
      <c r="J8" s="9">
        <f>IF(AND(G8=0,H8=0),0,IF(G8&lt;H8,((H8-G8)*24)-I8,(((1-G8)+H8)*24)-I8))</f>
        <v>0</v>
      </c>
      <c r="K8" s="9">
        <f t="shared" si="4"/>
        <v>24</v>
      </c>
      <c r="L8" s="77">
        <f>IFERROR(VLOOKUP(Vaktplan!$A$50,Vaktplan!$Q$4:$CL$35,86-AI61,FALSE),0)</f>
        <v>0</v>
      </c>
      <c r="M8" s="77">
        <f>IFERROR(VLOOKUP(Vaktplan!$A$50,Vaktplan!$Q$4:$CL$35,86-AH61,FALSE),0)</f>
        <v>0</v>
      </c>
      <c r="N8" s="9">
        <f>IFERROR(VLOOKUP(Vaktplan!$A$50,Vaktplan!$Q$4:$CL$35,89-$AI61,FALSE),0)</f>
        <v>0</v>
      </c>
      <c r="O8" s="9">
        <f t="shared" si="5"/>
        <v>0</v>
      </c>
      <c r="P8" s="9">
        <f t="shared" si="6"/>
        <v>24</v>
      </c>
      <c r="Q8" s="77">
        <f>IFERROR(VLOOKUP(Vaktplan!$A$50,Vaktplan!$R$4:$CL$35,86-AJ61,FALSE),0)</f>
        <v>0</v>
      </c>
      <c r="R8" s="77">
        <f>IFERROR(VLOOKUP(Vaktplan!$A$50,Vaktplan!$R$4:$CL$35,86-AI61,FALSE),0)</f>
        <v>0</v>
      </c>
      <c r="S8" s="9">
        <f>IFERROR(VLOOKUP(Vaktplan!$A$50,Vaktplan!$R$4:$CL$35,89-$AJ61,FALSE),0)</f>
        <v>0</v>
      </c>
      <c r="T8" s="9">
        <f t="shared" si="0"/>
        <v>0</v>
      </c>
      <c r="U8" s="9">
        <f t="shared" si="7"/>
        <v>24</v>
      </c>
      <c r="V8" s="77">
        <f>IFERROR(VLOOKUP(Vaktplan!$A$50,Vaktplan!$S$4:$CL$35,86-AK61,FALSE),0)</f>
        <v>0</v>
      </c>
      <c r="W8" s="77">
        <f>IFERROR(VLOOKUP(Vaktplan!$A$50,Vaktplan!$S$4:$CL$35,86-AJ61,FALSE),0)</f>
        <v>0</v>
      </c>
      <c r="X8" s="9">
        <f>IFERROR(VLOOKUP(Vaktplan!$A$50,Vaktplan!$S$4:$CL$35,89-$AK61,FALSE),0)</f>
        <v>0</v>
      </c>
      <c r="Y8" s="9">
        <f t="shared" si="8"/>
        <v>0</v>
      </c>
      <c r="Z8" s="9">
        <f t="shared" si="9"/>
        <v>24</v>
      </c>
      <c r="AA8" s="77">
        <f>IFERROR(VLOOKUP(Vaktplan!$A$50,Vaktplan!$T$4:$CL$35,86-AL61,FALSE),0)</f>
        <v>0</v>
      </c>
      <c r="AB8" s="77">
        <f>IFERROR(VLOOKUP(Vaktplan!$A$50,Vaktplan!$T$4:$CL$35,86-AK61,FALSE),0)</f>
        <v>0</v>
      </c>
      <c r="AC8" s="9">
        <f>IFERROR(VLOOKUP(Vaktplan!$A$50,Vaktplan!$T$4:$CL$35,89-$AL61,FALSE),0)</f>
        <v>0</v>
      </c>
      <c r="AD8" s="9">
        <f t="shared" si="10"/>
        <v>0</v>
      </c>
      <c r="AE8" s="9">
        <f t="shared" si="11"/>
        <v>24</v>
      </c>
      <c r="AF8" s="77">
        <f>IFERROR(VLOOKUP(Vaktplan!$A$50,Vaktplan!$U$4:$CL$35,86-AM61,FALSE),0)</f>
        <v>0</v>
      </c>
      <c r="AG8" s="77">
        <f>IFERROR(VLOOKUP(Vaktplan!$A$50,Vaktplan!$U$4:$CL$35,86-AL61,FALSE),0)</f>
        <v>0</v>
      </c>
      <c r="AH8" s="9">
        <f>IFERROR(VLOOKUP(Vaktplan!$A$50,Vaktplan!$U$4:$CL$35,89-$AM61,FALSE),0)</f>
        <v>0</v>
      </c>
      <c r="AI8" s="9">
        <f t="shared" si="12"/>
        <v>0</v>
      </c>
      <c r="AJ8" s="9">
        <f t="shared" si="13"/>
        <v>24</v>
      </c>
      <c r="AK8" s="9">
        <f t="shared" si="1"/>
        <v>0</v>
      </c>
      <c r="AL8" s="92">
        <f t="shared" si="14"/>
        <v>24</v>
      </c>
      <c r="AM8" s="10">
        <f t="shared" si="15"/>
        <v>0</v>
      </c>
    </row>
    <row r="9" spans="1:39" ht="13" x14ac:dyDescent="0.25">
      <c r="A9" s="7">
        <f>IF($M$1&gt;=4,4,0)</f>
        <v>4</v>
      </c>
      <c r="B9" s="77">
        <f>IFERROR(VLOOKUP(Vaktplan!$A$50,Vaktplan!$V$4:$CL$35,87-AH62,FALSE),0)</f>
        <v>0</v>
      </c>
      <c r="C9" s="77">
        <f>IFERROR(VLOOKUP(Vaktplan!$A$50,Vaktplan!$V$4:$CL$35,87-AG62,FALSE),0)</f>
        <v>0</v>
      </c>
      <c r="D9" s="9">
        <f>IFERROR(VLOOKUP(Vaktplan!$A$50,Vaktplan!$V$4:$CL$35,89-AG62,FALSE),0)</f>
        <v>0</v>
      </c>
      <c r="E9" s="9">
        <f t="shared" si="16"/>
        <v>0</v>
      </c>
      <c r="F9" s="9">
        <f t="shared" si="2"/>
        <v>24</v>
      </c>
      <c r="G9" s="77">
        <f>IFERROR(VLOOKUP(Vaktplan!$A$50,Vaktplan!$W$4:$CL$35,86-AH62,FALSE),0)</f>
        <v>0</v>
      </c>
      <c r="H9" s="77">
        <f>IFERROR(VLOOKUP(Vaktplan!$A$50,Vaktplan!$W$4:$CL$35,86-AG62,FALSE),0)</f>
        <v>0</v>
      </c>
      <c r="I9" s="9">
        <f>IFERROR(VLOOKUP(Vaktplan!$A$50,Vaktplan!$W$4:$CL$35,89-$AH62,FALSE),0)</f>
        <v>0</v>
      </c>
      <c r="J9" s="9">
        <f t="shared" si="3"/>
        <v>0</v>
      </c>
      <c r="K9" s="9">
        <f t="shared" si="4"/>
        <v>24</v>
      </c>
      <c r="L9" s="77">
        <f>IFERROR(VLOOKUP(Vaktplan!$A$50,Vaktplan!$X$4:$CL$35,86-AI62,FALSE),0)</f>
        <v>0</v>
      </c>
      <c r="M9" s="77">
        <f>IFERROR(VLOOKUP(Vaktplan!$A$50,Vaktplan!$X$4:$CL$35,86-AH62,FALSE),0)</f>
        <v>0</v>
      </c>
      <c r="N9" s="9">
        <f>IFERROR(VLOOKUP(Vaktplan!$A$50,Vaktplan!$X$4:$CL$35,89-$AI62,FALSE),0)</f>
        <v>0</v>
      </c>
      <c r="O9" s="9">
        <f t="shared" si="5"/>
        <v>0</v>
      </c>
      <c r="P9" s="9">
        <f t="shared" si="6"/>
        <v>24</v>
      </c>
      <c r="Q9" s="77">
        <f>IFERROR(VLOOKUP(Vaktplan!$A$50,Vaktplan!$Y$4:$CL$35,86-AJ62,FALSE),0)</f>
        <v>0</v>
      </c>
      <c r="R9" s="77">
        <f>IFERROR(VLOOKUP(Vaktplan!$A$50,Vaktplan!$Y$4:$CL$35,86-AI62,FALSE),0)</f>
        <v>0</v>
      </c>
      <c r="S9" s="9">
        <f>IFERROR(VLOOKUP(Vaktplan!$A$50,Vaktplan!$Y$4:$CL$35,89-$AJ62,FALSE),0)</f>
        <v>0</v>
      </c>
      <c r="T9" s="9">
        <f t="shared" si="0"/>
        <v>0</v>
      </c>
      <c r="U9" s="9">
        <f t="shared" si="7"/>
        <v>24</v>
      </c>
      <c r="V9" s="77">
        <f>IFERROR(VLOOKUP(Vaktplan!$A$50,Vaktplan!$Z$4:$CL$35,86-AK62,FALSE),0)</f>
        <v>0</v>
      </c>
      <c r="W9" s="77">
        <f>IFERROR(VLOOKUP(Vaktplan!$A$50,Vaktplan!$Z$4:$CL$35,86-AJ62,FALSE),0)</f>
        <v>0</v>
      </c>
      <c r="X9" s="9">
        <f>IFERROR(VLOOKUP(Vaktplan!$A$50,Vaktplan!$Z$4:$CL$35,89-$AK62,FALSE),0)</f>
        <v>0</v>
      </c>
      <c r="Y9" s="9">
        <f t="shared" si="8"/>
        <v>0</v>
      </c>
      <c r="Z9" s="9">
        <f t="shared" si="9"/>
        <v>24</v>
      </c>
      <c r="AA9" s="77">
        <f>IFERROR(VLOOKUP(Vaktplan!$A$50,Vaktplan!$AA$4:$CL$35,86-AL62,FALSE),0)</f>
        <v>0</v>
      </c>
      <c r="AB9" s="77">
        <f>IFERROR(VLOOKUP(Vaktplan!$A$50,Vaktplan!$AA$4:$CL$35,86-AK62,FALSE),0)</f>
        <v>0</v>
      </c>
      <c r="AC9" s="9">
        <f>IFERROR(VLOOKUP(Vaktplan!$A$50,Vaktplan!$AA$4:$CL$35,89-$AL62,FALSE),0)</f>
        <v>0</v>
      </c>
      <c r="AD9" s="9">
        <f t="shared" si="10"/>
        <v>0</v>
      </c>
      <c r="AE9" s="9">
        <f t="shared" si="11"/>
        <v>24</v>
      </c>
      <c r="AF9" s="77">
        <f>IFERROR(VLOOKUP(Vaktplan!$A$50,Vaktplan!$AB$4:$CL$35,86-AM62,FALSE),0)</f>
        <v>0</v>
      </c>
      <c r="AG9" s="77">
        <f>IFERROR(VLOOKUP(Vaktplan!$A$50,Vaktplan!$AB$4:$CL$35,86-AL62,FALSE),0)</f>
        <v>0</v>
      </c>
      <c r="AH9" s="9">
        <f>IFERROR(VLOOKUP(Vaktplan!$A$50,Vaktplan!$AB$4:$CL$35,89-$AM62,FALSE),0)</f>
        <v>0</v>
      </c>
      <c r="AI9" s="9">
        <f t="shared" si="12"/>
        <v>0</v>
      </c>
      <c r="AJ9" s="9">
        <f t="shared" si="13"/>
        <v>24</v>
      </c>
      <c r="AK9" s="9">
        <f t="shared" si="1"/>
        <v>0</v>
      </c>
      <c r="AL9" s="92">
        <f t="shared" si="14"/>
        <v>24</v>
      </c>
      <c r="AM9" s="10">
        <f t="shared" si="15"/>
        <v>0</v>
      </c>
    </row>
    <row r="10" spans="1:39" ht="13" x14ac:dyDescent="0.25">
      <c r="A10" s="7">
        <f>IF($M$1&gt;=5,5,0)</f>
        <v>5</v>
      </c>
      <c r="B10" s="77">
        <f>IFERROR(VLOOKUP(Vaktplan!$A$50,Vaktplan!$AC$4:$CL$35,87-AH63,FALSE),0)</f>
        <v>0</v>
      </c>
      <c r="C10" s="77">
        <f>IFERROR(VLOOKUP(Vaktplan!$A$50,Vaktplan!$AC$4:$CL$35,87-AG63,FALSE),0)</f>
        <v>0</v>
      </c>
      <c r="D10" s="9">
        <f>IFERROR(VLOOKUP(Vaktplan!$A$50,Vaktplan!$AC$4:$CL$35,89-AG63,FALSE),0)</f>
        <v>0</v>
      </c>
      <c r="E10" s="9">
        <f t="shared" si="16"/>
        <v>0</v>
      </c>
      <c r="F10" s="9">
        <f t="shared" si="2"/>
        <v>24</v>
      </c>
      <c r="G10" s="77">
        <f>IFERROR(VLOOKUP(Vaktplan!$A$50,Vaktplan!$AD$4:$CL$35,86-AH63,FALSE),0)</f>
        <v>0</v>
      </c>
      <c r="H10" s="77">
        <f>IFERROR(VLOOKUP(Vaktplan!$A$50,Vaktplan!$AD$4:$CL$35,86-AG63,FALSE),0)</f>
        <v>0</v>
      </c>
      <c r="I10" s="9">
        <f>IFERROR(VLOOKUP(Vaktplan!$A$50,Vaktplan!$AD$4:$CL$35,89-$AH63,FALSE),0)</f>
        <v>0</v>
      </c>
      <c r="J10" s="9">
        <f t="shared" si="3"/>
        <v>0</v>
      </c>
      <c r="K10" s="9">
        <f t="shared" si="4"/>
        <v>24</v>
      </c>
      <c r="L10" s="77">
        <f>IFERROR(VLOOKUP(Vaktplan!$A$50,Vaktplan!$AE$4:$CL$35,86-AI63,FALSE),0)</f>
        <v>0</v>
      </c>
      <c r="M10" s="77">
        <f>IFERROR(VLOOKUP(Vaktplan!$A$50,Vaktplan!$AE$4:$CL$35,86-AH63,FALSE),0)</f>
        <v>0</v>
      </c>
      <c r="N10" s="9">
        <f>IFERROR(VLOOKUP(Vaktplan!$A$50,Vaktplan!$AE$4:$CL$35,89-$AI63,FALSE),0)</f>
        <v>0</v>
      </c>
      <c r="O10" s="9">
        <f t="shared" si="5"/>
        <v>0</v>
      </c>
      <c r="P10" s="9">
        <f t="shared" si="6"/>
        <v>24</v>
      </c>
      <c r="Q10" s="77">
        <f>IFERROR(VLOOKUP(Vaktplan!$A$50,Vaktplan!$AF$4:$CL$35,86-AJ63,FALSE),0)</f>
        <v>0</v>
      </c>
      <c r="R10" s="77">
        <f>IFERROR(VLOOKUP(Vaktplan!$A$50,Vaktplan!$AF$4:$CL$35,86-AI63,FALSE),0)</f>
        <v>0</v>
      </c>
      <c r="S10" s="9">
        <f>IFERROR(VLOOKUP(Vaktplan!$A$50,Vaktplan!$AF$4:$CL$35,89-$AJ63,FALSE),0)</f>
        <v>0</v>
      </c>
      <c r="T10" s="9">
        <f t="shared" si="0"/>
        <v>0</v>
      </c>
      <c r="U10" s="9">
        <f t="shared" si="7"/>
        <v>24</v>
      </c>
      <c r="V10" s="77">
        <f>IFERROR(VLOOKUP(Vaktplan!$A$50,Vaktplan!$AG$4:$CL$35,86-AK63,FALSE),0)</f>
        <v>0</v>
      </c>
      <c r="W10" s="77">
        <f>IFERROR(VLOOKUP(Vaktplan!$A$50,Vaktplan!$AG$4:$CL$35,86-AJ63,FALSE),0)</f>
        <v>0</v>
      </c>
      <c r="X10" s="9">
        <f>IFERROR(VLOOKUP(Vaktplan!$A$50,Vaktplan!$AG$4:$CL$35,89-$AK63,FALSE),0)</f>
        <v>0</v>
      </c>
      <c r="Y10" s="9">
        <f t="shared" si="8"/>
        <v>0</v>
      </c>
      <c r="Z10" s="9">
        <f t="shared" si="9"/>
        <v>24</v>
      </c>
      <c r="AA10" s="77">
        <f>IFERROR(VLOOKUP(Vaktplan!$A$50,Vaktplan!$AH$4:$CL$35,86-AL63,FALSE),0)</f>
        <v>0</v>
      </c>
      <c r="AB10" s="77">
        <f>IFERROR(VLOOKUP(Vaktplan!$A$50,Vaktplan!$AH$4:$CL$35,86-AK63,FALSE),0)</f>
        <v>0</v>
      </c>
      <c r="AC10" s="9">
        <f>IFERROR(VLOOKUP(Vaktplan!$A$50,Vaktplan!$AH$4:$CL$35,89-$AL63,FALSE),0)</f>
        <v>0</v>
      </c>
      <c r="AD10" s="9">
        <f t="shared" si="10"/>
        <v>0</v>
      </c>
      <c r="AE10" s="9">
        <f t="shared" si="11"/>
        <v>24</v>
      </c>
      <c r="AF10" s="77">
        <f>IFERROR(VLOOKUP(Vaktplan!$A$50,Vaktplan!$AI$4:$CL$35,86-AM63,FALSE),0)</f>
        <v>0</v>
      </c>
      <c r="AG10" s="77">
        <f>IFERROR(VLOOKUP(Vaktplan!$A$50,Vaktplan!$AI$4:$CL$35,86-AL63,FALSE),0)</f>
        <v>0</v>
      </c>
      <c r="AH10" s="9">
        <f>IFERROR(VLOOKUP(Vaktplan!$A$50,Vaktplan!$AI$4:$CL$35,89-$AM63,FALSE),0)</f>
        <v>0</v>
      </c>
      <c r="AI10" s="9">
        <f t="shared" si="12"/>
        <v>0</v>
      </c>
      <c r="AJ10" s="9">
        <f t="shared" si="13"/>
        <v>24</v>
      </c>
      <c r="AK10" s="9">
        <f t="shared" si="1"/>
        <v>0</v>
      </c>
      <c r="AL10" s="92">
        <f t="shared" si="14"/>
        <v>24</v>
      </c>
      <c r="AM10" s="10">
        <f t="shared" si="15"/>
        <v>0</v>
      </c>
    </row>
    <row r="11" spans="1:39" ht="13" x14ac:dyDescent="0.25">
      <c r="A11" s="7">
        <f>IF($M$1&gt;=6,6,0)</f>
        <v>6</v>
      </c>
      <c r="B11" s="77">
        <f>IFERROR(VLOOKUP(Vaktplan!$A$50,Vaktplan!$AJ$4:$CL$35,87-AH64,FALSE),0)</f>
        <v>0</v>
      </c>
      <c r="C11" s="77">
        <f>IFERROR(VLOOKUP(Vaktplan!$A$50,Vaktplan!$AJ$4:$CL$35,87-AG64,FALSE),0)</f>
        <v>0</v>
      </c>
      <c r="D11" s="9">
        <f>IFERROR(VLOOKUP(Vaktplan!$A$50,Vaktplan!$AJ$4:$CL$35,89-AG64,FALSE),0)</f>
        <v>0</v>
      </c>
      <c r="E11" s="9">
        <f t="shared" si="16"/>
        <v>0</v>
      </c>
      <c r="F11" s="9">
        <f t="shared" si="2"/>
        <v>24</v>
      </c>
      <c r="G11" s="77">
        <f>IFERROR(VLOOKUP(Vaktplan!$A$50,Vaktplan!$AK$4:$CL$35,86-AH64,FALSE),0)</f>
        <v>0</v>
      </c>
      <c r="H11" s="77">
        <f>IFERROR(VLOOKUP(Vaktplan!$A$50,Vaktplan!$AK$4:$CL$35,86-AG64,FALSE),0)</f>
        <v>0</v>
      </c>
      <c r="I11" s="9">
        <f>IFERROR(VLOOKUP(Vaktplan!$A$50,Vaktplan!$AK$4:$CL$35,89-$AH64,FALSE),0)</f>
        <v>0</v>
      </c>
      <c r="J11" s="9">
        <f t="shared" si="3"/>
        <v>0</v>
      </c>
      <c r="K11" s="9">
        <f t="shared" si="4"/>
        <v>24</v>
      </c>
      <c r="L11" s="77">
        <f>IFERROR(VLOOKUP(Vaktplan!$A$50,Vaktplan!$AL$4:$CL$35,86-AI64,FALSE),0)</f>
        <v>0</v>
      </c>
      <c r="M11" s="77">
        <f>IFERROR(VLOOKUP(Vaktplan!$A$50,Vaktplan!$AL$4:$CL$35,86-AH64,FALSE),0)</f>
        <v>0</v>
      </c>
      <c r="N11" s="9">
        <f>IFERROR(VLOOKUP(Vaktplan!$A$50,Vaktplan!$AL$4:$CL$35,89-$AI64,FALSE),0)</f>
        <v>0</v>
      </c>
      <c r="O11" s="9">
        <f t="shared" si="5"/>
        <v>0</v>
      </c>
      <c r="P11" s="9">
        <f t="shared" si="6"/>
        <v>24</v>
      </c>
      <c r="Q11" s="77">
        <f>IFERROR(VLOOKUP(Vaktplan!$A$50,Vaktplan!$AM$4:$CL$35,86-AJ64,FALSE),0)</f>
        <v>0</v>
      </c>
      <c r="R11" s="77">
        <f>IFERROR(VLOOKUP(Vaktplan!$A$50,Vaktplan!$AM$4:$CL$35,86-AI64,FALSE),0)</f>
        <v>0</v>
      </c>
      <c r="S11" s="9">
        <f>IFERROR(VLOOKUP(Vaktplan!$A$50,Vaktplan!$AM$4:$CL$35,89-$AJ64,FALSE),0)</f>
        <v>0</v>
      </c>
      <c r="T11" s="9">
        <f t="shared" si="0"/>
        <v>0</v>
      </c>
      <c r="U11" s="9">
        <f t="shared" si="7"/>
        <v>24</v>
      </c>
      <c r="V11" s="77">
        <f>IFERROR(VLOOKUP(Vaktplan!$A$50,Vaktplan!$AN$4:$CL$35,86-AK64,FALSE),0)</f>
        <v>0</v>
      </c>
      <c r="W11" s="77">
        <f>IFERROR(VLOOKUP(Vaktplan!$A$50,Vaktplan!$AN$4:$CL$35,86-AJ64,FALSE),0)</f>
        <v>0</v>
      </c>
      <c r="X11" s="9">
        <f>IFERROR(VLOOKUP(Vaktplan!$A$50,Vaktplan!$AN$4:$CL$35,89-$AK64,FALSE),0)</f>
        <v>0</v>
      </c>
      <c r="Y11" s="9">
        <f t="shared" si="8"/>
        <v>0</v>
      </c>
      <c r="Z11" s="9">
        <f t="shared" si="9"/>
        <v>24</v>
      </c>
      <c r="AA11" s="77">
        <f>IFERROR(VLOOKUP(Vaktplan!$A$50,Vaktplan!$AO$4:$CL$35,86-AL64,FALSE),0)</f>
        <v>0</v>
      </c>
      <c r="AB11" s="77">
        <f>IFERROR(VLOOKUP(Vaktplan!$A$50,Vaktplan!$AO$4:$CL$35,86-AK64,FALSE),0)</f>
        <v>0</v>
      </c>
      <c r="AC11" s="9">
        <f>IFERROR(VLOOKUP(Vaktplan!$A$50,Vaktplan!$AO$4:$CL$35,89-$AL64,FALSE),0)</f>
        <v>0</v>
      </c>
      <c r="AD11" s="9">
        <f t="shared" si="10"/>
        <v>0</v>
      </c>
      <c r="AE11" s="9">
        <f t="shared" si="11"/>
        <v>24</v>
      </c>
      <c r="AF11" s="77">
        <f>IFERROR(VLOOKUP(Vaktplan!$A$50,Vaktplan!$AP$4:$CL$35,86-AM64,FALSE),0)</f>
        <v>0</v>
      </c>
      <c r="AG11" s="77">
        <f>IFERROR(VLOOKUP(Vaktplan!$A$50,Vaktplan!$AP$4:$CL$35,86-AL64,FALSE),0)</f>
        <v>0</v>
      </c>
      <c r="AH11" s="9">
        <f>IFERROR(VLOOKUP(Vaktplan!$A$50,Vaktplan!$AP$4:$CL$35,89-$AM64,FALSE),0)</f>
        <v>0</v>
      </c>
      <c r="AI11" s="9">
        <f t="shared" si="12"/>
        <v>0</v>
      </c>
      <c r="AJ11" s="9">
        <f t="shared" si="13"/>
        <v>24</v>
      </c>
      <c r="AK11" s="9">
        <f t="shared" si="1"/>
        <v>0</v>
      </c>
      <c r="AL11" s="92">
        <f t="shared" si="14"/>
        <v>24</v>
      </c>
      <c r="AM11" s="10">
        <f t="shared" si="15"/>
        <v>0</v>
      </c>
    </row>
    <row r="12" spans="1:39" ht="13" x14ac:dyDescent="0.25">
      <c r="A12" s="7">
        <f>IF($M$1&gt;=7,7,0)</f>
        <v>7</v>
      </c>
      <c r="B12" s="77">
        <f>IFERROR(VLOOKUP(Vaktplan!$A$50,Vaktplan!$AQ$4:$CL$35,87-AH65,FALSE),0)</f>
        <v>0</v>
      </c>
      <c r="C12" s="77">
        <f>IFERROR(VLOOKUP(Vaktplan!$A$50,Vaktplan!$AQ$4:$CL$35,87-AG65,FALSE),0)</f>
        <v>0</v>
      </c>
      <c r="D12" s="9">
        <f>IFERROR(VLOOKUP(Vaktplan!$A$50,Vaktplan!$AQ$4:$CL$35,89-AG65,FALSE),0)</f>
        <v>0</v>
      </c>
      <c r="E12" s="9">
        <f t="shared" si="16"/>
        <v>0</v>
      </c>
      <c r="F12" s="9">
        <f t="shared" si="2"/>
        <v>24</v>
      </c>
      <c r="G12" s="77">
        <f>IFERROR(VLOOKUP(Vaktplan!$A$50,Vaktplan!$AR$4:$CL$35,86-AH65,FALSE),0)</f>
        <v>0</v>
      </c>
      <c r="H12" s="77">
        <f>IFERROR(VLOOKUP(Vaktplan!$A$50,Vaktplan!$AR$4:$CL$35,86-AG65,FALSE),0)</f>
        <v>0</v>
      </c>
      <c r="I12" s="9">
        <f>IFERROR(VLOOKUP(Vaktplan!$A$50,Vaktplan!$AR$4:$CL$35,89-$AH65,FALSE),0)</f>
        <v>0</v>
      </c>
      <c r="J12" s="9">
        <f t="shared" si="3"/>
        <v>0</v>
      </c>
      <c r="K12" s="9">
        <f t="shared" si="4"/>
        <v>24</v>
      </c>
      <c r="L12" s="77">
        <f>IFERROR(VLOOKUP(Vaktplan!$A$50,Vaktplan!$AS$4:$CL$35,86-AI65,FALSE),0)</f>
        <v>0</v>
      </c>
      <c r="M12" s="77">
        <f>IFERROR(VLOOKUP(Vaktplan!$A$50,Vaktplan!$AS$4:$CL$35,86-AH65,FALSE),0)</f>
        <v>0</v>
      </c>
      <c r="N12" s="9">
        <f>IFERROR(VLOOKUP(Vaktplan!$A$50,Vaktplan!$AS$4:$CL$35,89-$AI65,FALSE),0)</f>
        <v>0</v>
      </c>
      <c r="O12" s="9">
        <f t="shared" si="5"/>
        <v>0</v>
      </c>
      <c r="P12" s="9">
        <f t="shared" si="6"/>
        <v>24</v>
      </c>
      <c r="Q12" s="77">
        <f>IFERROR(VLOOKUP(Vaktplan!$A$50,Vaktplan!$AT$4:$CL$35,86-AJ65,FALSE),0)</f>
        <v>0</v>
      </c>
      <c r="R12" s="77">
        <f>IFERROR(VLOOKUP(Vaktplan!$A$50,Vaktplan!$AT$4:$CL$35,86-AI65,FALSE),0)</f>
        <v>0</v>
      </c>
      <c r="S12" s="9">
        <f>IFERROR(VLOOKUP(Vaktplan!$A$50,Vaktplan!$AT$4:$CL$35,89-$AJ65,FALSE),0)</f>
        <v>0</v>
      </c>
      <c r="T12" s="9">
        <f t="shared" si="0"/>
        <v>0</v>
      </c>
      <c r="U12" s="9">
        <f t="shared" si="7"/>
        <v>24</v>
      </c>
      <c r="V12" s="77">
        <f>IFERROR(VLOOKUP(Vaktplan!$A$50,Vaktplan!$AU$4:$CL$35,86-AK65,FALSE),0)</f>
        <v>0</v>
      </c>
      <c r="W12" s="77">
        <f>IFERROR(VLOOKUP(Vaktplan!$A$50,Vaktplan!$AU$4:$CL$35,86-AJ65,FALSE),0)</f>
        <v>0</v>
      </c>
      <c r="X12" s="9">
        <f>IFERROR(VLOOKUP(Vaktplan!$A$50,Vaktplan!$AU$4:$CL$35,89-$AK65,FALSE),0)</f>
        <v>0</v>
      </c>
      <c r="Y12" s="9">
        <f t="shared" si="8"/>
        <v>0</v>
      </c>
      <c r="Z12" s="9">
        <f t="shared" si="9"/>
        <v>24</v>
      </c>
      <c r="AA12" s="77">
        <f>IFERROR(VLOOKUP(Vaktplan!$A$50,Vaktplan!$AV$4:$CL$35,86-AL65,FALSE),0)</f>
        <v>0</v>
      </c>
      <c r="AB12" s="77">
        <f>IFERROR(VLOOKUP(Vaktplan!$A$50,Vaktplan!$AV$4:$CL$35,86-AK65,FALSE),0)</f>
        <v>0</v>
      </c>
      <c r="AC12" s="9">
        <f>IFERROR(VLOOKUP(Vaktplan!$A$50,Vaktplan!$AV$4:$CL$35,89-$AL65,FALSE),0)</f>
        <v>0</v>
      </c>
      <c r="AD12" s="9">
        <f t="shared" si="10"/>
        <v>0</v>
      </c>
      <c r="AE12" s="9">
        <f t="shared" si="11"/>
        <v>24</v>
      </c>
      <c r="AF12" s="77">
        <f>IFERROR(VLOOKUP(Vaktplan!$A$50,Vaktplan!$AW$4:$CL$35,86-AM65,FALSE),0)</f>
        <v>0</v>
      </c>
      <c r="AG12" s="77">
        <f>IFERROR(VLOOKUP(Vaktplan!$A$50,Vaktplan!$AW$4:$CL$35,86-AL65,FALSE),0)</f>
        <v>0</v>
      </c>
      <c r="AH12" s="9">
        <f>IFERROR(VLOOKUP(Vaktplan!$A$50,Vaktplan!$AW$4:$CL$35,89-$AM65,FALSE),0)</f>
        <v>0</v>
      </c>
      <c r="AI12" s="9">
        <f t="shared" si="12"/>
        <v>0</v>
      </c>
      <c r="AJ12" s="9">
        <f t="shared" si="13"/>
        <v>24</v>
      </c>
      <c r="AK12" s="9">
        <f t="shared" si="1"/>
        <v>0</v>
      </c>
      <c r="AL12" s="92">
        <f t="shared" si="14"/>
        <v>24</v>
      </c>
      <c r="AM12" s="10">
        <f t="shared" si="15"/>
        <v>0</v>
      </c>
    </row>
    <row r="13" spans="1:39" ht="13" x14ac:dyDescent="0.25">
      <c r="A13" s="7">
        <f>IF($M$1&gt;=8,8,0)</f>
        <v>8</v>
      </c>
      <c r="B13" s="77">
        <f>IFERROR(VLOOKUP(Vaktplan!$A$50,Vaktplan!$AX$4:$CL$35,87-AH66,FALSE),0)</f>
        <v>0</v>
      </c>
      <c r="C13" s="77">
        <f>IFERROR(VLOOKUP(Vaktplan!$A$50,Vaktplan!$AX$4:$CL$35,87-AG66,FALSE),0)</f>
        <v>0</v>
      </c>
      <c r="D13" s="9">
        <f>IFERROR(VLOOKUP(Vaktplan!$A$50,Vaktplan!$AX$4:$CL$35,89-AG66,FALSE),0)</f>
        <v>0</v>
      </c>
      <c r="E13" s="9">
        <f t="shared" si="16"/>
        <v>0</v>
      </c>
      <c r="F13" s="9">
        <f t="shared" si="2"/>
        <v>24</v>
      </c>
      <c r="G13" s="77">
        <f>IFERROR(VLOOKUP(Vaktplan!$A$50,Vaktplan!$AY$4:$CL$35,86-AH66,FALSE),0)</f>
        <v>0</v>
      </c>
      <c r="H13" s="77">
        <f>IFERROR(VLOOKUP(Vaktplan!$A$50,Vaktplan!$AY$4:$CL$35,86-AG66,FALSE),0)</f>
        <v>0</v>
      </c>
      <c r="I13" s="9">
        <f>IFERROR(VLOOKUP(Vaktplan!$A$50,Vaktplan!$AY$4:$CL$35,89-$AH66,FALSE),0)</f>
        <v>0</v>
      </c>
      <c r="J13" s="9">
        <f t="shared" si="3"/>
        <v>0</v>
      </c>
      <c r="K13" s="9">
        <f t="shared" si="4"/>
        <v>24</v>
      </c>
      <c r="L13" s="77">
        <f>IFERROR(VLOOKUP(Vaktplan!$A$50,Vaktplan!$AZ$4:$CL$35,86-AI66,FALSE),0)</f>
        <v>0</v>
      </c>
      <c r="M13" s="77">
        <f>IFERROR(VLOOKUP(Vaktplan!$A$50,Vaktplan!$AZ$4:$CL$35,86-AH66,FALSE),0)</f>
        <v>0</v>
      </c>
      <c r="N13" s="9">
        <f>IFERROR(VLOOKUP(Vaktplan!$A$50,Vaktplan!$AZ$4:$CL$35,89-$AI66,FALSE),0)</f>
        <v>0</v>
      </c>
      <c r="O13" s="9">
        <f t="shared" si="5"/>
        <v>0</v>
      </c>
      <c r="P13" s="9">
        <f t="shared" si="6"/>
        <v>24</v>
      </c>
      <c r="Q13" s="77">
        <f>IFERROR(VLOOKUP(Vaktplan!$A$50,Vaktplan!$BA$4:$CL$35,86-AJ66,FALSE),0)</f>
        <v>0</v>
      </c>
      <c r="R13" s="77">
        <f>IFERROR(VLOOKUP(Vaktplan!$A$50,Vaktplan!$BA$4:$CL$35,86-AI66,FALSE),0)</f>
        <v>0</v>
      </c>
      <c r="S13" s="9">
        <f>IFERROR(VLOOKUP(Vaktplan!$A$50,Vaktplan!$BA$4:$CL$35,89-$AJ66,FALSE),0)</f>
        <v>0</v>
      </c>
      <c r="T13" s="9">
        <f t="shared" si="0"/>
        <v>0</v>
      </c>
      <c r="U13" s="9">
        <f t="shared" si="7"/>
        <v>24</v>
      </c>
      <c r="V13" s="77">
        <f>IFERROR(VLOOKUP(Vaktplan!$A$50,Vaktplan!$BB$4:$CL$35,86-AK66,FALSE),0)</f>
        <v>0</v>
      </c>
      <c r="W13" s="77">
        <f>IFERROR(VLOOKUP(Vaktplan!$A$50,Vaktplan!$BB$4:$CL$35,86-AJ66,FALSE),0)</f>
        <v>0</v>
      </c>
      <c r="X13" s="9">
        <f>IFERROR(VLOOKUP(Vaktplan!$A$50,Vaktplan!$BB$4:$CL$35,89-$AK66,FALSE),0)</f>
        <v>0</v>
      </c>
      <c r="Y13" s="9">
        <f t="shared" si="8"/>
        <v>0</v>
      </c>
      <c r="Z13" s="9">
        <f t="shared" si="9"/>
        <v>24</v>
      </c>
      <c r="AA13" s="77">
        <f>IFERROR(VLOOKUP(Vaktplan!$A$50,Vaktplan!$BC$4:$CL$35,86-AL66,FALSE),0)</f>
        <v>0</v>
      </c>
      <c r="AB13" s="77">
        <f>IFERROR(VLOOKUP(Vaktplan!$A$50,Vaktplan!$BC$4:$CL$35,86-AK66,FALSE),0)</f>
        <v>0</v>
      </c>
      <c r="AC13" s="9">
        <f>IFERROR(VLOOKUP(Vaktplan!$A$50,Vaktplan!$BC$4:$CL$35,89-$AL66,FALSE),0)</f>
        <v>0</v>
      </c>
      <c r="AD13" s="9">
        <f t="shared" si="10"/>
        <v>0</v>
      </c>
      <c r="AE13" s="9">
        <f t="shared" si="11"/>
        <v>24</v>
      </c>
      <c r="AF13" s="77">
        <f>IFERROR(VLOOKUP(Vaktplan!$A$50,Vaktplan!$BD$4:$CL$35,86-AM66,FALSE),0)</f>
        <v>0</v>
      </c>
      <c r="AG13" s="77">
        <f>IFERROR(VLOOKUP(Vaktplan!$A$50,Vaktplan!$BD$4:$CL$35,86-AL66,FALSE),0)</f>
        <v>0</v>
      </c>
      <c r="AH13" s="9">
        <f>IFERROR(VLOOKUP(Vaktplan!$A$50,Vaktplan!$BD$4:$CL$35,89-$AM66,FALSE),0)</f>
        <v>0</v>
      </c>
      <c r="AI13" s="9">
        <f t="shared" si="12"/>
        <v>0</v>
      </c>
      <c r="AJ13" s="9">
        <f t="shared" si="13"/>
        <v>24</v>
      </c>
      <c r="AK13" s="9">
        <f t="shared" si="1"/>
        <v>0</v>
      </c>
      <c r="AL13" s="92">
        <f t="shared" si="14"/>
        <v>24</v>
      </c>
      <c r="AM13" s="10">
        <f t="shared" si="15"/>
        <v>0</v>
      </c>
    </row>
    <row r="14" spans="1:39" ht="13" x14ac:dyDescent="0.25">
      <c r="A14" s="7">
        <v>9</v>
      </c>
      <c r="B14" s="77">
        <f>IFERROR(VLOOKUP(Vaktplan!$A$50,Vaktplan!$BE$4:$CL$35,87-AH67,FALSE),0)</f>
        <v>0</v>
      </c>
      <c r="C14" s="77">
        <f>IFERROR(VLOOKUP(Vaktplan!$A$50,Vaktplan!$BE$4:$CL$35,87-AG67,FALSE),0)</f>
        <v>0</v>
      </c>
      <c r="D14" s="9">
        <f>IFERROR(VLOOKUP(Vaktplan!$A$50,Vaktplan!$BE$4:$CL$35,89-AG67,FALSE),0)</f>
        <v>0</v>
      </c>
      <c r="E14" s="9">
        <f t="shared" si="16"/>
        <v>0</v>
      </c>
      <c r="F14" s="9">
        <f t="shared" si="2"/>
        <v>24</v>
      </c>
      <c r="G14" s="77">
        <f>IFERROR(VLOOKUP(Vaktplan!$A$50,Vaktplan!$BF$4:$CL$35,86-AH67,FALSE),0)</f>
        <v>0</v>
      </c>
      <c r="H14" s="77">
        <f>IFERROR(VLOOKUP(Vaktplan!$A$50,Vaktplan!$BF$4:$CL$35,86-AG67,FALSE),0)</f>
        <v>0</v>
      </c>
      <c r="I14" s="9">
        <f>IFERROR(VLOOKUP(Vaktplan!$A$50,Vaktplan!$BF$4:$CL$35,89-$AH67,FALSE),0)</f>
        <v>0</v>
      </c>
      <c r="J14" s="9">
        <f t="shared" si="3"/>
        <v>0</v>
      </c>
      <c r="K14" s="9">
        <f t="shared" si="4"/>
        <v>24</v>
      </c>
      <c r="L14" s="77">
        <f>IFERROR(VLOOKUP(Vaktplan!$A$50,Vaktplan!$BG$4:$CL$35,86-AI67,FALSE),0)</f>
        <v>0</v>
      </c>
      <c r="M14" s="77">
        <f>IFERROR(VLOOKUP(Vaktplan!$A$50,Vaktplan!$BG$4:$CL$35,86-AH67,FALSE),0)</f>
        <v>0</v>
      </c>
      <c r="N14" s="9">
        <f>IFERROR(VLOOKUP(Vaktplan!$A$50,Vaktplan!$BG$4:$CL$35,89-$AI67,FALSE),0)</f>
        <v>0</v>
      </c>
      <c r="O14" s="9">
        <f t="shared" si="5"/>
        <v>0</v>
      </c>
      <c r="P14" s="9">
        <f t="shared" si="6"/>
        <v>24</v>
      </c>
      <c r="Q14" s="77">
        <f>IFERROR(VLOOKUP(Vaktplan!$A$50,Vaktplan!$BH$4:$CL$35,86-AJ67,FALSE),0)</f>
        <v>0</v>
      </c>
      <c r="R14" s="77">
        <f>IFERROR(VLOOKUP(Vaktplan!$A$50,Vaktplan!$BH$4:$CL$35,86-AI67,FALSE),0)</f>
        <v>0</v>
      </c>
      <c r="S14" s="9">
        <f>IFERROR(VLOOKUP(Vaktplan!$A$50,Vaktplan!$BH$4:$CL$35,89-$AJ67,FALSE),0)</f>
        <v>0</v>
      </c>
      <c r="T14" s="9">
        <f t="shared" si="0"/>
        <v>0</v>
      </c>
      <c r="U14" s="9">
        <f t="shared" si="7"/>
        <v>24</v>
      </c>
      <c r="V14" s="77">
        <f>IFERROR(VLOOKUP(Vaktplan!$A$50,Vaktplan!$BI$4:$CL$35,86-AK67,FALSE),0)</f>
        <v>0</v>
      </c>
      <c r="W14" s="77">
        <f>IFERROR(VLOOKUP(Vaktplan!$A$50,Vaktplan!$BI$4:$CL$35,86-AJ67,FALSE),0)</f>
        <v>0</v>
      </c>
      <c r="X14" s="9">
        <f>IFERROR(VLOOKUP(Vaktplan!$A$50,Vaktplan!$BI$4:$CL$35,89-$AK67,FALSE),0)</f>
        <v>0</v>
      </c>
      <c r="Y14" s="9">
        <f>IF(AND(V14=0,W14=0),0,IF(V14&lt;W14,((W14-V14)*24)-X14,(((1-V14)+W14)*24)-X14))</f>
        <v>0</v>
      </c>
      <c r="Z14" s="9">
        <f t="shared" si="9"/>
        <v>24</v>
      </c>
      <c r="AA14" s="77">
        <f>IFERROR(VLOOKUP(Vaktplan!$A$50,Vaktplan!$BJ$4:$CL$35,86-AL67,FALSE),0)</f>
        <v>0</v>
      </c>
      <c r="AB14" s="77">
        <f>IFERROR(VLOOKUP(Vaktplan!$A$50,Vaktplan!$BJ$4:$CL$35,86-AK67,FALSE),0)</f>
        <v>0</v>
      </c>
      <c r="AC14" s="9">
        <f>IFERROR(VLOOKUP(Vaktplan!$A$50,Vaktplan!$BJ$4:$CL$35,89-$AL67,FALSE),0)</f>
        <v>0</v>
      </c>
      <c r="AD14" s="9">
        <f>IF(AND(AA14=0,AB14=0),0,IF(AA14&lt;AB14,((AB14-AA14)*24)-AC14,(((1-AA14)+AB14)*24)-AC14))</f>
        <v>0</v>
      </c>
      <c r="AE14" s="9">
        <f t="shared" si="11"/>
        <v>24</v>
      </c>
      <c r="AF14" s="77">
        <f>IFERROR(VLOOKUP(Vaktplan!$A$50,Vaktplan!$BK$4:$CL$35,86-AM67,FALSE),0)</f>
        <v>0</v>
      </c>
      <c r="AG14" s="77">
        <f>IFERROR(VLOOKUP(Vaktplan!$A$50,Vaktplan!$BK$4:$CL$35,86-AL67,FALSE),0)</f>
        <v>0</v>
      </c>
      <c r="AH14" s="9">
        <f>IFERROR(VLOOKUP(Vaktplan!$A$50,Vaktplan!$BK$4:$CL$35,89-$AM67,FALSE),0)</f>
        <v>0</v>
      </c>
      <c r="AI14" s="9">
        <f>IF(AND(AF14=0,AG14=0),0,IF(AF14&lt;AG14,((AG14-AF14)*24)-AH14,(((1-AF14)+AG14)*24)-AH14))</f>
        <v>0</v>
      </c>
      <c r="AJ14" s="9">
        <f t="shared" si="13"/>
        <v>24</v>
      </c>
      <c r="AK14" s="9">
        <f t="shared" si="1"/>
        <v>0</v>
      </c>
      <c r="AL14" s="92"/>
      <c r="AM14" s="10"/>
    </row>
    <row r="15" spans="1:39" ht="13" x14ac:dyDescent="0.25">
      <c r="A15" s="7">
        <v>10</v>
      </c>
      <c r="B15" s="77">
        <f>IFERROR(VLOOKUP(Vaktplan!$A$50,Vaktplan!$BL$4:$CL$35,87-AH68,FALSE),0)</f>
        <v>0</v>
      </c>
      <c r="C15" s="77">
        <f>IFERROR(VLOOKUP(Vaktplan!$A$50,Vaktplan!$BL$4:$CL$35,87-AG68,FALSE),0)</f>
        <v>0</v>
      </c>
      <c r="D15" s="9">
        <f>IFERROR(VLOOKUP(Vaktplan!$A$50,Vaktplan!$BL$4:$CL$35,89-AG68,FALSE),0)</f>
        <v>0</v>
      </c>
      <c r="E15" s="9">
        <f t="shared" si="16"/>
        <v>0</v>
      </c>
      <c r="F15" s="9">
        <f t="shared" si="2"/>
        <v>24</v>
      </c>
      <c r="G15" s="77">
        <f>IFERROR(VLOOKUP(Vaktplan!$A$50,Vaktplan!$BM$4:$CL$35,86-AH68,FALSE),0)</f>
        <v>0</v>
      </c>
      <c r="H15" s="77">
        <f>IFERROR(VLOOKUP(Vaktplan!$A$50,Vaktplan!$BM$4:$CL$35,86-AG68,FALSE),0)</f>
        <v>0</v>
      </c>
      <c r="I15" s="9">
        <f>IFERROR(VLOOKUP(Vaktplan!$A$50,Vaktplan!$BM$4:$CL$35,89-$AH68,FALSE),0)</f>
        <v>0</v>
      </c>
      <c r="J15" s="9">
        <f t="shared" si="3"/>
        <v>0</v>
      </c>
      <c r="K15" s="9">
        <f t="shared" si="4"/>
        <v>24</v>
      </c>
      <c r="L15" s="77">
        <f>IFERROR(VLOOKUP(Vaktplan!$A$50,Vaktplan!$BN$4:$CL$35,86-AI68,FALSE),0)</f>
        <v>0</v>
      </c>
      <c r="M15" s="77">
        <f>IFERROR(VLOOKUP(Vaktplan!$A$50,Vaktplan!$BN$4:$CL$35,86-AH68,FALSE),0)</f>
        <v>0</v>
      </c>
      <c r="N15" s="9">
        <f>IFERROR(VLOOKUP(Vaktplan!$A$50,Vaktplan!$BN$4:$CL$35,89-$AI68,FALSE),0)</f>
        <v>0</v>
      </c>
      <c r="O15" s="9">
        <f t="shared" si="5"/>
        <v>0</v>
      </c>
      <c r="P15" s="9">
        <f t="shared" si="6"/>
        <v>24</v>
      </c>
      <c r="Q15" s="77">
        <f>IFERROR(VLOOKUP(Vaktplan!$A$50,Vaktplan!$BO$4:$CL$35,86-AJ68,FALSE),0)</f>
        <v>0</v>
      </c>
      <c r="R15" s="77">
        <f>IFERROR(VLOOKUP(Vaktplan!$A$50,Vaktplan!$BO$4:$CL$35,86-AI68,FALSE),0)</f>
        <v>0</v>
      </c>
      <c r="S15" s="9">
        <f>IFERROR(VLOOKUP(Vaktplan!$A$50,Vaktplan!$BO$4:$CL$35,89-$AJ68,FALSE),0)</f>
        <v>0</v>
      </c>
      <c r="T15" s="9">
        <f t="shared" si="0"/>
        <v>0</v>
      </c>
      <c r="U15" s="9">
        <f t="shared" si="7"/>
        <v>24</v>
      </c>
      <c r="V15" s="77">
        <f>IFERROR(VLOOKUP(Vaktplan!$A$50,Vaktplan!$BP$4:$CL$35,86-AK68,FALSE),0)</f>
        <v>0</v>
      </c>
      <c r="W15" s="77">
        <f>IFERROR(VLOOKUP(Vaktplan!$A$50,Vaktplan!$BP$4:$CL$35,86-AJ68,FALSE),0)</f>
        <v>0</v>
      </c>
      <c r="X15" s="9">
        <f>IFERROR(VLOOKUP(Vaktplan!$A$50,Vaktplan!$BP$4:$CL$35,89-$AK68,FALSE),0)</f>
        <v>0</v>
      </c>
      <c r="Y15" s="9">
        <f>IF(AND(V15=0,W15=0),0,IF(V15&lt;W15,((W15-V15)*24)-X15,(((1-V15)+W15)*24)-X15))</f>
        <v>0</v>
      </c>
      <c r="Z15" s="9">
        <f t="shared" si="9"/>
        <v>24</v>
      </c>
      <c r="AA15" s="77">
        <f>IFERROR(VLOOKUP(Vaktplan!$A$50,Vaktplan!$BQ$4:$CL$35,86-AL68,FALSE),0)</f>
        <v>0</v>
      </c>
      <c r="AB15" s="77">
        <f>IFERROR(VLOOKUP(Vaktplan!$A$50,Vaktplan!$BQ$4:$CL$35,86-AK68,FALSE),0)</f>
        <v>0</v>
      </c>
      <c r="AC15" s="9">
        <f>IFERROR(VLOOKUP(Vaktplan!$A$50,Vaktplan!$BQ$4:$CL$35,89-$AL68,FALSE),0)</f>
        <v>0</v>
      </c>
      <c r="AD15" s="9">
        <f>IF(AND(AA15=0,AB15=0),0,IF(AA15&lt;AB15,((AB15-AA15)*24)-AC15,(((1-AA15)+AB15)*24)-AC15))</f>
        <v>0</v>
      </c>
      <c r="AE15" s="9">
        <f t="shared" si="11"/>
        <v>24</v>
      </c>
      <c r="AF15" s="77">
        <f>IFERROR(VLOOKUP(Vaktplan!$A$50,Vaktplan!$BR$4:$CL$35,86-AM68,FALSE),0)</f>
        <v>0</v>
      </c>
      <c r="AG15" s="77">
        <f>IFERROR(VLOOKUP(Vaktplan!$A$50,Vaktplan!$BR$4:$CL$35,86-AL68,FALSE),0)</f>
        <v>0</v>
      </c>
      <c r="AH15" s="9">
        <f>IFERROR(VLOOKUP(Vaktplan!$A$50,Vaktplan!$BR$4:$CL$35,89-$AM68,FALSE),0)</f>
        <v>0</v>
      </c>
      <c r="AI15" s="9">
        <f>IF(AND(AF15=0,AG15=0),0,IF(AF15&lt;AG15,((AG15-AF15)*24)-AH15,(((1-AF15)+AG15)*24)-AH15))</f>
        <v>0</v>
      </c>
      <c r="AJ15" s="9">
        <f t="shared" si="13"/>
        <v>24</v>
      </c>
      <c r="AK15" s="9">
        <f t="shared" si="1"/>
        <v>0</v>
      </c>
      <c r="AL15" s="92"/>
      <c r="AM15" s="10"/>
    </row>
    <row r="16" spans="1:39" ht="13" x14ac:dyDescent="0.25">
      <c r="A16" s="7">
        <v>11</v>
      </c>
      <c r="B16" s="77">
        <f>IFERROR(VLOOKUP(Vaktplan!$A$50,Vaktplan!$BS$4:$CL$35,87-AH69,FALSE),0)</f>
        <v>0</v>
      </c>
      <c r="C16" s="77">
        <f>IFERROR(VLOOKUP(Vaktplan!$A$50,Vaktplan!$BS$4:$CL$35,87-AG69,FALSE),0)</f>
        <v>0</v>
      </c>
      <c r="D16" s="9">
        <f>IFERROR(VLOOKUP(Vaktplan!$A$50,Vaktplan!$BS$4:$CL$35,89-AG69,FALSE),0)</f>
        <v>0</v>
      </c>
      <c r="E16" s="9">
        <f t="shared" si="16"/>
        <v>0</v>
      </c>
      <c r="F16" s="9">
        <f t="shared" si="2"/>
        <v>24</v>
      </c>
      <c r="G16" s="77">
        <f>IFERROR(VLOOKUP(Vaktplan!$A$50,Vaktplan!$BT$4:$CL$35,86-AH69,FALSE),0)</f>
        <v>0</v>
      </c>
      <c r="H16" s="77">
        <f>IFERROR(VLOOKUP(Vaktplan!$A$50,Vaktplan!$BT$4:$CL$35,86-AG69,FALSE),0)</f>
        <v>0</v>
      </c>
      <c r="I16" s="9">
        <f>IFERROR(VLOOKUP(Vaktplan!$A$50,Vaktplan!$BT$4:$CL$35,89-$AH69,FALSE),0)</f>
        <v>0</v>
      </c>
      <c r="J16" s="9">
        <f t="shared" si="3"/>
        <v>0</v>
      </c>
      <c r="K16" s="9">
        <f t="shared" si="4"/>
        <v>24</v>
      </c>
      <c r="L16" s="77">
        <f>IFERROR(VLOOKUP(Vaktplan!$A$50,Vaktplan!$BU$4:$CL$35,86-AI69,FALSE),0)</f>
        <v>0</v>
      </c>
      <c r="M16" s="77">
        <f>IFERROR(VLOOKUP(Vaktplan!$A$50,Vaktplan!$BU$4:$CL$35,86-AH69,FALSE),0)</f>
        <v>0</v>
      </c>
      <c r="N16" s="9">
        <f>IFERROR(VLOOKUP(Vaktplan!$A$50,Vaktplan!$BU$4:$CL$35,89-$AI69,FALSE),0)</f>
        <v>0</v>
      </c>
      <c r="O16" s="9">
        <f t="shared" si="5"/>
        <v>0</v>
      </c>
      <c r="P16" s="9">
        <f t="shared" si="6"/>
        <v>24</v>
      </c>
      <c r="Q16" s="77">
        <f>IFERROR(VLOOKUP(Vaktplan!$A$50,Vaktplan!$BV$4:$CL$35,86-AJ69,FALSE),0)</f>
        <v>0</v>
      </c>
      <c r="R16" s="77">
        <f>IFERROR(VLOOKUP(Vaktplan!$A$50,Vaktplan!$BV$4:$CL$35,86-AI69,FALSE),0)</f>
        <v>0</v>
      </c>
      <c r="S16" s="9">
        <f>IFERROR(VLOOKUP(Vaktplan!$A$50,Vaktplan!$BV$4:$CL$35,89-$AJ69,FALSE),0)</f>
        <v>0</v>
      </c>
      <c r="T16" s="9">
        <f t="shared" si="0"/>
        <v>0</v>
      </c>
      <c r="U16" s="9">
        <f t="shared" si="7"/>
        <v>24</v>
      </c>
      <c r="V16" s="77">
        <f>IFERROR(VLOOKUP(Vaktplan!$A$50,Vaktplan!$BW$4:$CL$35,86-AK69,FALSE),0)</f>
        <v>0</v>
      </c>
      <c r="W16" s="77">
        <f>IFERROR(VLOOKUP(Vaktplan!$A$50,Vaktplan!$BW$4:$CL$35,86-AJ69,FALSE),0)</f>
        <v>0</v>
      </c>
      <c r="X16" s="9">
        <f>IFERROR(VLOOKUP(Vaktplan!$A$50,Vaktplan!$BW$4:$CL$35,89-$AK69,FALSE),0)</f>
        <v>0</v>
      </c>
      <c r="Y16" s="9">
        <f>IF(AND(V16=0,W16=0),0,IF(V16&lt;W16,((W16-V16)*24)-X16,(((1-V16)+W16)*24)-X16))</f>
        <v>0</v>
      </c>
      <c r="Z16" s="9">
        <f t="shared" si="9"/>
        <v>24</v>
      </c>
      <c r="AA16" s="77">
        <f>IFERROR(VLOOKUP(Vaktplan!$A$50,Vaktplan!$BX$4:$CL$35,86-AL69,FALSE),0)</f>
        <v>0</v>
      </c>
      <c r="AB16" s="77">
        <f>IFERROR(VLOOKUP(Vaktplan!$A$50,Vaktplan!$BX$4:$CL$35,86-AK69,FALSE),0)</f>
        <v>0</v>
      </c>
      <c r="AC16" s="9">
        <f>IFERROR(VLOOKUP(Vaktplan!$A$50,Vaktplan!$BX$4:$CL$35,89-$AL69,FALSE),0)</f>
        <v>0</v>
      </c>
      <c r="AD16" s="9">
        <f>IF(AND(AA16=0,AB16=0),0,IF(AA16&lt;AB16,((AB16-AA16)*24)-AC16,(((1-AA16)+AB16)*24)-AC16))</f>
        <v>0</v>
      </c>
      <c r="AE16" s="9">
        <f t="shared" si="11"/>
        <v>24</v>
      </c>
      <c r="AF16" s="77">
        <f>IFERROR(VLOOKUP(Vaktplan!$A$50,Vaktplan!$BY$4:$CL$35,86-AM69,FALSE),0)</f>
        <v>0</v>
      </c>
      <c r="AG16" s="77">
        <f>IFERROR(VLOOKUP(Vaktplan!$A$50,Vaktplan!$BY$4:$CL$35,86-AL69,FALSE),0)</f>
        <v>0</v>
      </c>
      <c r="AH16" s="9">
        <f>IFERROR(VLOOKUP(Vaktplan!$A$50,Vaktplan!$BY$4:$CL$35,89-$AM69,FALSE),0)</f>
        <v>0</v>
      </c>
      <c r="AI16" s="9">
        <f>IF(AND(AF16=0,AG16=0),0,IF(AF16&lt;AG16,((AG16-AF16)*24)-AH16,(((1-AF16)+AG16)*24)-AH16))</f>
        <v>0</v>
      </c>
      <c r="AJ16" s="9">
        <f t="shared" si="13"/>
        <v>24</v>
      </c>
      <c r="AK16" s="9">
        <f t="shared" si="1"/>
        <v>0</v>
      </c>
      <c r="AL16" s="92"/>
      <c r="AM16" s="10"/>
    </row>
    <row r="17" spans="1:43" ht="13" x14ac:dyDescent="0.25">
      <c r="A17" s="7">
        <v>12</v>
      </c>
      <c r="B17" s="77">
        <f>IFERROR(VLOOKUP(Vaktplan!$A$50,Vaktplan!$BZ$4:$CL$35,87-AH70,FALSE),0)</f>
        <v>0</v>
      </c>
      <c r="C17" s="77">
        <f>IFERROR(VLOOKUP(Vaktplan!$A$50,Vaktplan!$BZ$4:$CL$35,87-AG70,FALSE),0)</f>
        <v>0</v>
      </c>
      <c r="D17" s="9">
        <f>IFERROR(VLOOKUP(Vaktplan!$A$50,Vaktplan!$BZ$4:$CL$35,89-AG70,FALSE),0)</f>
        <v>0</v>
      </c>
      <c r="E17" s="9">
        <f t="shared" si="16"/>
        <v>0</v>
      </c>
      <c r="F17" s="9">
        <f t="shared" si="2"/>
        <v>24</v>
      </c>
      <c r="G17" s="77">
        <f>IFERROR(VLOOKUP(Vaktplan!$A$50,Vaktplan!$CA$4:$CL$35,86-AH70,FALSE),0)</f>
        <v>0</v>
      </c>
      <c r="H17" s="77">
        <f>IFERROR(VLOOKUP(Vaktplan!$A$50,Vaktplan!$CA$4:$CL$35,86-AG70,FALSE),0)</f>
        <v>0</v>
      </c>
      <c r="I17" s="9">
        <f>IFERROR(VLOOKUP(Vaktplan!$A$50,Vaktplan!$CA$4:$CL$35,89-$AH70,FALSE),0)</f>
        <v>0</v>
      </c>
      <c r="J17" s="9">
        <f t="shared" si="3"/>
        <v>0</v>
      </c>
      <c r="K17" s="9">
        <f t="shared" si="4"/>
        <v>24</v>
      </c>
      <c r="L17" s="77">
        <f>IFERROR(VLOOKUP(Vaktplan!$A$50,Vaktplan!$CB$4:$CL$35,86-AI70,FALSE),0)</f>
        <v>0</v>
      </c>
      <c r="M17" s="77">
        <f>IFERROR(VLOOKUP(Vaktplan!$A$50,Vaktplan!$CB$4:$CL$35,86-AH70,FALSE),0)</f>
        <v>0</v>
      </c>
      <c r="N17" s="9">
        <f>IFERROR(VLOOKUP(Vaktplan!$A$50,Vaktplan!$CB$4:$CL$35,89-$AI70,FALSE),0)</f>
        <v>0</v>
      </c>
      <c r="O17" s="9">
        <f t="shared" si="5"/>
        <v>0</v>
      </c>
      <c r="P17" s="9">
        <f t="shared" si="6"/>
        <v>24</v>
      </c>
      <c r="Q17" s="77">
        <f>IFERROR(VLOOKUP(Vaktplan!$A$50,Vaktplan!$CC$4:$CL$35,86-AJ70,FALSE),0)</f>
        <v>0</v>
      </c>
      <c r="R17" s="77">
        <f>IFERROR(VLOOKUP(Vaktplan!$A$50,Vaktplan!$CC$4:$CL$35,86-AI70,FALSE),0)</f>
        <v>0</v>
      </c>
      <c r="S17" s="9">
        <f>IFERROR(VLOOKUP(Vaktplan!$A$50,Vaktplan!$CC$4:$CL$35,89-$AJ70,FALSE),0)</f>
        <v>0</v>
      </c>
      <c r="T17" s="9">
        <f t="shared" si="0"/>
        <v>0</v>
      </c>
      <c r="U17" s="9">
        <f t="shared" si="7"/>
        <v>24</v>
      </c>
      <c r="V17" s="77">
        <f>IFERROR(VLOOKUP(Vaktplan!$A$50,Vaktplan!$CD$4:$CL$35,86-AK70,FALSE),0)</f>
        <v>0</v>
      </c>
      <c r="W17" s="77">
        <f>IFERROR(VLOOKUP(Vaktplan!$A$50,Vaktplan!$CD$4:$CL$35,86-AJ70,FALSE),0)</f>
        <v>0</v>
      </c>
      <c r="X17" s="9">
        <f>IFERROR(VLOOKUP(Vaktplan!$A$50,Vaktplan!$CD$4:$CL$35,89-$AK70,FALSE),0)</f>
        <v>0</v>
      </c>
      <c r="Y17" s="9">
        <f>IF(AND(V17=0,W17=0),0,IF(V17&lt;W17,((W17-V17)*24)-X17,(((1-V17)+W17)*24)-X17))</f>
        <v>0</v>
      </c>
      <c r="Z17" s="9">
        <f t="shared" si="9"/>
        <v>24</v>
      </c>
      <c r="AA17" s="77">
        <f>IFERROR(VLOOKUP(Vaktplan!$A$50,Vaktplan!$CE$4:$CL$35,86-AL70,FALSE),0)</f>
        <v>0</v>
      </c>
      <c r="AB17" s="77">
        <f>IFERROR(VLOOKUP(Vaktplan!$A$50,Vaktplan!$CE$4:$CL$35,86-AK70,FALSE),0)</f>
        <v>0</v>
      </c>
      <c r="AC17" s="9">
        <f>IFERROR(VLOOKUP(Vaktplan!$A$50,Vaktplan!$CE$4:$FCE$35,89-$AL70,FALSE),0)</f>
        <v>0</v>
      </c>
      <c r="AD17" s="9">
        <f>IF(AND(AA17=0,AB17=0),0,IF(AA17&lt;AB17,((AB17-AA17)*24)-AC17,(((1-AA17)+AB17)*24)-AC17))</f>
        <v>0</v>
      </c>
      <c r="AE17" s="9">
        <f t="shared" si="11"/>
        <v>24</v>
      </c>
      <c r="AF17" s="77">
        <f>IFERROR(VLOOKUP(Vaktplan!$A$50,Vaktplan!$CF$4:$CL$35,86-AM70,FALSE),0)</f>
        <v>0</v>
      </c>
      <c r="AG17" s="77">
        <f>IFERROR(VLOOKUP(Vaktplan!$A$50,Vaktplan!$CF$4:$CL$35,86-AL70,FALSE),0)</f>
        <v>0</v>
      </c>
      <c r="AH17" s="9">
        <f>IFERROR(VLOOKUP(Vaktplan!$A$50,Vaktplan!$CF$4:$CL$35,89-$AM70,FALSE),0)</f>
        <v>0</v>
      </c>
      <c r="AI17" s="9">
        <f>IF(AND(AF17=0,AG17=0),0,IF(AF17&lt;AG17,((AG17-AF17)*24)-AH17,(((1-AF17)+AG17)*24)-AH17))</f>
        <v>0</v>
      </c>
      <c r="AJ17" s="9">
        <f t="shared" si="13"/>
        <v>24</v>
      </c>
      <c r="AK17" s="9">
        <f t="shared" si="1"/>
        <v>0</v>
      </c>
      <c r="AL17" s="92"/>
      <c r="AM17" s="10"/>
    </row>
    <row r="19" spans="1:43" ht="13" x14ac:dyDescent="0.3">
      <c r="A19" s="4" t="s">
        <v>76</v>
      </c>
    </row>
    <row r="20" spans="1:43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3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3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3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3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6" spans="1:43" ht="13" x14ac:dyDescent="0.3">
      <c r="A26" s="4" t="s">
        <v>77</v>
      </c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</row>
    <row r="27" spans="1:43" ht="13" x14ac:dyDescent="0.3">
      <c r="A27" s="3" t="s">
        <v>78</v>
      </c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80" t="s">
        <v>79</v>
      </c>
      <c r="AM27" s="78"/>
      <c r="AN27" s="78"/>
      <c r="AO27" s="78"/>
    </row>
    <row r="28" spans="1:43" ht="13" x14ac:dyDescent="0.3">
      <c r="A28" s="98" t="s">
        <v>36</v>
      </c>
      <c r="B28" s="98"/>
      <c r="C28" s="98"/>
      <c r="D28" s="88"/>
      <c r="E28" s="8">
        <f>E2</f>
        <v>0</v>
      </c>
      <c r="F28" s="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>
        <v>1</v>
      </c>
      <c r="AM28" s="78"/>
      <c r="AN28" s="78"/>
      <c r="AO28" s="78"/>
    </row>
    <row r="29" spans="1:43" ht="13" x14ac:dyDescent="0.3">
      <c r="A29" s="98" t="s">
        <v>80</v>
      </c>
      <c r="B29" s="98"/>
      <c r="C29" s="98"/>
      <c r="D29" s="88"/>
      <c r="E29" s="5">
        <f>E3</f>
        <v>0</v>
      </c>
      <c r="F29" s="5"/>
      <c r="T29" s="10"/>
      <c r="U29" s="10"/>
      <c r="V29" s="10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80" t="s">
        <v>81</v>
      </c>
      <c r="AH29" s="80"/>
      <c r="AI29" s="78"/>
      <c r="AJ29" s="78"/>
      <c r="AK29" s="78"/>
      <c r="AL29" s="78">
        <v>2</v>
      </c>
      <c r="AM29" s="78"/>
      <c r="AN29" s="78"/>
      <c r="AO29" s="78"/>
      <c r="AP29" s="10"/>
      <c r="AQ29" s="10"/>
    </row>
    <row r="30" spans="1:43" ht="13" x14ac:dyDescent="0.3">
      <c r="A30" s="98" t="s">
        <v>82</v>
      </c>
      <c r="B30" s="98"/>
      <c r="C30" s="98"/>
      <c r="D30" s="88"/>
      <c r="T30" s="10"/>
      <c r="U30" s="10"/>
      <c r="V30" s="10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>
        <v>3</v>
      </c>
      <c r="AM30" s="78"/>
      <c r="AN30" s="78"/>
      <c r="AO30" s="78"/>
      <c r="AP30" s="10"/>
      <c r="AQ30" s="10"/>
    </row>
    <row r="31" spans="1:43" ht="13" x14ac:dyDescent="0.3">
      <c r="A31" s="4" t="s">
        <v>83</v>
      </c>
      <c r="B31" s="4" t="s">
        <v>84</v>
      </c>
      <c r="C31" s="4" t="s">
        <v>85</v>
      </c>
      <c r="D31" s="98" t="s">
        <v>86</v>
      </c>
      <c r="E31" s="98"/>
      <c r="F31" s="4" t="s">
        <v>87</v>
      </c>
      <c r="G31" s="4" t="s">
        <v>88</v>
      </c>
      <c r="H31" s="98" t="s">
        <v>27</v>
      </c>
      <c r="I31" s="98"/>
      <c r="J31" s="4" t="s">
        <v>28</v>
      </c>
      <c r="K31" s="4" t="s">
        <v>29</v>
      </c>
      <c r="L31" s="4" t="s">
        <v>30</v>
      </c>
      <c r="M31" s="4" t="s">
        <v>31</v>
      </c>
      <c r="N31" s="98" t="s">
        <v>32</v>
      </c>
      <c r="O31" s="98"/>
      <c r="T31" s="10"/>
      <c r="U31" s="10"/>
      <c r="V31" s="10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80" t="s">
        <v>9</v>
      </c>
      <c r="AH31" s="80"/>
      <c r="AI31" s="78"/>
      <c r="AJ31" s="78"/>
      <c r="AK31" s="78"/>
      <c r="AL31" s="78">
        <v>4</v>
      </c>
      <c r="AM31" s="78"/>
      <c r="AN31" s="78"/>
      <c r="AO31" s="78"/>
      <c r="AP31" s="10"/>
      <c r="AQ31" s="10"/>
    </row>
    <row r="32" spans="1:43" ht="13" x14ac:dyDescent="0.3">
      <c r="A32" s="3">
        <f>AK6</f>
        <v>0</v>
      </c>
      <c r="B32" s="3">
        <f>AK7</f>
        <v>0</v>
      </c>
      <c r="C32" s="3">
        <f>AK8</f>
        <v>0</v>
      </c>
      <c r="D32" s="101">
        <f>AK9</f>
        <v>0</v>
      </c>
      <c r="E32" s="101"/>
      <c r="F32" s="3">
        <f>AK10</f>
        <v>0</v>
      </c>
      <c r="G32" s="3">
        <f>AK11</f>
        <v>0</v>
      </c>
      <c r="H32" s="101">
        <f>AK12</f>
        <v>0</v>
      </c>
      <c r="I32" s="101"/>
      <c r="J32" s="3">
        <f>AK13</f>
        <v>0</v>
      </c>
      <c r="K32" s="3">
        <f>AK14</f>
        <v>0</v>
      </c>
      <c r="L32" s="3">
        <f>AK15</f>
        <v>0</v>
      </c>
      <c r="M32" s="3">
        <f>AK16</f>
        <v>0</v>
      </c>
      <c r="N32" s="101">
        <f>AK17</f>
        <v>0</v>
      </c>
      <c r="O32" s="101"/>
      <c r="T32" s="11" t="s">
        <v>70</v>
      </c>
      <c r="U32" s="10" t="s">
        <v>89</v>
      </c>
      <c r="V32" s="10" t="s">
        <v>90</v>
      </c>
      <c r="W32" s="78" t="s">
        <v>91</v>
      </c>
      <c r="X32" s="78" t="s">
        <v>92</v>
      </c>
      <c r="Y32" s="78" t="s">
        <v>93</v>
      </c>
      <c r="Z32" s="78" t="s">
        <v>94</v>
      </c>
      <c r="AA32" s="78"/>
      <c r="AB32" s="78"/>
      <c r="AC32" s="78"/>
      <c r="AD32" s="78"/>
      <c r="AE32" s="78"/>
      <c r="AF32" s="78"/>
      <c r="AG32" s="78" t="s">
        <v>10</v>
      </c>
      <c r="AH32" s="78"/>
      <c r="AI32" s="79">
        <v>42177</v>
      </c>
      <c r="AJ32" s="79"/>
      <c r="AK32" s="78"/>
      <c r="AL32" s="78">
        <v>5</v>
      </c>
      <c r="AM32" s="78"/>
      <c r="AN32" s="78"/>
      <c r="AO32" s="78"/>
      <c r="AP32" s="10"/>
      <c r="AQ32" s="10"/>
    </row>
    <row r="33" spans="1:43" ht="13" x14ac:dyDescent="0.3">
      <c r="A33" s="98" t="s">
        <v>95</v>
      </c>
      <c r="B33" s="98"/>
      <c r="C33" s="98"/>
      <c r="D33" s="88"/>
      <c r="G33" s="101"/>
      <c r="H33" s="101"/>
      <c r="I33" s="90"/>
      <c r="T33" s="10">
        <v>1</v>
      </c>
      <c r="U33" s="10">
        <f>IF(AND(B6&gt;0,G6&gt;0),0,IF(AND(G6&gt;0),0,F6+K6))</f>
        <v>48</v>
      </c>
      <c r="V33" s="10">
        <f>IF(AND(G6&gt;0,L6&gt;0),0,IF(AND(L6&gt;0),0,K6+P6))</f>
        <v>48</v>
      </c>
      <c r="W33" s="78">
        <f>IF(AND(L6&gt;0,Q6&gt;0),0,IF(AND(Q6&gt;0),0,P6+U6))</f>
        <v>48</v>
      </c>
      <c r="X33" s="78">
        <f>IF(AND(Q6&gt;0,V6&gt;0),0,IF(AND(V6&gt;0),0,U6+Z6))</f>
        <v>48</v>
      </c>
      <c r="Y33" s="78">
        <f>IF(AND(V6&gt;0,AA6&gt;0),0,IF(AND(AA6&gt;0),0,Z6+AE6))</f>
        <v>48</v>
      </c>
      <c r="Z33" s="78">
        <f>IF(AND(AA6&gt;0,AF6&gt;0),0,IF(AND(AF6&gt;0),0,AE6+AJ6))</f>
        <v>48</v>
      </c>
      <c r="AA33" s="78"/>
      <c r="AB33" s="78"/>
      <c r="AC33" s="78"/>
      <c r="AD33" s="78"/>
      <c r="AE33" s="78"/>
      <c r="AF33" s="78"/>
      <c r="AG33" s="78" t="s">
        <v>11</v>
      </c>
      <c r="AH33" s="78"/>
      <c r="AI33" s="79">
        <v>42178</v>
      </c>
      <c r="AJ33" s="79"/>
      <c r="AK33" s="78"/>
      <c r="AL33" s="78">
        <v>6</v>
      </c>
      <c r="AM33" s="78"/>
      <c r="AN33" s="78"/>
      <c r="AO33" s="78"/>
      <c r="AP33" s="10"/>
      <c r="AQ33" s="10"/>
    </row>
    <row r="34" spans="1:43" x14ac:dyDescent="0.25">
      <c r="A34" s="101" t="s">
        <v>96</v>
      </c>
      <c r="B34" s="101"/>
      <c r="C34" s="3">
        <f>(AK6+AK7+AK8+AK9+AK10+AK11+AK12+AK13+AK14+AK15+AK16+AK17)/M1</f>
        <v>0</v>
      </c>
      <c r="T34" s="10">
        <v>2</v>
      </c>
      <c r="U34" s="10">
        <f t="shared" ref="U34:U40" si="17">IF(AND(B7&gt;0,G7&gt;0),0,IF(AND(G7&gt;0),0,F7+K7))</f>
        <v>48</v>
      </c>
      <c r="V34" s="10">
        <f t="shared" ref="V34:V40" si="18">IF(AND(G7&gt;0,L7&gt;0),0,IF(AND(L7&gt;0),0,K7+P7))</f>
        <v>48</v>
      </c>
      <c r="W34" s="78">
        <f t="shared" ref="W34:W44" si="19">IF(AND(L7&gt;0,Q7&gt;0),0,IF(AND(Q7&gt;0),0,P7+U7))</f>
        <v>48</v>
      </c>
      <c r="X34" s="78">
        <f t="shared" ref="X34:X44" si="20">IF(AND(Q7&gt;0,V7&gt;0),0,IF(AND(V7&gt;0),0,U7+Z7))</f>
        <v>48</v>
      </c>
      <c r="Y34" s="78">
        <f t="shared" ref="Y34:Y44" si="21">IF(AND(V7&gt;0,AA7&gt;0),0,IF(AND(AA7&gt;0),0,Z7+AE7))</f>
        <v>48</v>
      </c>
      <c r="Z34" s="78">
        <f t="shared" ref="Z34:Z44" si="22">IF(AND(AA7&gt;0,AF7&gt;0),0,IF(AND(AF7&gt;0),0,AE7+AJ7))</f>
        <v>48</v>
      </c>
      <c r="AA34" s="78"/>
      <c r="AB34" s="78"/>
      <c r="AC34" s="78"/>
      <c r="AD34" s="78"/>
      <c r="AE34" s="78"/>
      <c r="AF34" s="78"/>
      <c r="AG34" s="78" t="s">
        <v>12</v>
      </c>
      <c r="AH34" s="78"/>
      <c r="AI34" s="79">
        <v>42179</v>
      </c>
      <c r="AJ34" s="79"/>
      <c r="AK34" s="78"/>
      <c r="AL34" s="78">
        <v>7</v>
      </c>
      <c r="AM34" s="78"/>
      <c r="AN34" s="78"/>
      <c r="AO34" s="78"/>
      <c r="AP34" s="10"/>
      <c r="AQ34" s="10"/>
    </row>
    <row r="35" spans="1:43" x14ac:dyDescent="0.25">
      <c r="T35" s="10">
        <v>3</v>
      </c>
      <c r="U35" s="10">
        <f t="shared" si="17"/>
        <v>48</v>
      </c>
      <c r="V35" s="10">
        <f t="shared" si="18"/>
        <v>48</v>
      </c>
      <c r="W35" s="78">
        <f t="shared" si="19"/>
        <v>48</v>
      </c>
      <c r="X35" s="78">
        <f t="shared" si="20"/>
        <v>48</v>
      </c>
      <c r="Y35" s="78">
        <f t="shared" si="21"/>
        <v>48</v>
      </c>
      <c r="Z35" s="78">
        <f t="shared" si="22"/>
        <v>48</v>
      </c>
      <c r="AA35" s="78"/>
      <c r="AB35" s="78"/>
      <c r="AC35" s="78"/>
      <c r="AD35" s="78"/>
      <c r="AE35" s="78"/>
      <c r="AF35" s="78"/>
      <c r="AG35" s="78" t="s">
        <v>13</v>
      </c>
      <c r="AH35" s="78"/>
      <c r="AI35" s="79">
        <v>42180</v>
      </c>
      <c r="AJ35" s="79"/>
      <c r="AK35" s="78"/>
      <c r="AL35" s="78">
        <v>8</v>
      </c>
      <c r="AM35" s="78"/>
      <c r="AN35" s="78"/>
      <c r="AO35" s="78"/>
      <c r="AP35" s="78"/>
      <c r="AQ35" s="10"/>
    </row>
    <row r="36" spans="1:43" ht="13" x14ac:dyDescent="0.3">
      <c r="A36" s="98" t="s">
        <v>97</v>
      </c>
      <c r="B36" s="98"/>
      <c r="C36" s="98"/>
      <c r="D36" s="98"/>
      <c r="E36" s="98"/>
      <c r="F36" s="88"/>
      <c r="T36" s="10">
        <v>4</v>
      </c>
      <c r="U36" s="10">
        <f t="shared" si="17"/>
        <v>48</v>
      </c>
      <c r="V36" s="10">
        <f t="shared" si="18"/>
        <v>48</v>
      </c>
      <c r="W36" s="78">
        <f t="shared" si="19"/>
        <v>48</v>
      </c>
      <c r="X36" s="78">
        <f t="shared" si="20"/>
        <v>48</v>
      </c>
      <c r="Y36" s="78">
        <f t="shared" si="21"/>
        <v>48</v>
      </c>
      <c r="Z36" s="78">
        <f t="shared" si="22"/>
        <v>48</v>
      </c>
      <c r="AA36" s="78"/>
      <c r="AB36" s="78"/>
      <c r="AC36" s="78"/>
      <c r="AD36" s="78"/>
      <c r="AE36" s="78"/>
      <c r="AF36" s="78"/>
      <c r="AG36" s="78" t="s">
        <v>14</v>
      </c>
      <c r="AH36" s="78"/>
      <c r="AI36" s="79">
        <v>42181</v>
      </c>
      <c r="AJ36" s="79"/>
      <c r="AK36" s="78"/>
      <c r="AL36" s="3">
        <v>9</v>
      </c>
      <c r="AM36" s="78"/>
      <c r="AN36" s="78"/>
      <c r="AO36" s="78"/>
      <c r="AP36" s="78"/>
      <c r="AQ36" s="10"/>
    </row>
    <row r="37" spans="1:43" x14ac:dyDescent="0.25">
      <c r="A37" s="99" t="e">
        <f>C34/E3</f>
        <v>#DIV/0!</v>
      </c>
      <c r="B37" s="99"/>
      <c r="C37" s="99"/>
      <c r="T37" s="10">
        <v>5</v>
      </c>
      <c r="U37" s="10">
        <f t="shared" si="17"/>
        <v>48</v>
      </c>
      <c r="V37" s="10">
        <f t="shared" si="18"/>
        <v>48</v>
      </c>
      <c r="W37" s="78">
        <f t="shared" si="19"/>
        <v>48</v>
      </c>
      <c r="X37" s="78">
        <f t="shared" si="20"/>
        <v>48</v>
      </c>
      <c r="Y37" s="78">
        <f t="shared" si="21"/>
        <v>48</v>
      </c>
      <c r="Z37" s="78">
        <f t="shared" si="22"/>
        <v>48</v>
      </c>
      <c r="AA37" s="78"/>
      <c r="AB37" s="78"/>
      <c r="AC37" s="78"/>
      <c r="AD37" s="78"/>
      <c r="AE37" s="78"/>
      <c r="AF37" s="78"/>
      <c r="AG37" s="78" t="s">
        <v>15</v>
      </c>
      <c r="AH37" s="78"/>
      <c r="AI37" s="79">
        <v>42182</v>
      </c>
      <c r="AJ37" s="79"/>
      <c r="AK37" s="78"/>
      <c r="AL37" s="3">
        <v>10</v>
      </c>
      <c r="AM37" s="78"/>
      <c r="AN37" s="78"/>
      <c r="AO37" s="78"/>
      <c r="AP37" s="78"/>
      <c r="AQ37" s="10"/>
    </row>
    <row r="38" spans="1:43" x14ac:dyDescent="0.25">
      <c r="T38" s="10">
        <v>6</v>
      </c>
      <c r="U38" s="10">
        <f t="shared" si="17"/>
        <v>48</v>
      </c>
      <c r="V38" s="10">
        <f t="shared" si="18"/>
        <v>48</v>
      </c>
      <c r="W38" s="78">
        <f t="shared" si="19"/>
        <v>48</v>
      </c>
      <c r="X38" s="78">
        <f t="shared" si="20"/>
        <v>48</v>
      </c>
      <c r="Y38" s="78">
        <f t="shared" si="21"/>
        <v>48</v>
      </c>
      <c r="Z38" s="78">
        <f t="shared" si="22"/>
        <v>48</v>
      </c>
      <c r="AA38" s="78"/>
      <c r="AB38" s="78"/>
      <c r="AC38" s="78"/>
      <c r="AD38" s="78"/>
      <c r="AE38" s="78"/>
      <c r="AF38" s="78"/>
      <c r="AG38" s="78" t="s">
        <v>16</v>
      </c>
      <c r="AH38" s="78"/>
      <c r="AI38" s="79">
        <v>42183</v>
      </c>
      <c r="AJ38" s="79"/>
      <c r="AK38" s="78"/>
      <c r="AL38" s="3">
        <v>11</v>
      </c>
      <c r="AM38" s="78"/>
      <c r="AN38" s="78"/>
      <c r="AO38" s="78"/>
      <c r="AP38" s="78"/>
      <c r="AQ38" s="10"/>
    </row>
    <row r="39" spans="1:43" x14ac:dyDescent="0.25">
      <c r="T39" s="10">
        <v>7</v>
      </c>
      <c r="U39" s="10">
        <f t="shared" si="17"/>
        <v>48</v>
      </c>
      <c r="V39" s="10">
        <f t="shared" si="18"/>
        <v>48</v>
      </c>
      <c r="W39" s="78">
        <f t="shared" si="19"/>
        <v>48</v>
      </c>
      <c r="X39" s="78">
        <f t="shared" si="20"/>
        <v>48</v>
      </c>
      <c r="Y39" s="78">
        <f t="shared" si="21"/>
        <v>48</v>
      </c>
      <c r="Z39" s="78">
        <f t="shared" si="22"/>
        <v>48</v>
      </c>
      <c r="AA39" s="78"/>
      <c r="AB39" s="78"/>
      <c r="AC39" s="78"/>
      <c r="AD39" s="78"/>
      <c r="AE39" s="78"/>
      <c r="AF39" s="78"/>
      <c r="AG39" s="100">
        <f>IF(E1=AG32,AI32,IF(E1=AG33,AI33,IF(E1=AG34,AI34,IF(E1=AG35,AI35,IF(E1=AG36,AI36,IF(E1=AG37,AI37,IF(E1=AG38,AI38,AI32)))))))</f>
        <v>42177</v>
      </c>
      <c r="AH39" s="100"/>
      <c r="AI39" s="100"/>
      <c r="AJ39" s="100"/>
      <c r="AK39" s="100"/>
      <c r="AL39" s="3">
        <v>12</v>
      </c>
      <c r="AM39" s="78"/>
      <c r="AN39" s="78"/>
      <c r="AO39" s="78"/>
      <c r="AP39" s="78"/>
      <c r="AQ39" s="10"/>
    </row>
    <row r="40" spans="1:43" ht="13" x14ac:dyDescent="0.3">
      <c r="A40" s="4" t="s">
        <v>98</v>
      </c>
      <c r="T40" s="10">
        <v>8</v>
      </c>
      <c r="U40" s="10">
        <f t="shared" si="17"/>
        <v>48</v>
      </c>
      <c r="V40" s="10">
        <f t="shared" si="18"/>
        <v>48</v>
      </c>
      <c r="W40" s="78">
        <f t="shared" si="19"/>
        <v>48</v>
      </c>
      <c r="X40" s="78">
        <f t="shared" si="20"/>
        <v>48</v>
      </c>
      <c r="Y40" s="78">
        <f t="shared" si="21"/>
        <v>48</v>
      </c>
      <c r="Z40" s="78">
        <f t="shared" si="22"/>
        <v>48</v>
      </c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10"/>
    </row>
    <row r="41" spans="1:43" x14ac:dyDescent="0.25">
      <c r="A41" s="3" t="s">
        <v>99</v>
      </c>
      <c r="T41" s="10"/>
      <c r="U41" s="10"/>
      <c r="V41" s="10"/>
      <c r="W41" s="78">
        <f t="shared" si="19"/>
        <v>48</v>
      </c>
      <c r="X41" s="78">
        <f t="shared" si="20"/>
        <v>48</v>
      </c>
      <c r="Y41" s="78">
        <f t="shared" si="21"/>
        <v>48</v>
      </c>
      <c r="Z41" s="78">
        <f t="shared" si="22"/>
        <v>48</v>
      </c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10"/>
    </row>
    <row r="42" spans="1:43" ht="13" x14ac:dyDescent="0.3">
      <c r="A42" s="3" t="s">
        <v>100</v>
      </c>
      <c r="O42" s="81">
        <v>0.29166666666666669</v>
      </c>
      <c r="P42" s="81">
        <v>0.33333333333333331</v>
      </c>
      <c r="Q42" s="3">
        <f>(P42-O42)*24</f>
        <v>0.99999999999999911</v>
      </c>
      <c r="T42" s="10"/>
      <c r="U42" s="10"/>
      <c r="V42" s="10"/>
      <c r="W42" s="78">
        <f t="shared" si="19"/>
        <v>48</v>
      </c>
      <c r="X42" s="78">
        <f t="shared" si="20"/>
        <v>48</v>
      </c>
      <c r="Y42" s="78">
        <f t="shared" si="21"/>
        <v>48</v>
      </c>
      <c r="Z42" s="78">
        <f t="shared" si="22"/>
        <v>48</v>
      </c>
      <c r="AA42" s="78"/>
      <c r="AB42" s="78"/>
      <c r="AC42" s="78"/>
      <c r="AD42" s="78"/>
      <c r="AE42" s="78"/>
      <c r="AF42" s="78"/>
      <c r="AG42" s="80" t="s">
        <v>101</v>
      </c>
      <c r="AH42" s="80"/>
      <c r="AI42" s="78"/>
      <c r="AJ42" s="78"/>
      <c r="AK42" s="78"/>
      <c r="AL42" s="80" t="s">
        <v>102</v>
      </c>
      <c r="AM42" s="78"/>
      <c r="AN42" s="78"/>
      <c r="AO42" s="78"/>
      <c r="AP42" s="78"/>
      <c r="AQ42" s="10"/>
    </row>
    <row r="43" spans="1:43" x14ac:dyDescent="0.25">
      <c r="T43" s="10"/>
      <c r="U43" s="10"/>
      <c r="V43" s="10"/>
      <c r="W43" s="78">
        <f t="shared" si="19"/>
        <v>48</v>
      </c>
      <c r="X43" s="78">
        <f t="shared" si="20"/>
        <v>48</v>
      </c>
      <c r="Y43" s="78">
        <f t="shared" si="21"/>
        <v>48</v>
      </c>
      <c r="Z43" s="78">
        <f t="shared" si="22"/>
        <v>48</v>
      </c>
      <c r="AA43" s="78"/>
      <c r="AB43" s="78"/>
      <c r="AC43" s="78"/>
      <c r="AD43" s="78"/>
      <c r="AE43" s="78"/>
      <c r="AF43" s="78"/>
      <c r="AG43" s="78">
        <v>33.6</v>
      </c>
      <c r="AH43" s="78"/>
      <c r="AI43" s="78"/>
      <c r="AJ43" s="78"/>
      <c r="AK43" s="78"/>
      <c r="AL43" s="78" t="s">
        <v>103</v>
      </c>
      <c r="AM43" s="78"/>
      <c r="AN43" s="78"/>
      <c r="AO43" s="78"/>
      <c r="AP43" s="78"/>
      <c r="AQ43" s="10"/>
    </row>
    <row r="44" spans="1:43" x14ac:dyDescent="0.25">
      <c r="A44" s="3" t="s">
        <v>104</v>
      </c>
      <c r="T44" s="10"/>
      <c r="U44" s="10"/>
      <c r="V44" s="10"/>
      <c r="W44" s="78">
        <f t="shared" si="19"/>
        <v>48</v>
      </c>
      <c r="X44" s="78">
        <f t="shared" si="20"/>
        <v>48</v>
      </c>
      <c r="Y44" s="78">
        <f t="shared" si="21"/>
        <v>48</v>
      </c>
      <c r="Z44" s="78">
        <f t="shared" si="22"/>
        <v>48</v>
      </c>
      <c r="AA44" s="78"/>
      <c r="AB44" s="78"/>
      <c r="AC44" s="78"/>
      <c r="AD44" s="78"/>
      <c r="AE44" s="78"/>
      <c r="AF44" s="78"/>
      <c r="AG44" s="78">
        <v>35.5</v>
      </c>
      <c r="AH44" s="78"/>
      <c r="AI44" s="78"/>
      <c r="AJ44" s="78"/>
      <c r="AK44" s="78"/>
      <c r="AL44" s="78" t="s">
        <v>105</v>
      </c>
      <c r="AM44" s="78"/>
      <c r="AN44" s="78"/>
      <c r="AO44" s="78"/>
      <c r="AP44" s="78"/>
      <c r="AQ44" s="10"/>
    </row>
    <row r="45" spans="1:43" x14ac:dyDescent="0.25">
      <c r="A45" s="1">
        <v>11</v>
      </c>
      <c r="B45" s="5">
        <f>COUNTIF($F$6:$F$13,"&lt;" &amp; A45)+COUNTIF($K$6:$K$13,"&lt;" &amp; A45)+COUNTIF($P$6:$P$13,"&lt;" &amp; A45)+COUNTIF($U$6:$U$13,"&lt;" &amp; A45)+COUNTIF($Z$6:$Z$13,"&lt;" &amp; A45)+COUNTIF($AE$6:$AE$13,"&lt;" &amp; A45)+COUNTIF($AJ$6:$AJ$13,"&lt;" &amp; A45)</f>
        <v>0</v>
      </c>
      <c r="T45" s="10"/>
      <c r="U45" s="10"/>
      <c r="V45" s="10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>
        <v>37.5</v>
      </c>
      <c r="AH45" s="78"/>
      <c r="AI45" s="78"/>
      <c r="AJ45" s="78"/>
      <c r="AK45" s="78"/>
      <c r="AL45" s="78"/>
      <c r="AM45" s="78"/>
      <c r="AN45" s="78"/>
      <c r="AO45" s="78"/>
      <c r="AP45" s="78"/>
      <c r="AQ45" s="10"/>
    </row>
    <row r="46" spans="1:43" x14ac:dyDescent="0.25">
      <c r="T46" s="10"/>
      <c r="U46" s="10"/>
      <c r="V46" s="10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78"/>
      <c r="AQ46" s="10"/>
    </row>
    <row r="47" spans="1:43" x14ac:dyDescent="0.25">
      <c r="T47" s="10"/>
      <c r="U47" s="10"/>
      <c r="V47" s="10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10"/>
    </row>
    <row r="48" spans="1:43" x14ac:dyDescent="0.25">
      <c r="T48" s="10"/>
      <c r="U48" s="10"/>
      <c r="V48" s="10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78"/>
      <c r="AO48" s="78"/>
      <c r="AP48" s="78"/>
      <c r="AQ48" s="10"/>
    </row>
    <row r="49" spans="1:43" ht="13" x14ac:dyDescent="0.3">
      <c r="A49" s="4" t="s">
        <v>106</v>
      </c>
      <c r="T49" s="10"/>
      <c r="U49" s="10"/>
      <c r="V49" s="10"/>
      <c r="W49" s="78"/>
      <c r="X49" s="78"/>
      <c r="Y49" s="78"/>
      <c r="Z49" s="78"/>
      <c r="AA49" s="78"/>
      <c r="AB49" s="80" t="s">
        <v>107</v>
      </c>
      <c r="AC49" s="80"/>
      <c r="AD49" s="78"/>
      <c r="AE49" s="78"/>
      <c r="AF49" s="78"/>
      <c r="AG49" s="78"/>
      <c r="AH49" s="78"/>
      <c r="AI49" s="78"/>
      <c r="AJ49" s="78"/>
      <c r="AK49" s="78"/>
      <c r="AL49" s="78"/>
      <c r="AM49" s="78"/>
      <c r="AN49" s="78"/>
      <c r="AO49" s="78"/>
      <c r="AP49" s="78"/>
      <c r="AQ49" s="10"/>
    </row>
    <row r="50" spans="1:43" x14ac:dyDescent="0.25">
      <c r="A50" s="3" t="s">
        <v>108</v>
      </c>
      <c r="T50" s="10"/>
      <c r="U50" s="10"/>
      <c r="V50" s="10"/>
      <c r="W50" s="78"/>
      <c r="X50" s="78"/>
      <c r="Y50" s="78"/>
      <c r="Z50" s="78"/>
      <c r="AA50" s="78"/>
      <c r="AB50" s="78" t="s">
        <v>109</v>
      </c>
      <c r="AC50" s="78"/>
      <c r="AD50" s="78"/>
      <c r="AE50" s="78"/>
      <c r="AF50" s="78"/>
      <c r="AG50" s="78"/>
      <c r="AH50" s="78"/>
      <c r="AI50" s="78"/>
      <c r="AJ50" s="78"/>
      <c r="AK50" s="78"/>
      <c r="AL50" s="78"/>
      <c r="AM50" s="78"/>
      <c r="AN50" s="78"/>
      <c r="AO50" s="78"/>
      <c r="AP50" s="78"/>
      <c r="AQ50" s="10"/>
    </row>
    <row r="51" spans="1:43" ht="13" x14ac:dyDescent="0.3">
      <c r="A51" s="4" t="s">
        <v>110</v>
      </c>
      <c r="T51" s="10"/>
      <c r="U51" s="10"/>
      <c r="V51" s="10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  <c r="AN51" s="78"/>
      <c r="AO51" s="78"/>
      <c r="AP51" s="78"/>
      <c r="AQ51" s="10"/>
    </row>
    <row r="52" spans="1:43" x14ac:dyDescent="0.25">
      <c r="A52" s="3" t="s">
        <v>111</v>
      </c>
      <c r="T52" s="10"/>
      <c r="U52" s="10"/>
      <c r="V52" s="10"/>
      <c r="W52" s="78"/>
      <c r="X52" s="78"/>
      <c r="Y52" s="78"/>
      <c r="Z52" s="78"/>
      <c r="AA52" s="78"/>
      <c r="AB52" s="78" t="s">
        <v>112</v>
      </c>
      <c r="AC52" s="78"/>
      <c r="AD52" s="78"/>
      <c r="AE52" s="78"/>
      <c r="AF52" s="78"/>
      <c r="AG52" s="78"/>
      <c r="AH52" s="78"/>
      <c r="AI52" s="78"/>
      <c r="AJ52" s="78"/>
      <c r="AK52" s="78"/>
      <c r="AL52" s="78"/>
      <c r="AM52" s="78"/>
      <c r="AN52" s="78"/>
      <c r="AO52" s="78"/>
      <c r="AP52" s="78"/>
      <c r="AQ52" s="10"/>
    </row>
    <row r="53" spans="1:43" x14ac:dyDescent="0.25">
      <c r="A53" s="3" t="s">
        <v>113</v>
      </c>
      <c r="T53" s="10"/>
      <c r="U53" s="10"/>
      <c r="V53" s="10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78"/>
      <c r="AO53" s="78"/>
      <c r="AP53" s="78"/>
      <c r="AQ53" s="10"/>
    </row>
    <row r="54" spans="1:43" x14ac:dyDescent="0.25">
      <c r="A54" s="3" t="s">
        <v>114</v>
      </c>
      <c r="T54" s="10"/>
      <c r="U54" s="10"/>
      <c r="V54" s="10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78"/>
      <c r="AL54" s="78"/>
      <c r="AM54" s="78"/>
      <c r="AN54" s="78"/>
      <c r="AO54" s="78"/>
      <c r="AP54" s="78"/>
      <c r="AQ54" s="10"/>
    </row>
    <row r="55" spans="1:43" x14ac:dyDescent="0.25">
      <c r="T55" s="10"/>
      <c r="U55" s="10"/>
      <c r="V55" s="10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10"/>
    </row>
    <row r="56" spans="1:43" ht="13" x14ac:dyDescent="0.3">
      <c r="A56" s="4" t="s">
        <v>115</v>
      </c>
      <c r="T56" s="10"/>
      <c r="U56" s="10"/>
      <c r="V56" s="10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78"/>
      <c r="AO56" s="78"/>
      <c r="AP56" s="78"/>
      <c r="AQ56" s="10"/>
    </row>
    <row r="57" spans="1:43" x14ac:dyDescent="0.25">
      <c r="A57" s="3" t="s">
        <v>116</v>
      </c>
      <c r="T57" s="10"/>
      <c r="U57" s="10"/>
      <c r="V57" s="10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/>
      <c r="AO57" s="78"/>
      <c r="AP57" s="78"/>
      <c r="AQ57" s="10"/>
    </row>
    <row r="58" spans="1:43" ht="13" x14ac:dyDescent="0.3">
      <c r="A58" s="4" t="s">
        <v>110</v>
      </c>
      <c r="T58" s="10"/>
      <c r="U58" s="10"/>
      <c r="V58" s="10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 t="s">
        <v>117</v>
      </c>
      <c r="AH58" s="78"/>
      <c r="AI58" s="78"/>
      <c r="AJ58" s="78"/>
      <c r="AK58" s="78"/>
      <c r="AL58" s="78"/>
      <c r="AM58" s="78"/>
      <c r="AN58" s="78"/>
      <c r="AO58" s="78"/>
      <c r="AP58" s="78"/>
      <c r="AQ58" s="10"/>
    </row>
    <row r="59" spans="1:43" x14ac:dyDescent="0.25">
      <c r="A59" s="3" t="s">
        <v>111</v>
      </c>
      <c r="T59" s="10"/>
      <c r="U59" s="10"/>
      <c r="V59" s="10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>
        <v>0</v>
      </c>
      <c r="AH59" s="78">
        <v>1</v>
      </c>
      <c r="AI59" s="78">
        <v>2</v>
      </c>
      <c r="AJ59" s="78">
        <v>3</v>
      </c>
      <c r="AK59" s="78">
        <v>4</v>
      </c>
      <c r="AL59" s="78">
        <v>5</v>
      </c>
      <c r="AM59" s="78">
        <v>6</v>
      </c>
      <c r="AN59" s="78"/>
      <c r="AO59" s="78"/>
      <c r="AP59" s="78"/>
      <c r="AQ59" s="10"/>
    </row>
    <row r="60" spans="1:43" x14ac:dyDescent="0.25">
      <c r="A60" s="3" t="s">
        <v>113</v>
      </c>
      <c r="T60" s="10"/>
      <c r="U60" s="10"/>
      <c r="V60" s="10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>
        <v>7</v>
      </c>
      <c r="AH60" s="78">
        <v>8</v>
      </c>
      <c r="AI60" s="78">
        <v>9</v>
      </c>
      <c r="AJ60" s="78">
        <v>10</v>
      </c>
      <c r="AK60" s="78">
        <v>11</v>
      </c>
      <c r="AL60" s="78">
        <v>12</v>
      </c>
      <c r="AM60" s="78">
        <v>13</v>
      </c>
      <c r="AN60" s="78"/>
      <c r="AO60" s="78"/>
      <c r="AP60" s="78"/>
      <c r="AQ60" s="10"/>
    </row>
    <row r="61" spans="1:43" x14ac:dyDescent="0.25">
      <c r="T61" s="10"/>
      <c r="U61" s="10"/>
      <c r="V61" s="10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>
        <v>14</v>
      </c>
      <c r="AH61" s="78">
        <v>15</v>
      </c>
      <c r="AI61" s="78">
        <v>16</v>
      </c>
      <c r="AJ61" s="78">
        <v>17</v>
      </c>
      <c r="AK61" s="78">
        <v>18</v>
      </c>
      <c r="AL61" s="78">
        <v>19</v>
      </c>
      <c r="AM61" s="78">
        <v>20</v>
      </c>
      <c r="AN61" s="78"/>
      <c r="AO61" s="78"/>
      <c r="AP61" s="78"/>
      <c r="AQ61" s="10"/>
    </row>
    <row r="62" spans="1:43" ht="13" x14ac:dyDescent="0.3">
      <c r="A62" s="4" t="s">
        <v>118</v>
      </c>
      <c r="T62" s="10"/>
      <c r="U62" s="10"/>
      <c r="V62" s="10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>
        <v>21</v>
      </c>
      <c r="AH62" s="78">
        <v>22</v>
      </c>
      <c r="AI62" s="78">
        <v>23</v>
      </c>
      <c r="AJ62" s="78">
        <v>24</v>
      </c>
      <c r="AK62" s="78">
        <v>25</v>
      </c>
      <c r="AL62" s="78">
        <v>26</v>
      </c>
      <c r="AM62" s="78">
        <v>27</v>
      </c>
      <c r="AN62" s="78"/>
      <c r="AO62" s="78"/>
      <c r="AP62" s="78"/>
      <c r="AQ62" s="10"/>
    </row>
    <row r="63" spans="1:43" x14ac:dyDescent="0.25">
      <c r="A63" s="3" t="s">
        <v>119</v>
      </c>
      <c r="T63" s="10"/>
      <c r="U63" s="10"/>
      <c r="V63" s="10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>
        <v>28</v>
      </c>
      <c r="AH63" s="78">
        <v>29</v>
      </c>
      <c r="AI63" s="78">
        <v>30</v>
      </c>
      <c r="AJ63" s="78">
        <v>31</v>
      </c>
      <c r="AK63" s="78">
        <v>32</v>
      </c>
      <c r="AL63" s="78">
        <v>33</v>
      </c>
      <c r="AM63" s="78">
        <v>34</v>
      </c>
      <c r="AN63" s="78"/>
      <c r="AO63" s="78"/>
      <c r="AP63" s="78"/>
      <c r="AQ63" s="10"/>
    </row>
    <row r="64" spans="1:43" x14ac:dyDescent="0.25">
      <c r="A64" s="3" t="s">
        <v>120</v>
      </c>
      <c r="T64" s="10"/>
      <c r="U64" s="10"/>
      <c r="V64" s="10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>
        <v>35</v>
      </c>
      <c r="AH64" s="78">
        <v>36</v>
      </c>
      <c r="AI64" s="78">
        <v>37</v>
      </c>
      <c r="AJ64" s="78">
        <v>38</v>
      </c>
      <c r="AK64" s="78">
        <v>39</v>
      </c>
      <c r="AL64" s="78">
        <v>40</v>
      </c>
      <c r="AM64" s="78">
        <v>41</v>
      </c>
      <c r="AN64" s="78"/>
      <c r="AO64" s="78"/>
      <c r="AP64" s="78"/>
      <c r="AQ64" s="10"/>
    </row>
    <row r="65" spans="1:43" x14ac:dyDescent="0.25">
      <c r="T65" s="10"/>
      <c r="U65" s="10"/>
      <c r="V65" s="10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>
        <v>42</v>
      </c>
      <c r="AH65" s="78">
        <v>43</v>
      </c>
      <c r="AI65" s="78">
        <v>44</v>
      </c>
      <c r="AJ65" s="78">
        <v>45</v>
      </c>
      <c r="AK65" s="78">
        <v>46</v>
      </c>
      <c r="AL65" s="78">
        <v>47</v>
      </c>
      <c r="AM65" s="78">
        <v>48</v>
      </c>
      <c r="AN65" s="78"/>
      <c r="AO65" s="78"/>
      <c r="AP65" s="78"/>
      <c r="AQ65" s="10"/>
    </row>
    <row r="66" spans="1:43" ht="13" x14ac:dyDescent="0.3">
      <c r="A66" s="3" t="s">
        <v>121</v>
      </c>
      <c r="B66" s="4"/>
      <c r="T66" s="10"/>
      <c r="U66" s="10"/>
      <c r="V66" s="10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>
        <v>49</v>
      </c>
      <c r="AH66" s="78">
        <v>50</v>
      </c>
      <c r="AI66" s="78">
        <v>51</v>
      </c>
      <c r="AJ66" s="78">
        <v>52</v>
      </c>
      <c r="AK66" s="78">
        <v>53</v>
      </c>
      <c r="AL66" s="78">
        <v>54</v>
      </c>
      <c r="AM66" s="78">
        <v>55</v>
      </c>
      <c r="AN66" s="78"/>
      <c r="AO66" s="78"/>
      <c r="AP66" s="78"/>
      <c r="AQ66" s="10"/>
    </row>
    <row r="67" spans="1:43" ht="13" x14ac:dyDescent="0.3">
      <c r="A67" s="1">
        <v>9</v>
      </c>
      <c r="B67" s="5">
        <f>COUNTIF($E$6:$E$13,"&gt;" &amp; A67)+COUNTIF($J$6:$J$13,"&gt;" &amp; A67)+COUNTIF($O$6:$O$13,"&gt;" &amp; A67)+COUNTIF($T$6:$T$13,"&gt;" &amp; A67)+COUNTIF($Y$6:$Y$13,"&gt;" &amp; A67)+COUNTIF($AD$6:$AD$13,"&gt;" &amp; A67)+COUNTIF($AI$6:$AI$13,"&gt;" &amp; A67)</f>
        <v>0</v>
      </c>
      <c r="C67" s="3" t="s">
        <v>122</v>
      </c>
      <c r="E67" s="3" t="s">
        <v>123</v>
      </c>
      <c r="H67" s="1" t="s">
        <v>124</v>
      </c>
      <c r="L67" s="3" t="s">
        <v>125</v>
      </c>
      <c r="T67" s="10"/>
      <c r="U67" s="10"/>
      <c r="V67" s="10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>
        <v>56</v>
      </c>
      <c r="AH67" s="78">
        <v>57</v>
      </c>
      <c r="AI67" s="78">
        <v>58</v>
      </c>
      <c r="AJ67" s="78">
        <v>59</v>
      </c>
      <c r="AK67" s="78">
        <v>60</v>
      </c>
      <c r="AL67" s="78">
        <v>61</v>
      </c>
      <c r="AM67" s="78">
        <v>62</v>
      </c>
      <c r="AN67" s="78"/>
      <c r="AO67" s="78"/>
      <c r="AP67" s="78"/>
      <c r="AQ67" s="10"/>
    </row>
    <row r="68" spans="1:43" x14ac:dyDescent="0.25">
      <c r="T68" s="10"/>
      <c r="U68" s="10"/>
      <c r="V68" s="10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>
        <v>63</v>
      </c>
      <c r="AH68" s="78">
        <v>64</v>
      </c>
      <c r="AI68" s="78">
        <v>65</v>
      </c>
      <c r="AJ68" s="78">
        <v>66</v>
      </c>
      <c r="AK68" s="78">
        <v>67</v>
      </c>
      <c r="AL68" s="78">
        <v>68</v>
      </c>
      <c r="AM68" s="78">
        <v>69</v>
      </c>
      <c r="AN68" s="78"/>
      <c r="AO68" s="78"/>
      <c r="AP68" s="78"/>
      <c r="AQ68" s="10"/>
    </row>
    <row r="69" spans="1:43" x14ac:dyDescent="0.25">
      <c r="A69" s="3" t="s">
        <v>126</v>
      </c>
      <c r="T69" s="10"/>
      <c r="U69" s="10"/>
      <c r="V69" s="10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>
        <v>70</v>
      </c>
      <c r="AH69" s="78">
        <v>71</v>
      </c>
      <c r="AI69" s="78">
        <v>72</v>
      </c>
      <c r="AJ69" s="78">
        <v>73</v>
      </c>
      <c r="AK69" s="78">
        <v>74</v>
      </c>
      <c r="AL69" s="78">
        <v>75</v>
      </c>
      <c r="AM69" s="78">
        <v>76</v>
      </c>
      <c r="AN69" s="78"/>
      <c r="AO69" s="78"/>
      <c r="AP69" s="78"/>
      <c r="AQ69" s="10"/>
    </row>
    <row r="70" spans="1:43" x14ac:dyDescent="0.25">
      <c r="A70" s="1">
        <v>20</v>
      </c>
      <c r="B70" s="5">
        <f>COUNTIF($AK$6:$AK$13,"&gt;" &amp; A70)</f>
        <v>0</v>
      </c>
      <c r="C70" s="3" t="s">
        <v>127</v>
      </c>
      <c r="E70" s="3" t="s">
        <v>128</v>
      </c>
      <c r="H70" s="1" t="s">
        <v>124</v>
      </c>
      <c r="T70" s="10"/>
      <c r="U70" s="10"/>
      <c r="V70" s="10"/>
      <c r="W70" s="78"/>
      <c r="X70" s="78"/>
      <c r="Y70" s="78"/>
      <c r="Z70" s="78"/>
      <c r="AA70" s="78"/>
      <c r="AB70" s="78"/>
      <c r="AC70" s="78"/>
      <c r="AD70" s="78"/>
      <c r="AE70" s="78"/>
      <c r="AF70" s="78"/>
      <c r="AG70" s="78">
        <v>77</v>
      </c>
      <c r="AH70" s="78">
        <v>78</v>
      </c>
      <c r="AI70" s="78">
        <v>79</v>
      </c>
      <c r="AJ70" s="78">
        <v>80</v>
      </c>
      <c r="AK70" s="78">
        <v>81</v>
      </c>
      <c r="AL70" s="78">
        <v>82</v>
      </c>
      <c r="AM70" s="78">
        <v>83</v>
      </c>
      <c r="AN70" s="78"/>
      <c r="AO70" s="78"/>
      <c r="AP70" s="78"/>
      <c r="AQ70" s="10"/>
    </row>
    <row r="71" spans="1:43" x14ac:dyDescent="0.25">
      <c r="W71" s="78"/>
      <c r="X71" s="78"/>
      <c r="Y71" s="78"/>
      <c r="Z71" s="78"/>
      <c r="AA71" s="78"/>
      <c r="AB71" s="78"/>
      <c r="AC71" s="78"/>
      <c r="AD71" s="78"/>
      <c r="AE71" s="78"/>
      <c r="AF71" s="78"/>
      <c r="AG71" s="78">
        <v>84</v>
      </c>
      <c r="AH71" s="78">
        <v>85</v>
      </c>
      <c r="AI71" s="78">
        <v>86</v>
      </c>
      <c r="AJ71" s="78">
        <v>87</v>
      </c>
      <c r="AK71" s="78">
        <v>88</v>
      </c>
      <c r="AL71" s="78">
        <v>89</v>
      </c>
      <c r="AM71" s="78">
        <v>90</v>
      </c>
      <c r="AN71" s="78"/>
      <c r="AO71" s="78"/>
      <c r="AP71" s="78"/>
    </row>
    <row r="72" spans="1:43" x14ac:dyDescent="0.25"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  <c r="AL72" s="78"/>
      <c r="AM72" s="78"/>
      <c r="AN72" s="78"/>
      <c r="AO72" s="78"/>
      <c r="AP72" s="78"/>
    </row>
    <row r="73" spans="1:43" x14ac:dyDescent="0.25">
      <c r="W73" s="78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8"/>
      <c r="AK73" s="78"/>
      <c r="AL73" s="78"/>
      <c r="AM73" s="78"/>
      <c r="AN73" s="78"/>
      <c r="AO73" s="78"/>
      <c r="AP73" s="78"/>
    </row>
    <row r="74" spans="1:43" x14ac:dyDescent="0.25"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78"/>
      <c r="AO74" s="78"/>
      <c r="AP74" s="78"/>
    </row>
    <row r="75" spans="1:43" x14ac:dyDescent="0.25"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  <c r="AK75" s="78"/>
      <c r="AL75" s="78"/>
      <c r="AM75" s="78"/>
      <c r="AN75" s="78"/>
      <c r="AO75" s="78"/>
      <c r="AP75" s="78"/>
    </row>
    <row r="76" spans="1:43" x14ac:dyDescent="0.25">
      <c r="W76" s="78"/>
      <c r="X76" s="78"/>
      <c r="Y76" s="78"/>
      <c r="Z76" s="78"/>
      <c r="AA76" s="78"/>
      <c r="AB76" s="78"/>
      <c r="AC76" s="78"/>
      <c r="AD76" s="78"/>
      <c r="AE76" s="78"/>
      <c r="AF76" s="78"/>
      <c r="AG76" s="78"/>
      <c r="AH76" s="78"/>
      <c r="AI76" s="78"/>
      <c r="AJ76" s="78"/>
      <c r="AK76" s="78"/>
      <c r="AL76" s="78"/>
      <c r="AM76" s="78"/>
      <c r="AN76" s="78"/>
      <c r="AO76" s="78"/>
      <c r="AP76" s="78"/>
    </row>
    <row r="77" spans="1:43" x14ac:dyDescent="0.25"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78"/>
      <c r="AK77" s="78"/>
      <c r="AL77" s="78"/>
      <c r="AM77" s="78"/>
      <c r="AN77" s="78"/>
      <c r="AO77" s="78"/>
      <c r="AP77" s="78"/>
    </row>
    <row r="78" spans="1:43" x14ac:dyDescent="0.25">
      <c r="W78" s="78"/>
      <c r="X78" s="78"/>
      <c r="Y78" s="78"/>
      <c r="Z78" s="78"/>
      <c r="AA78" s="78"/>
      <c r="AB78" s="78"/>
      <c r="AC78" s="78"/>
      <c r="AD78" s="78"/>
      <c r="AE78" s="78"/>
      <c r="AF78" s="78"/>
      <c r="AG78" s="78"/>
      <c r="AH78" s="78"/>
      <c r="AI78" s="78"/>
      <c r="AJ78" s="78"/>
      <c r="AK78" s="78"/>
      <c r="AL78" s="78"/>
      <c r="AM78" s="78"/>
      <c r="AN78" s="78"/>
      <c r="AO78" s="78"/>
      <c r="AP78" s="78"/>
    </row>
    <row r="79" spans="1:43" x14ac:dyDescent="0.25">
      <c r="W79" s="78"/>
      <c r="X79" s="78"/>
      <c r="Y79" s="78"/>
      <c r="Z79" s="78"/>
      <c r="AA79" s="78"/>
      <c r="AB79" s="78"/>
      <c r="AC79" s="78"/>
      <c r="AD79" s="78"/>
      <c r="AE79" s="78"/>
      <c r="AF79" s="78"/>
      <c r="AG79" s="78"/>
      <c r="AH79" s="78"/>
      <c r="AI79" s="78"/>
      <c r="AJ79" s="78"/>
      <c r="AK79" s="78"/>
      <c r="AL79" s="78"/>
      <c r="AM79" s="78"/>
      <c r="AN79" s="78"/>
      <c r="AO79" s="78"/>
      <c r="AP79" s="78"/>
    </row>
    <row r="80" spans="1:43" x14ac:dyDescent="0.25">
      <c r="W80" s="78"/>
      <c r="X80" s="78"/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  <c r="AJ80" s="78"/>
      <c r="AK80" s="78"/>
      <c r="AL80" s="78"/>
      <c r="AM80" s="78"/>
      <c r="AN80" s="78"/>
      <c r="AO80" s="78"/>
      <c r="AP80" s="78"/>
    </row>
    <row r="81" spans="1:42" x14ac:dyDescent="0.25"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  <c r="AJ81" s="78"/>
      <c r="AK81" s="78"/>
      <c r="AL81" s="78"/>
      <c r="AM81" s="78"/>
      <c r="AN81" s="78"/>
      <c r="AO81" s="78"/>
      <c r="AP81" s="78"/>
    </row>
    <row r="82" spans="1:42" x14ac:dyDescent="0.25"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8"/>
      <c r="AH82" s="78"/>
      <c r="AI82" s="78"/>
      <c r="AJ82" s="78"/>
      <c r="AK82" s="78"/>
      <c r="AL82" s="78"/>
      <c r="AM82" s="78"/>
      <c r="AN82" s="78"/>
      <c r="AO82" s="78"/>
      <c r="AP82" s="78"/>
    </row>
    <row r="83" spans="1:42" x14ac:dyDescent="0.25"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</row>
    <row r="84" spans="1:42" x14ac:dyDescent="0.25"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</row>
    <row r="85" spans="1:42" x14ac:dyDescent="0.25"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</row>
    <row r="86" spans="1:42" x14ac:dyDescent="0.25"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8"/>
      <c r="AO86" s="78"/>
      <c r="AP86" s="78"/>
    </row>
    <row r="87" spans="1:42" x14ac:dyDescent="0.25"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  <c r="AN87" s="78"/>
      <c r="AO87" s="78"/>
      <c r="AP87" s="78"/>
    </row>
    <row r="95" spans="1:42" ht="13" x14ac:dyDescent="0.3">
      <c r="A95" s="4"/>
    </row>
  </sheetData>
  <sheetProtection algorithmName="SHA-512" hashValue="UwuQUXmpyfStKSqN1p1JjVv1cAWEOzHNPG9tkmmQKrrDFqM5XLZWbpldrIg+RdIrOrOhJwBOK1/3KmFx7T4BOg==" saltValue="NjuXicbB85BEPdoD4TUPnQ==" spinCount="100000" sheet="1" objects="1" scenarios="1"/>
  <mergeCells count="27">
    <mergeCell ref="A1:C1"/>
    <mergeCell ref="H1:L1"/>
    <mergeCell ref="A2:C2"/>
    <mergeCell ref="A3:C3"/>
    <mergeCell ref="B4:F4"/>
    <mergeCell ref="G4:J4"/>
    <mergeCell ref="L4:O4"/>
    <mergeCell ref="I2:J2"/>
    <mergeCell ref="Q4:T4"/>
    <mergeCell ref="V4:Y4"/>
    <mergeCell ref="AA4:AD4"/>
    <mergeCell ref="AF4:AI4"/>
    <mergeCell ref="AG39:AK39"/>
    <mergeCell ref="A28:C28"/>
    <mergeCell ref="A29:C29"/>
    <mergeCell ref="A30:C30"/>
    <mergeCell ref="D32:E32"/>
    <mergeCell ref="H32:I32"/>
    <mergeCell ref="A37:C37"/>
    <mergeCell ref="D31:E31"/>
    <mergeCell ref="H31:I31"/>
    <mergeCell ref="A36:E36"/>
    <mergeCell ref="N32:O32"/>
    <mergeCell ref="A33:C33"/>
    <mergeCell ref="G33:H33"/>
    <mergeCell ref="A34:B34"/>
    <mergeCell ref="N31:O31"/>
  </mergeCells>
  <conditionalFormatting sqref="A6:A17">
    <cfRule type="cellIs" dxfId="751" priority="363" operator="equal">
      <formula>0</formula>
    </cfRule>
  </conditionalFormatting>
  <conditionalFormatting sqref="A37">
    <cfRule type="cellIs" dxfId="750" priority="243" operator="notEqual">
      <formula>$E$2</formula>
    </cfRule>
    <cfRule type="cellIs" dxfId="749" priority="244" operator="equal">
      <formula>$E$2</formula>
    </cfRule>
  </conditionalFormatting>
  <conditionalFormatting sqref="A32:D32 F32:H32 C34">
    <cfRule type="cellIs" dxfId="748" priority="241" operator="notEqual">
      <formula>$E$3</formula>
    </cfRule>
    <cfRule type="cellIs" dxfId="747" priority="242" operator="equal">
      <formula>$E$3</formula>
    </cfRule>
  </conditionalFormatting>
  <conditionalFormatting sqref="B6:D17">
    <cfRule type="expression" dxfId="746" priority="112">
      <formula>$A6=0</formula>
    </cfRule>
  </conditionalFormatting>
  <conditionalFormatting sqref="E6:E17">
    <cfRule type="expression" dxfId="745" priority="116">
      <formula>AND($H$67="ja",E6&gt;$A$67)</formula>
    </cfRule>
    <cfRule type="cellIs" dxfId="744" priority="117" operator="greaterThanOrEqual">
      <formula>0</formula>
    </cfRule>
  </conditionalFormatting>
  <conditionalFormatting sqref="F6:F17">
    <cfRule type="cellIs" dxfId="743" priority="31" operator="lessThan">
      <formula>$A$45</formula>
    </cfRule>
    <cfRule type="cellIs" dxfId="742" priority="32" operator="equal">
      <formula>0</formula>
    </cfRule>
    <cfRule type="cellIs" dxfId="741" priority="33" operator="notEqual">
      <formula>0</formula>
    </cfRule>
  </conditionalFormatting>
  <conditionalFormatting sqref="G6:I17">
    <cfRule type="expression" dxfId="740" priority="52">
      <formula>$A6=0</formula>
    </cfRule>
  </conditionalFormatting>
  <conditionalFormatting sqref="J6:J17">
    <cfRule type="expression" dxfId="739" priority="104">
      <formula>AND($H$67="ja",J6&gt;$A$67)</formula>
    </cfRule>
    <cfRule type="cellIs" dxfId="738" priority="105" operator="greaterThanOrEqual">
      <formula>0</formula>
    </cfRule>
  </conditionalFormatting>
  <conditionalFormatting sqref="J32:N32">
    <cfRule type="cellIs" dxfId="737" priority="239" operator="notEqual">
      <formula>$E$3</formula>
    </cfRule>
    <cfRule type="cellIs" dxfId="736" priority="240" operator="equal">
      <formula>$E$3</formula>
    </cfRule>
  </conditionalFormatting>
  <conditionalFormatting sqref="K6:K17">
    <cfRule type="cellIs" dxfId="735" priority="28" operator="lessThan">
      <formula>$A$45</formula>
    </cfRule>
    <cfRule type="cellIs" dxfId="734" priority="29" operator="equal">
      <formula>0</formula>
    </cfRule>
    <cfRule type="cellIs" dxfId="733" priority="30" operator="notEqual">
      <formula>0</formula>
    </cfRule>
  </conditionalFormatting>
  <conditionalFormatting sqref="L6:N17">
    <cfRule type="expression" dxfId="732" priority="48">
      <formula>$A6=0</formula>
    </cfRule>
  </conditionalFormatting>
  <conditionalFormatting sqref="O6:O17">
    <cfRule type="cellIs" dxfId="731" priority="97" operator="greaterThanOrEqual">
      <formula>0</formula>
    </cfRule>
    <cfRule type="expression" dxfId="730" priority="96">
      <formula>AND($H$67="ja",O6&gt;$A$67)</formula>
    </cfRule>
  </conditionalFormatting>
  <conditionalFormatting sqref="P6:P17">
    <cfRule type="cellIs" dxfId="729" priority="22" operator="lessThan">
      <formula>$A$45</formula>
    </cfRule>
    <cfRule type="cellIs" dxfId="728" priority="23" operator="equal">
      <formula>0</formula>
    </cfRule>
    <cfRule type="cellIs" dxfId="727" priority="24" operator="notEqual">
      <formula>0</formula>
    </cfRule>
  </conditionalFormatting>
  <conditionalFormatting sqref="Q6:S17">
    <cfRule type="expression" dxfId="726" priority="47">
      <formula>$A6=0</formula>
    </cfRule>
  </conditionalFormatting>
  <conditionalFormatting sqref="T6:T17">
    <cfRule type="cellIs" dxfId="725" priority="89" operator="greaterThanOrEqual">
      <formula>0</formula>
    </cfRule>
    <cfRule type="expression" dxfId="724" priority="88">
      <formula>AND($H$67="ja",T6&gt;$A$67)</formula>
    </cfRule>
  </conditionalFormatting>
  <conditionalFormatting sqref="U6:U17">
    <cfRule type="cellIs" dxfId="723" priority="17" operator="equal">
      <formula>0</formula>
    </cfRule>
    <cfRule type="cellIs" dxfId="722" priority="16" operator="lessThan">
      <formula>$A$45</formula>
    </cfRule>
    <cfRule type="cellIs" dxfId="721" priority="18" operator="notEqual">
      <formula>0</formula>
    </cfRule>
  </conditionalFormatting>
  <conditionalFormatting sqref="V6:X17">
    <cfRule type="expression" dxfId="720" priority="46">
      <formula>$A6=0</formula>
    </cfRule>
  </conditionalFormatting>
  <conditionalFormatting sqref="Y6:Y17 AD6:AD17 AI6:AI17">
    <cfRule type="expression" dxfId="719" priority="59">
      <formula>AND($H$67="ja",Y6&gt;$A$67)</formula>
    </cfRule>
    <cfRule type="cellIs" dxfId="718" priority="60" operator="greaterThanOrEqual">
      <formula>0</formula>
    </cfRule>
  </conditionalFormatting>
  <conditionalFormatting sqref="Z6:Z17">
    <cfRule type="cellIs" dxfId="717" priority="11" operator="equal">
      <formula>0</formula>
    </cfRule>
    <cfRule type="cellIs" dxfId="716" priority="10" operator="lessThan">
      <formula>$A$45</formula>
    </cfRule>
    <cfRule type="cellIs" dxfId="715" priority="12" operator="notEqual">
      <formula>0</formula>
    </cfRule>
  </conditionalFormatting>
  <conditionalFormatting sqref="AA6:AC17">
    <cfRule type="expression" dxfId="714" priority="43">
      <formula>$A6=0</formula>
    </cfRule>
  </conditionalFormatting>
  <conditionalFormatting sqref="AE6:AE17">
    <cfRule type="cellIs" dxfId="713" priority="5" operator="equal">
      <formula>0</formula>
    </cfRule>
    <cfRule type="cellIs" dxfId="712" priority="4" operator="lessThan">
      <formula>$A$45</formula>
    </cfRule>
    <cfRule type="cellIs" dxfId="711" priority="6" operator="notEqual">
      <formula>0</formula>
    </cfRule>
  </conditionalFormatting>
  <conditionalFormatting sqref="AF6:AH17">
    <cfRule type="expression" dxfId="710" priority="34">
      <formula>$A6=0</formula>
    </cfRule>
  </conditionalFormatting>
  <conditionalFormatting sqref="AJ6:AJ17">
    <cfRule type="cellIs" dxfId="709" priority="3" operator="notEqual">
      <formula>0</formula>
    </cfRule>
    <cfRule type="cellIs" dxfId="708" priority="2" operator="equal">
      <formula>0</formula>
    </cfRule>
    <cfRule type="cellIs" dxfId="707" priority="1" operator="lessThan">
      <formula>$A$45</formula>
    </cfRule>
  </conditionalFormatting>
  <conditionalFormatting sqref="AK6:AK17">
    <cfRule type="expression" dxfId="706" priority="58">
      <formula>AND($H$70="ja",AK6&gt;$A$70)</formula>
    </cfRule>
    <cfRule type="cellIs" dxfId="705" priority="61" operator="greaterThanOrEqual">
      <formula>0</formula>
    </cfRule>
  </conditionalFormatting>
  <dataValidations count="1">
    <dataValidation type="list" allowBlank="1" showInputMessage="1" showErrorMessage="1" sqref="H67 H70" xr:uid="{00000000-0002-0000-0B00-000000000000}">
      <formula1>Ja_og_nei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5"/>
  <dimension ref="A1:AQ95"/>
  <sheetViews>
    <sheetView zoomScale="85" zoomScaleNormal="85" workbookViewId="0">
      <pane ySplit="24" topLeftCell="A25" activePane="bottomLeft" state="frozen"/>
      <selection pane="bottomLeft" activeCell="B11" sqref="B11"/>
    </sheetView>
  </sheetViews>
  <sheetFormatPr defaultColWidth="9.08984375" defaultRowHeight="12.5" x14ac:dyDescent="0.25"/>
  <cols>
    <col min="1" max="1" width="10.7265625" style="3" customWidth="1"/>
    <col min="2" max="2" width="7.6328125" style="3" customWidth="1"/>
    <col min="3" max="3" width="7.81640625" style="3" customWidth="1"/>
    <col min="4" max="4" width="4.36328125" style="3" bestFit="1" customWidth="1"/>
    <col min="5" max="6" width="10" style="3" customWidth="1"/>
    <col min="7" max="7" width="7" style="3" customWidth="1"/>
    <col min="8" max="8" width="7.6328125" style="3" customWidth="1"/>
    <col min="9" max="9" width="4.36328125" style="3" bestFit="1" customWidth="1"/>
    <col min="10" max="11" width="10" style="3" customWidth="1"/>
    <col min="12" max="12" width="7.26953125" style="3" customWidth="1"/>
    <col min="13" max="13" width="7.7265625" style="3" customWidth="1"/>
    <col min="14" max="14" width="4.36328125" style="3" bestFit="1" customWidth="1"/>
    <col min="15" max="15" width="10.08984375" style="3" bestFit="1" customWidth="1"/>
    <col min="16" max="16" width="10.08984375" style="3" customWidth="1"/>
    <col min="17" max="17" width="7.6328125" style="3" customWidth="1"/>
    <col min="18" max="18" width="7.7265625" style="3" customWidth="1"/>
    <col min="19" max="19" width="4.36328125" style="3" bestFit="1" customWidth="1"/>
    <col min="20" max="20" width="10.08984375" style="3" bestFit="1" customWidth="1"/>
    <col min="21" max="21" width="10.08984375" style="3" customWidth="1"/>
    <col min="22" max="22" width="8.36328125" style="3" customWidth="1"/>
    <col min="23" max="23" width="8.81640625" style="3" customWidth="1"/>
    <col min="24" max="24" width="4.36328125" style="3" bestFit="1" customWidth="1"/>
    <col min="25" max="26" width="10" style="3" customWidth="1"/>
    <col min="27" max="28" width="7.81640625" style="3" customWidth="1"/>
    <col min="29" max="29" width="4.36328125" style="3" bestFit="1" customWidth="1"/>
    <col min="30" max="31" width="9.7265625" style="3" customWidth="1"/>
    <col min="32" max="32" width="6.81640625" style="3" customWidth="1"/>
    <col min="33" max="33" width="7.6328125" style="3" customWidth="1"/>
    <col min="34" max="34" width="4.36328125" style="3" bestFit="1" customWidth="1"/>
    <col min="35" max="36" width="9.6328125" style="3" customWidth="1"/>
    <col min="37" max="37" width="15.6328125" style="3" bestFit="1" customWidth="1"/>
    <col min="38" max="16384" width="9.08984375" style="3"/>
  </cols>
  <sheetData>
    <row r="1" spans="1:39" ht="13" x14ac:dyDescent="0.3">
      <c r="A1" s="98" t="s">
        <v>66</v>
      </c>
      <c r="B1" s="98"/>
      <c r="C1" s="98"/>
      <c r="D1" s="88"/>
      <c r="E1" s="5" t="str">
        <f>Vaktplan!G38</f>
        <v>mandag</v>
      </c>
      <c r="H1" s="98" t="s">
        <v>67</v>
      </c>
      <c r="I1" s="98"/>
      <c r="J1" s="98"/>
      <c r="K1" s="98"/>
      <c r="L1" s="98"/>
      <c r="M1" s="5">
        <f>Vaktplan!AJ51</f>
        <v>12</v>
      </c>
    </row>
    <row r="2" spans="1:39" ht="13" x14ac:dyDescent="0.3">
      <c r="A2" s="98" t="s">
        <v>36</v>
      </c>
      <c r="B2" s="98"/>
      <c r="C2" s="98"/>
      <c r="D2" s="88"/>
      <c r="E2" s="8">
        <f>Vaktplan!AM51</f>
        <v>0</v>
      </c>
      <c r="I2" s="106"/>
      <c r="J2" s="106"/>
    </row>
    <row r="3" spans="1:39" ht="13" x14ac:dyDescent="0.3">
      <c r="A3" s="98" t="s">
        <v>68</v>
      </c>
      <c r="B3" s="98"/>
      <c r="C3" s="98"/>
      <c r="D3" s="88"/>
      <c r="E3" s="5">
        <f>Vaktplan!AQ51</f>
        <v>0</v>
      </c>
      <c r="F3" s="4" t="s">
        <v>69</v>
      </c>
    </row>
    <row r="4" spans="1:39" ht="13" x14ac:dyDescent="0.3">
      <c r="A4" s="89" t="s">
        <v>70</v>
      </c>
      <c r="B4" s="103" t="str">
        <f>TEXT(AG39,"DDDD")</f>
        <v>Monday</v>
      </c>
      <c r="C4" s="104"/>
      <c r="D4" s="104"/>
      <c r="E4" s="104"/>
      <c r="F4" s="105"/>
      <c r="G4" s="102" t="str">
        <f>TEXT($AG$39+1,"DDDD")</f>
        <v>Tuesday</v>
      </c>
      <c r="H4" s="102"/>
      <c r="I4" s="102"/>
      <c r="J4" s="102"/>
      <c r="K4" s="89"/>
      <c r="L4" s="102" t="str">
        <f>TEXT($AG$39+2,"DDDD")</f>
        <v>Wednesday</v>
      </c>
      <c r="M4" s="102"/>
      <c r="N4" s="102"/>
      <c r="O4" s="102"/>
      <c r="P4" s="89"/>
      <c r="Q4" s="102" t="str">
        <f>TEXT($AG$39+3,"DDDD")</f>
        <v>Thursday</v>
      </c>
      <c r="R4" s="102"/>
      <c r="S4" s="102"/>
      <c r="T4" s="102"/>
      <c r="U4" s="89"/>
      <c r="V4" s="102" t="str">
        <f>TEXT($AG$39+4,"DDDD")</f>
        <v>Friday</v>
      </c>
      <c r="W4" s="102"/>
      <c r="X4" s="102"/>
      <c r="Y4" s="102"/>
      <c r="Z4" s="89"/>
      <c r="AA4" s="102" t="str">
        <f>TEXT($AG$39+5,"DDDD")</f>
        <v>Saturday</v>
      </c>
      <c r="AB4" s="102"/>
      <c r="AC4" s="102"/>
      <c r="AD4" s="102"/>
      <c r="AE4" s="89"/>
      <c r="AF4" s="102" t="str">
        <f>TEXT($AG$39+6,"DDDD")</f>
        <v>Sunday</v>
      </c>
      <c r="AG4" s="102"/>
      <c r="AH4" s="102"/>
      <c r="AI4" s="102"/>
      <c r="AJ4" s="89"/>
      <c r="AK4" s="7" t="s">
        <v>71</v>
      </c>
      <c r="AL4" s="91"/>
    </row>
    <row r="5" spans="1:39" x14ac:dyDescent="0.25">
      <c r="A5" s="6"/>
      <c r="B5" s="6" t="s">
        <v>72</v>
      </c>
      <c r="C5" s="6" t="s">
        <v>73</v>
      </c>
      <c r="D5" s="6" t="s">
        <v>55</v>
      </c>
      <c r="E5" s="6" t="s">
        <v>74</v>
      </c>
      <c r="F5" s="6" t="s">
        <v>75</v>
      </c>
      <c r="G5" s="6" t="s">
        <v>72</v>
      </c>
      <c r="H5" s="6" t="s">
        <v>73</v>
      </c>
      <c r="I5" s="6" t="s">
        <v>55</v>
      </c>
      <c r="J5" s="6" t="s">
        <v>74</v>
      </c>
      <c r="K5" s="6" t="s">
        <v>75</v>
      </c>
      <c r="L5" s="6" t="s">
        <v>72</v>
      </c>
      <c r="M5" s="6" t="s">
        <v>73</v>
      </c>
      <c r="N5" s="6" t="s">
        <v>55</v>
      </c>
      <c r="O5" s="6" t="s">
        <v>74</v>
      </c>
      <c r="P5" s="6" t="s">
        <v>75</v>
      </c>
      <c r="Q5" s="6" t="s">
        <v>72</v>
      </c>
      <c r="R5" s="6" t="s">
        <v>73</v>
      </c>
      <c r="S5" s="6" t="s">
        <v>55</v>
      </c>
      <c r="T5" s="6" t="s">
        <v>74</v>
      </c>
      <c r="U5" s="6" t="s">
        <v>75</v>
      </c>
      <c r="V5" s="6" t="s">
        <v>72</v>
      </c>
      <c r="W5" s="6" t="s">
        <v>73</v>
      </c>
      <c r="X5" s="6" t="s">
        <v>55</v>
      </c>
      <c r="Y5" s="6" t="s">
        <v>74</v>
      </c>
      <c r="Z5" s="6" t="s">
        <v>75</v>
      </c>
      <c r="AA5" s="6" t="s">
        <v>72</v>
      </c>
      <c r="AB5" s="6" t="s">
        <v>73</v>
      </c>
      <c r="AC5" s="6" t="s">
        <v>55</v>
      </c>
      <c r="AD5" s="6" t="s">
        <v>74</v>
      </c>
      <c r="AE5" s="6" t="s">
        <v>75</v>
      </c>
      <c r="AF5" s="6" t="s">
        <v>72</v>
      </c>
      <c r="AG5" s="6" t="s">
        <v>73</v>
      </c>
      <c r="AH5" s="6" t="s">
        <v>55</v>
      </c>
      <c r="AI5" s="6" t="s">
        <v>74</v>
      </c>
      <c r="AJ5" s="6" t="s">
        <v>75</v>
      </c>
      <c r="AK5" s="6"/>
      <c r="AL5" s="91"/>
    </row>
    <row r="6" spans="1:39" ht="13" x14ac:dyDescent="0.25">
      <c r="A6" s="7">
        <f>IF(M1&gt;=1,1,0)</f>
        <v>1</v>
      </c>
      <c r="B6" s="77">
        <f>IFERROR(VLOOKUP(Vaktplan!$A$51,Vaktplan!$A$4:$CL$35,87-AH59,FALSE),0)</f>
        <v>0</v>
      </c>
      <c r="C6" s="77">
        <f>IFERROR(VLOOKUP(Vaktplan!$A$51,Vaktplan!$A$4:$CL$35,87-AG59,FALSE),0)</f>
        <v>0</v>
      </c>
      <c r="D6" s="9">
        <f>IFERROR(VLOOKUP(Vaktplan!$A$51,Vaktplan!$A$4:$CL$35,89-AG59,FALSE),0)</f>
        <v>0</v>
      </c>
      <c r="E6" s="9">
        <f>IF(AND(B6=0,C6=0),0,IF(B6&lt;C6,((C6-B6)*24)-D6,(((1-B6)+C6)*24)-D6))</f>
        <v>0</v>
      </c>
      <c r="F6" s="9">
        <f>IF(AND(C6=0,G6=0),24,IF(C6=0,12+(G6*24),IF(C6&lt;G6,((G6-C6)*24),IF(G6=0,(1-C6+0.5)*24,((1-C6)+G6)*24))))</f>
        <v>24</v>
      </c>
      <c r="G6" s="77">
        <f>IFERROR(VLOOKUP(Vaktplan!$A$51,Vaktplan!$B$4:$CL$35,86-AH59,FALSE),0)</f>
        <v>0</v>
      </c>
      <c r="H6" s="77">
        <f>IFERROR(VLOOKUP(Vaktplan!$A$51,Vaktplan!$B$4:$CL$35,86-AG59,FALSE),0)</f>
        <v>0</v>
      </c>
      <c r="I6" s="9">
        <f>IFERROR(VLOOKUP(Vaktplan!$A$51,Vaktplan!$B$4:$CL$35,89-$AH59,FALSE),0)</f>
        <v>0</v>
      </c>
      <c r="J6" s="9">
        <f>IF(AND(G6=0,H6=0),0,IF(G6&lt;H6,((H6-G6)*24)-I6,(((1-G6)+H6)*24)-I6))</f>
        <v>0</v>
      </c>
      <c r="K6" s="9">
        <f>IF(AND(H6=0,L6=0),24,IF(H6=0,12+(L6*24),IF(H6&lt;L6,((L6-H6)*24),IF(L6=0,(1-H6+0.5)*24,((1-H6)+L6)*24))))</f>
        <v>24</v>
      </c>
      <c r="L6" s="77">
        <f>IFERROR(VLOOKUP(Vaktplan!$A$51,Vaktplan!$C$4:$CL$35,86-AI59,FALSE),0)</f>
        <v>0</v>
      </c>
      <c r="M6" s="77">
        <f>IFERROR(VLOOKUP(Vaktplan!$A$51,Vaktplan!$C$4:$CL$35,86-AH59,FALSE),0)</f>
        <v>0</v>
      </c>
      <c r="N6" s="9">
        <f>IFERROR(VLOOKUP(Vaktplan!$A$51,Vaktplan!$C$4:$CL$35,89-$AI59,FALSE),0)</f>
        <v>0</v>
      </c>
      <c r="O6" s="9">
        <f>IF(AND(L6=0,M6=0),0,IF(L6&lt;M6,((M6-L6)*24)-N6,(((1-L6)+M6)*24)-N6))</f>
        <v>0</v>
      </c>
      <c r="P6" s="9">
        <f>IF(AND(M6=0,Q6=0),24,IF(M6=0,12+(Q6*24),IF(M6&lt;Q6,((Q6-M6)*24),IF(Q6=0,(1-M6+0.5)*24,((1-M6)+Q6)*24))))</f>
        <v>24</v>
      </c>
      <c r="Q6" s="77">
        <f>IFERROR(VLOOKUP(Vaktplan!$A$51,Vaktplan!$D$4:$CL$35,86-AJ59,FALSE),0)</f>
        <v>0</v>
      </c>
      <c r="R6" s="77">
        <f>IFERROR(VLOOKUP(Vaktplan!$A$51,Vaktplan!$D$4:$CL$35,86-AI59,FALSE),0)</f>
        <v>0</v>
      </c>
      <c r="S6" s="9">
        <f>IFERROR(VLOOKUP(Vaktplan!$A$51,Vaktplan!$D$4:$CL$35,89-$AJ59,FALSE),0)</f>
        <v>0</v>
      </c>
      <c r="T6" s="9">
        <f t="shared" ref="T6:T17" si="0">IF(AND(Q6=0,R6=0),0,IF(Q6&lt;R6,((R6-Q6)*24)-S6,(((1-Q6)+R6)*24)-S6))</f>
        <v>0</v>
      </c>
      <c r="U6" s="9">
        <f>IF(AND(R6=0,V6=0),24,IF(R6=0,12+(V6*24),IF(R6&lt;V6,((V6-R6)*24),IF(V6=0,(1-R6+0.5)*24,((1-R6)+V6)*24))))</f>
        <v>24</v>
      </c>
      <c r="V6" s="77">
        <f>IFERROR(VLOOKUP(Vaktplan!$A$51,Vaktplan!$E$4:$CL$35,86-AK59,FALSE),0)</f>
        <v>0</v>
      </c>
      <c r="W6" s="77">
        <f>IFERROR(VLOOKUP(Vaktplan!$A$51,Vaktplan!$E$4:$CL$35,86-AJ59,FALSE),0)</f>
        <v>0</v>
      </c>
      <c r="X6" s="9">
        <f>IFERROR(VLOOKUP(Vaktplan!$A$51,Vaktplan!$E$4:$CL$35,89-$AK59,FALSE),0)</f>
        <v>0</v>
      </c>
      <c r="Y6" s="9">
        <f>IF(AND(V6=0,W6=0),0,IF(V6&lt;W6,((W6-V6)*24)-X6,(((1-V6)+W6)*24)-X6))</f>
        <v>0</v>
      </c>
      <c r="Z6" s="9">
        <f>IF(AND(W6=0,AA6=0),24,IF(W6=0,12+(AA6*24),IF(W6&lt;AA6,((AA6-W6)*24),IF(AA6=0,(1-W6+0.5)*24,((1-W6)+AA6)*24))))</f>
        <v>24</v>
      </c>
      <c r="AA6" s="77">
        <f>IFERROR(VLOOKUP(Vaktplan!$A$51,Vaktplan!$F$4:$CL$35,86-AL59,FALSE),0)</f>
        <v>0</v>
      </c>
      <c r="AB6" s="77">
        <f>IFERROR(VLOOKUP(Vaktplan!$A$51,Vaktplan!$F$4:$CL$35,86-AK59,FALSE),0)</f>
        <v>0</v>
      </c>
      <c r="AC6" s="9">
        <f>IFERROR(VLOOKUP(Vaktplan!$A$51,Vaktplan!$F$4:$CL$35,89-$AL59,FALSE),0)</f>
        <v>0</v>
      </c>
      <c r="AD6" s="9">
        <f>IF(AND(AA6=0,AB6=0),0,IF(AA6&lt;AB6,((AB6-AA6)*24)-AC6,(((1-AA6)+AB6)*24)-AC6))</f>
        <v>0</v>
      </c>
      <c r="AE6" s="9">
        <f>IF(AND(AB6=0,AF6=0),24,IF(AB6=0,12+(AF6*24),IF(AB6&lt;AF6,((AF6-AB6)*24),IF(AF6=0,(1-AB6+0.5)*24,((1-AB6)+AF6)*24))))</f>
        <v>24</v>
      </c>
      <c r="AF6" s="77">
        <f>IFERROR(VLOOKUP(Vaktplan!$A$51,Vaktplan!$G$4:$CL$35,86-AM59,FALSE),0)</f>
        <v>0</v>
      </c>
      <c r="AG6" s="77">
        <f>IFERROR(VLOOKUP(Vaktplan!$A$51,Vaktplan!$G$4:$CL$35,86-AL59,FALSE),0)</f>
        <v>0</v>
      </c>
      <c r="AH6" s="9">
        <f>IFERROR(VLOOKUP(Vaktplan!$A$51,Vaktplan!$G$4:$CL$35,89-$AM59,FALSE),0)</f>
        <v>0</v>
      </c>
      <c r="AI6" s="9">
        <f>IF(AND(AF6=0,AG6=0),0,IF(AF6&lt;AG6,((AG6-AF6)*24)-AH6,(((1-AF6)+AG6)*24)-AH6))</f>
        <v>0</v>
      </c>
      <c r="AJ6" s="9">
        <f>IF($M$1=AL28,IF(AND(AG6=0,B6=0),24,IF(AG6=0,12+($B$6*24),IF(AG6&lt;$B$6,(($B$6-AG6)*24),IF($B$6=0,(1-AG6+1)*24,((1-AG6)+$B$6)*24)))),IF(AND(AG6=0,B7=0),24,IF(AG6=0,12+(B7*24),IF(AG6&lt;B7,((B7-AG6)*24),IF(B7=0,(1-AG6+1)*24,((1-AG6)+B7)*24)))))</f>
        <v>24</v>
      </c>
      <c r="AK6" s="9">
        <f t="shared" ref="AK6:AK17" si="1">E6+J6+O6+T6+Y6+AD6+AI6</f>
        <v>0</v>
      </c>
      <c r="AL6" s="92">
        <f>AJ6</f>
        <v>24</v>
      </c>
      <c r="AM6" s="10">
        <f>AK6</f>
        <v>0</v>
      </c>
    </row>
    <row r="7" spans="1:39" ht="13" x14ac:dyDescent="0.25">
      <c r="A7" s="7">
        <f>IF($M$1&gt;=2,2,0)</f>
        <v>2</v>
      </c>
      <c r="B7" s="77">
        <f>IFERROR(VLOOKUP(Vaktplan!$A$51,Vaktplan!$H$4:$CL$35,87-AH60,FALSE),0)</f>
        <v>0</v>
      </c>
      <c r="C7" s="77">
        <f>IFERROR(VLOOKUP(Vaktplan!$A$51,Vaktplan!$H$4:$CL$35,87-AG60,FALSE),0)</f>
        <v>0</v>
      </c>
      <c r="D7" s="9">
        <f>IFERROR(VLOOKUP(Vaktplan!$A$51,Vaktplan!$H$4:$CL$35,89-AG60,FALSE),0)</f>
        <v>0</v>
      </c>
      <c r="E7" s="9">
        <f>IF(AND(B7=0,C7=0),0,IF(B7&lt;C7,((C7-B7)*24)-D7,(((1-B7)+C7)*24)-D7))</f>
        <v>0</v>
      </c>
      <c r="F7" s="9">
        <f t="shared" ref="F7:F17" si="2">IF(AND(C7=0,G7=0),24,IF(C7=0,12+(G7*24),IF(C7&lt;G7,((G7-C7)*24),IF(G7=0,(1-C7+0.5)*24,((1-C7)+G7)*24))))</f>
        <v>24</v>
      </c>
      <c r="G7" s="77">
        <f>IFERROR(VLOOKUP(Vaktplan!$A$51,Vaktplan!$I$4:$CL$35,86-AH60,FALSE),0)</f>
        <v>0</v>
      </c>
      <c r="H7" s="77">
        <f>IFERROR(VLOOKUP(Vaktplan!$A$51,Vaktplan!$I$4:$CL$35,86-AG60,FALSE),0)</f>
        <v>0</v>
      </c>
      <c r="I7" s="9">
        <f>IFERROR(VLOOKUP(Vaktplan!$A$51,Vaktplan!$I$4:$CL$35,89-$AH60,FALSE),0)</f>
        <v>0</v>
      </c>
      <c r="J7" s="9">
        <f t="shared" ref="J7:J17" si="3">IF(AND(G7=0,H7=0),0,IF(G7&lt;H7,((H7-G7)*24)-I7,(((1-G7)+H7)*24)-I7))</f>
        <v>0</v>
      </c>
      <c r="K7" s="9">
        <f t="shared" ref="K7:K17" si="4">IF(AND(H7=0,L7=0),24,IF(H7=0,12+(L7*24),IF(H7&lt;L7,((L7-H7)*24),IF(L7=0,(1-H7+0.5)*24,((1-H7)+L7)*24))))</f>
        <v>24</v>
      </c>
      <c r="L7" s="77">
        <f>IFERROR(VLOOKUP(Vaktplan!$A$51,Vaktplan!$J$4:$CL$35,86-AI60,FALSE),0)</f>
        <v>0</v>
      </c>
      <c r="M7" s="77">
        <f>IFERROR(VLOOKUP(Vaktplan!$A$51,Vaktplan!$J$4:$CL$35,86-AH60,FALSE),0)</f>
        <v>0</v>
      </c>
      <c r="N7" s="9">
        <f>IFERROR(VLOOKUP(Vaktplan!$A$51,Vaktplan!$J$4:$CL$35,89-$AI60,FALSE),0)</f>
        <v>0</v>
      </c>
      <c r="O7" s="9">
        <f t="shared" ref="O7:O17" si="5">IF(AND(L7=0,M7=0),0,IF(L7&lt;M7,((M7-L7)*24)-N7,(((1-L7)+M7)*24)-N7))</f>
        <v>0</v>
      </c>
      <c r="P7" s="9">
        <f t="shared" ref="P7:P17" si="6">IF(AND(M7=0,Q7=0),24,IF(M7=0,12+(Q7*24),IF(M7&lt;Q7,((Q7-M7)*24),IF(Q7=0,(1-M7+0.5)*24,((1-M7)+Q7)*24))))</f>
        <v>24</v>
      </c>
      <c r="Q7" s="77">
        <f>IFERROR(VLOOKUP(Vaktplan!$A$51,Vaktplan!$K$4:$CL$35,86-AJ60,FALSE),0)</f>
        <v>0</v>
      </c>
      <c r="R7" s="77">
        <f>IFERROR(VLOOKUP(Vaktplan!$A$51,Vaktplan!$K$4:$CL$35,86-AI60,FALSE),0)</f>
        <v>0</v>
      </c>
      <c r="S7" s="9">
        <f>IFERROR(VLOOKUP(Vaktplan!$A$51,Vaktplan!$K$4:$CL$35,89-$AJ60,FALSE),0)</f>
        <v>0</v>
      </c>
      <c r="T7" s="9">
        <f t="shared" si="0"/>
        <v>0</v>
      </c>
      <c r="U7" s="9">
        <f t="shared" ref="U7:U17" si="7">IF(AND(R7=0,V7=0),24,IF(R7=0,12+(V7*24),IF(R7&lt;V7,((V7-R7)*24),IF(V7=0,(1-R7+0.5)*24,((1-R7)+V7)*24))))</f>
        <v>24</v>
      </c>
      <c r="V7" s="77">
        <f>IFERROR(VLOOKUP(Vaktplan!$A$51,Vaktplan!$L$4:$CL$35,86-AK60,FALSE),0)</f>
        <v>0</v>
      </c>
      <c r="W7" s="77">
        <f>IFERROR(VLOOKUP(Vaktplan!$A$51,Vaktplan!$L$4:$CL$35,86-AJ60,FALSE),0)</f>
        <v>0</v>
      </c>
      <c r="X7" s="9">
        <f>IFERROR(VLOOKUP(Vaktplan!$A$51,Vaktplan!$L$4:$CL$35,89-$AK60,FALSE),0)</f>
        <v>0</v>
      </c>
      <c r="Y7" s="9">
        <f t="shared" ref="Y7:Y13" si="8">IF(AND(V7=0,W7=0),0,IF(V7&lt;W7,((W7-V7)*24)-X7,(((1-V7)+W7)*24)-X7))</f>
        <v>0</v>
      </c>
      <c r="Z7" s="9">
        <f t="shared" ref="Z7:Z17" si="9">IF(AND(W7=0,AA7=0),24,IF(W7=0,12+(AA7*24),IF(W7&lt;AA7,((AA7-W7)*24),IF(AA7=0,(1-W7+0.5)*24,((1-W7)+AA7)*24))))</f>
        <v>24</v>
      </c>
      <c r="AA7" s="77">
        <f>IFERROR(VLOOKUP(Vaktplan!$A$51,Vaktplan!$M$4:$CL$35,86-AL60,FALSE),0)</f>
        <v>0</v>
      </c>
      <c r="AB7" s="77">
        <f>IFERROR(VLOOKUP(Vaktplan!$A$51,Vaktplan!$M$4:$CL$35,86-AK60,FALSE),0)</f>
        <v>0</v>
      </c>
      <c r="AC7" s="9">
        <f>IFERROR(VLOOKUP(Vaktplan!$A$51,Vaktplan!$M$4:$CL$35,89-$AL60,FALSE),0)</f>
        <v>0</v>
      </c>
      <c r="AD7" s="9">
        <f t="shared" ref="AD7:AD13" si="10">IF(AND(AA7=0,AB7=0),0,IF(AA7&lt;AB7,((AB7-AA7)*24)-AC7,(((1-AA7)+AB7)*24)-AC7))</f>
        <v>0</v>
      </c>
      <c r="AE7" s="9">
        <f t="shared" ref="AE7:AE17" si="11">IF(AND(AB7=0,AF7=0),24,IF(AB7=0,12+(AF7*24),IF(AB7&lt;AF7,((AF7-AB7)*24),IF(AF7=0,(1-AB7+0.5)*24,((1-AB7)+AF7)*24))))</f>
        <v>24</v>
      </c>
      <c r="AF7" s="77">
        <f>IFERROR(VLOOKUP(Vaktplan!$A$51,Vaktplan!$N$4:$CL$35,86-AM60,FALSE),0)</f>
        <v>0</v>
      </c>
      <c r="AG7" s="77">
        <f>IFERROR(VLOOKUP(Vaktplan!$A$51,Vaktplan!$N$4:$CL$35,86-AL60,FALSE),0)</f>
        <v>0</v>
      </c>
      <c r="AH7" s="9">
        <f>IFERROR(VLOOKUP(Vaktplan!$A$51,Vaktplan!$N$4:$CL$35,89-$AM60,FALSE),0)</f>
        <v>0</v>
      </c>
      <c r="AI7" s="9">
        <f t="shared" ref="AI7:AI13" si="12">IF(AND(AF7=0,AG7=0),0,IF(AF7&lt;AG7,((AG7-AF7)*24)-AH7,(((1-AF7)+AG7)*24)-AH7))</f>
        <v>0</v>
      </c>
      <c r="AJ7" s="9">
        <f t="shared" ref="AJ7:AJ17" si="13">IF($M$1=AL29,IF(AND(AG7=0,B7=0),24,IF(AG7=0,12+($B$6*24),IF(AG7&lt;$B$6,(($B$6-AG7)*24),IF($B$6=0,(1-AG7+1)*24,((1-AG7)+$B$6)*24)))),IF(AND(AG7=0,B8=0),24,IF(AG7=0,12+(B8*24),IF(AG7&lt;B8,((B8-AG7)*24),IF(B8=0,(1-AG7+1)*24,((1-AG7)+B8)*24)))))</f>
        <v>24</v>
      </c>
      <c r="AK7" s="9">
        <f t="shared" si="1"/>
        <v>0</v>
      </c>
      <c r="AL7" s="92">
        <f t="shared" ref="AL7:AL13" si="14">AJ7</f>
        <v>24</v>
      </c>
      <c r="AM7" s="10">
        <f t="shared" ref="AM7:AM13" si="15">AK7</f>
        <v>0</v>
      </c>
    </row>
    <row r="8" spans="1:39" ht="13" x14ac:dyDescent="0.25">
      <c r="A8" s="7">
        <f>IF($M$1&gt;=3,3,0)</f>
        <v>3</v>
      </c>
      <c r="B8" s="77">
        <f>IFERROR(VLOOKUP(Vaktplan!$A$51,Vaktplan!$O$4:$CL$35,87-AH61,FALSE),0)</f>
        <v>0</v>
      </c>
      <c r="C8" s="77">
        <f>IFERROR(VLOOKUP(Vaktplan!$A$51,Vaktplan!$O$4:$CL$35,87-AG61,FALSE),0)</f>
        <v>0</v>
      </c>
      <c r="D8" s="9">
        <f>IFERROR(VLOOKUP(Vaktplan!$A$51,Vaktplan!$O$4:$CL$35,89-AG61,FALSE),0)</f>
        <v>0</v>
      </c>
      <c r="E8" s="9">
        <f t="shared" ref="E8:E17" si="16">IF(AND(B8=0,C8=0),0,IF(B8&lt;C8,((C8-B8)*24)-D8,(((1-B8)+C8)*24)-D8))</f>
        <v>0</v>
      </c>
      <c r="F8" s="9">
        <f t="shared" si="2"/>
        <v>24</v>
      </c>
      <c r="G8" s="77">
        <f>IFERROR(VLOOKUP(Vaktplan!$A$51,Vaktplan!$P$4:$CL$35,86-AH61,FALSE),0)</f>
        <v>0</v>
      </c>
      <c r="H8" s="77">
        <f>IFERROR(VLOOKUP(Vaktplan!$A$51,Vaktplan!$P$4:$CL$35,86-AG61,FALSE),0)</f>
        <v>0</v>
      </c>
      <c r="I8" s="9">
        <f>IFERROR(VLOOKUP(Vaktplan!$A$51,Vaktplan!$P$4:$CL$35,89-$AH61,FALSE),0)</f>
        <v>0</v>
      </c>
      <c r="J8" s="9">
        <f>IF(AND(G8=0,H8=0),0,IF(G8&lt;H8,((H8-G8)*24)-I8,(((1-G8)+H8)*24)-I8))</f>
        <v>0</v>
      </c>
      <c r="K8" s="9">
        <f t="shared" si="4"/>
        <v>24</v>
      </c>
      <c r="L8" s="77">
        <f>IFERROR(VLOOKUP(Vaktplan!$A$51,Vaktplan!$Q$4:$CL$35,86-AI61,FALSE),0)</f>
        <v>0</v>
      </c>
      <c r="M8" s="77">
        <f>IFERROR(VLOOKUP(Vaktplan!$A$51,Vaktplan!$Q$4:$CL$35,86-AH61,FALSE),0)</f>
        <v>0</v>
      </c>
      <c r="N8" s="9">
        <f>IFERROR(VLOOKUP(Vaktplan!$A$51,Vaktplan!$Q$4:$CL$35,89-$AI61,FALSE),0)</f>
        <v>0</v>
      </c>
      <c r="O8" s="9">
        <f t="shared" si="5"/>
        <v>0</v>
      </c>
      <c r="P8" s="9">
        <f t="shared" si="6"/>
        <v>24</v>
      </c>
      <c r="Q8" s="77">
        <f>IFERROR(VLOOKUP(Vaktplan!$A$51,Vaktplan!$R$4:$CL$35,86-AJ61,FALSE),0)</f>
        <v>0</v>
      </c>
      <c r="R8" s="77">
        <f>IFERROR(VLOOKUP(Vaktplan!$A$51,Vaktplan!$R$4:$CL$35,86-AI61,FALSE),0)</f>
        <v>0</v>
      </c>
      <c r="S8" s="9">
        <f>IFERROR(VLOOKUP(Vaktplan!$A$51,Vaktplan!$R$4:$CL$35,89-$AJ61,FALSE),0)</f>
        <v>0</v>
      </c>
      <c r="T8" s="9">
        <f t="shared" si="0"/>
        <v>0</v>
      </c>
      <c r="U8" s="9">
        <f t="shared" si="7"/>
        <v>24</v>
      </c>
      <c r="V8" s="77">
        <f>IFERROR(VLOOKUP(Vaktplan!$A$51,Vaktplan!$S$4:$CL$35,86-AK61,FALSE),0)</f>
        <v>0</v>
      </c>
      <c r="W8" s="77">
        <f>IFERROR(VLOOKUP(Vaktplan!$A$51,Vaktplan!$S$4:$CL$35,86-AJ61,FALSE),0)</f>
        <v>0</v>
      </c>
      <c r="X8" s="9">
        <f>IFERROR(VLOOKUP(Vaktplan!$A$51,Vaktplan!$S$4:$CL$35,89-$AK61,FALSE),0)</f>
        <v>0</v>
      </c>
      <c r="Y8" s="9">
        <f t="shared" si="8"/>
        <v>0</v>
      </c>
      <c r="Z8" s="9">
        <f t="shared" si="9"/>
        <v>24</v>
      </c>
      <c r="AA8" s="77">
        <f>IFERROR(VLOOKUP(Vaktplan!$A$51,Vaktplan!$T$4:$CL$35,86-AL61,FALSE),0)</f>
        <v>0</v>
      </c>
      <c r="AB8" s="77">
        <f>IFERROR(VLOOKUP(Vaktplan!$A$51,Vaktplan!$T$4:$CL$35,86-AK61,FALSE),0)</f>
        <v>0</v>
      </c>
      <c r="AC8" s="9">
        <f>IFERROR(VLOOKUP(Vaktplan!$A$51,Vaktplan!$T$4:$CL$35,89-$AL61,FALSE),0)</f>
        <v>0</v>
      </c>
      <c r="AD8" s="9">
        <f t="shared" si="10"/>
        <v>0</v>
      </c>
      <c r="AE8" s="9">
        <f t="shared" si="11"/>
        <v>24</v>
      </c>
      <c r="AF8" s="77">
        <f>IFERROR(VLOOKUP(Vaktplan!$A$51,Vaktplan!$U$4:$CL$35,86-AM61,FALSE),0)</f>
        <v>0</v>
      </c>
      <c r="AG8" s="77">
        <f>IFERROR(VLOOKUP(Vaktplan!$A$51,Vaktplan!$U$4:$CL$35,86-AL61,FALSE),0)</f>
        <v>0</v>
      </c>
      <c r="AH8" s="9">
        <f>IFERROR(VLOOKUP(Vaktplan!$A$51,Vaktplan!$U$4:$CL$35,89-$AM61,FALSE),0)</f>
        <v>0</v>
      </c>
      <c r="AI8" s="9">
        <f t="shared" si="12"/>
        <v>0</v>
      </c>
      <c r="AJ8" s="9">
        <f t="shared" si="13"/>
        <v>24</v>
      </c>
      <c r="AK8" s="9">
        <f t="shared" si="1"/>
        <v>0</v>
      </c>
      <c r="AL8" s="92">
        <f t="shared" si="14"/>
        <v>24</v>
      </c>
      <c r="AM8" s="10">
        <f t="shared" si="15"/>
        <v>0</v>
      </c>
    </row>
    <row r="9" spans="1:39" ht="13" x14ac:dyDescent="0.25">
      <c r="A9" s="7">
        <f>IF($M$1&gt;=4,4,0)</f>
        <v>4</v>
      </c>
      <c r="B9" s="77">
        <f>IFERROR(VLOOKUP(Vaktplan!$A$51,Vaktplan!$V$4:$CL$35,87-AH62,FALSE),0)</f>
        <v>0</v>
      </c>
      <c r="C9" s="77">
        <f>IFERROR(VLOOKUP(Vaktplan!$A$51,Vaktplan!$V$4:$CL$35,87-AG62,FALSE),0)</f>
        <v>0</v>
      </c>
      <c r="D9" s="9">
        <f>IFERROR(VLOOKUP(Vaktplan!$A$51,Vaktplan!$V$4:$CL$35,89-AG62,FALSE),0)</f>
        <v>0</v>
      </c>
      <c r="E9" s="9">
        <f t="shared" si="16"/>
        <v>0</v>
      </c>
      <c r="F9" s="9">
        <f t="shared" si="2"/>
        <v>24</v>
      </c>
      <c r="G9" s="77">
        <f>IFERROR(VLOOKUP(Vaktplan!$A$51,Vaktplan!$W$4:$CL$35,86-AH62,FALSE),0)</f>
        <v>0</v>
      </c>
      <c r="H9" s="77">
        <f>IFERROR(VLOOKUP(Vaktplan!$A$51,Vaktplan!$W$4:$CL$35,86-AG62,FALSE),0)</f>
        <v>0</v>
      </c>
      <c r="I9" s="9">
        <f>IFERROR(VLOOKUP(Vaktplan!$A$51,Vaktplan!$W$4:$CL$35,89-$AH62,FALSE),0)</f>
        <v>0</v>
      </c>
      <c r="J9" s="9">
        <f t="shared" si="3"/>
        <v>0</v>
      </c>
      <c r="K9" s="9">
        <f t="shared" si="4"/>
        <v>24</v>
      </c>
      <c r="L9" s="77">
        <f>IFERROR(VLOOKUP(Vaktplan!$A$51,Vaktplan!$X$4:$CL$35,86-AI62,FALSE),0)</f>
        <v>0</v>
      </c>
      <c r="M9" s="77">
        <f>IFERROR(VLOOKUP(Vaktplan!$A$51,Vaktplan!$X$4:$CL$35,86-AH62,FALSE),0)</f>
        <v>0</v>
      </c>
      <c r="N9" s="9">
        <f>IFERROR(VLOOKUP(Vaktplan!$A$51,Vaktplan!$X$4:$CL$35,89-$AI62,FALSE),0)</f>
        <v>0</v>
      </c>
      <c r="O9" s="9">
        <f t="shared" si="5"/>
        <v>0</v>
      </c>
      <c r="P9" s="9">
        <f t="shared" si="6"/>
        <v>24</v>
      </c>
      <c r="Q9" s="77">
        <f>IFERROR(VLOOKUP(Vaktplan!$A$51,Vaktplan!$Y$4:$CL$35,86-AJ62,FALSE),0)</f>
        <v>0</v>
      </c>
      <c r="R9" s="77">
        <f>IFERROR(VLOOKUP(Vaktplan!$A$51,Vaktplan!$Y$4:$CL$35,86-AI62,FALSE),0)</f>
        <v>0</v>
      </c>
      <c r="S9" s="9">
        <f>IFERROR(VLOOKUP(Vaktplan!$A$51,Vaktplan!$Y$4:$CL$35,89-$AJ62,FALSE),0)</f>
        <v>0</v>
      </c>
      <c r="T9" s="9">
        <f t="shared" si="0"/>
        <v>0</v>
      </c>
      <c r="U9" s="9">
        <f t="shared" si="7"/>
        <v>24</v>
      </c>
      <c r="V9" s="77">
        <f>IFERROR(VLOOKUP(Vaktplan!$A$51,Vaktplan!$Z$4:$CL$35,86-AK62,FALSE),0)</f>
        <v>0</v>
      </c>
      <c r="W9" s="77">
        <f>IFERROR(VLOOKUP(Vaktplan!$A$51,Vaktplan!$Z$4:$CL$35,86-AJ62,FALSE),0)</f>
        <v>0</v>
      </c>
      <c r="X9" s="9">
        <f>IFERROR(VLOOKUP(Vaktplan!$A$51,Vaktplan!$Z$4:$CL$35,89-$AK62,FALSE),0)</f>
        <v>0</v>
      </c>
      <c r="Y9" s="9">
        <f t="shared" si="8"/>
        <v>0</v>
      </c>
      <c r="Z9" s="9">
        <f t="shared" si="9"/>
        <v>24</v>
      </c>
      <c r="AA9" s="77">
        <f>IFERROR(VLOOKUP(Vaktplan!$A$51,Vaktplan!$AA$4:$CL$35,86-AL62,FALSE),0)</f>
        <v>0</v>
      </c>
      <c r="AB9" s="77">
        <f>IFERROR(VLOOKUP(Vaktplan!$A$51,Vaktplan!$AA$4:$CL$35,86-AK62,FALSE),0)</f>
        <v>0</v>
      </c>
      <c r="AC9" s="9">
        <f>IFERROR(VLOOKUP(Vaktplan!$A$51,Vaktplan!$AA$4:$CL$35,89-$AL62,FALSE),0)</f>
        <v>0</v>
      </c>
      <c r="AD9" s="9">
        <f t="shared" si="10"/>
        <v>0</v>
      </c>
      <c r="AE9" s="9">
        <f t="shared" si="11"/>
        <v>24</v>
      </c>
      <c r="AF9" s="77">
        <f>IFERROR(VLOOKUP(Vaktplan!$A$51,Vaktplan!$AB$4:$CL$35,86-AM62,FALSE),0)</f>
        <v>0</v>
      </c>
      <c r="AG9" s="77">
        <f>IFERROR(VLOOKUP(Vaktplan!$A$51,Vaktplan!$AB$4:$CL$35,86-AL62,FALSE),0)</f>
        <v>0</v>
      </c>
      <c r="AH9" s="9">
        <f>IFERROR(VLOOKUP(Vaktplan!$A$51,Vaktplan!$AB$4:$CL$35,89-$AM62,FALSE),0)</f>
        <v>0</v>
      </c>
      <c r="AI9" s="9">
        <f t="shared" si="12"/>
        <v>0</v>
      </c>
      <c r="AJ9" s="9">
        <f t="shared" si="13"/>
        <v>24</v>
      </c>
      <c r="AK9" s="9">
        <f t="shared" si="1"/>
        <v>0</v>
      </c>
      <c r="AL9" s="92">
        <f t="shared" si="14"/>
        <v>24</v>
      </c>
      <c r="AM9" s="10">
        <f t="shared" si="15"/>
        <v>0</v>
      </c>
    </row>
    <row r="10" spans="1:39" ht="13" x14ac:dyDescent="0.25">
      <c r="A10" s="7">
        <f>IF($M$1&gt;=5,5,0)</f>
        <v>5</v>
      </c>
      <c r="B10" s="77">
        <f>IFERROR(VLOOKUP(Vaktplan!$A$51,Vaktplan!$AC$4:$CL$35,87-AH63,FALSE),0)</f>
        <v>0</v>
      </c>
      <c r="C10" s="77">
        <f>IFERROR(VLOOKUP(Vaktplan!$A$51,Vaktplan!$AC$4:$CL$35,87-AG63,FALSE),0)</f>
        <v>0</v>
      </c>
      <c r="D10" s="9">
        <f>IFERROR(VLOOKUP(Vaktplan!$A$51,Vaktplan!$AC$4:$CL$35,89-AG63,FALSE),0)</f>
        <v>0</v>
      </c>
      <c r="E10" s="9">
        <f t="shared" si="16"/>
        <v>0</v>
      </c>
      <c r="F10" s="9">
        <f t="shared" si="2"/>
        <v>24</v>
      </c>
      <c r="G10" s="77">
        <f>IFERROR(VLOOKUP(Vaktplan!$A$51,Vaktplan!$AD$4:$CL$35,86-AH63,FALSE),0)</f>
        <v>0</v>
      </c>
      <c r="H10" s="77">
        <f>IFERROR(VLOOKUP(Vaktplan!$A$51,Vaktplan!$AD$4:$CL$35,86-AG63,FALSE),0)</f>
        <v>0</v>
      </c>
      <c r="I10" s="9">
        <f>IFERROR(VLOOKUP(Vaktplan!$A$51,Vaktplan!$AD$4:$CL$35,89-$AH63,FALSE),0)</f>
        <v>0</v>
      </c>
      <c r="J10" s="9">
        <f t="shared" si="3"/>
        <v>0</v>
      </c>
      <c r="K10" s="9">
        <f t="shared" si="4"/>
        <v>24</v>
      </c>
      <c r="L10" s="77">
        <f>IFERROR(VLOOKUP(Vaktplan!$A$51,Vaktplan!$AE$4:$CL$35,86-AI63,FALSE),0)</f>
        <v>0</v>
      </c>
      <c r="M10" s="77">
        <f>IFERROR(VLOOKUP(Vaktplan!$A$51,Vaktplan!$AE$4:$CL$35,86-AH63,FALSE),0)</f>
        <v>0</v>
      </c>
      <c r="N10" s="9">
        <f>IFERROR(VLOOKUP(Vaktplan!$A$51,Vaktplan!$AE$4:$CL$35,89-$AI63,FALSE),0)</f>
        <v>0</v>
      </c>
      <c r="O10" s="9">
        <f t="shared" si="5"/>
        <v>0</v>
      </c>
      <c r="P10" s="9">
        <f t="shared" si="6"/>
        <v>24</v>
      </c>
      <c r="Q10" s="77">
        <f>IFERROR(VLOOKUP(Vaktplan!$A$51,Vaktplan!$AF$4:$CL$35,86-AJ63,FALSE),0)</f>
        <v>0</v>
      </c>
      <c r="R10" s="77">
        <f>IFERROR(VLOOKUP(Vaktplan!$A$51,Vaktplan!$AF$4:$CL$35,86-AI63,FALSE),0)</f>
        <v>0</v>
      </c>
      <c r="S10" s="9">
        <f>IFERROR(VLOOKUP(Vaktplan!$A$51,Vaktplan!$AF$4:$CL$35,89-$AJ63,FALSE),0)</f>
        <v>0</v>
      </c>
      <c r="T10" s="9">
        <f t="shared" si="0"/>
        <v>0</v>
      </c>
      <c r="U10" s="9">
        <f t="shared" si="7"/>
        <v>24</v>
      </c>
      <c r="V10" s="77">
        <f>IFERROR(VLOOKUP(Vaktplan!$A$51,Vaktplan!$AG$4:$CL$35,86-AK63,FALSE),0)</f>
        <v>0</v>
      </c>
      <c r="W10" s="77">
        <f>IFERROR(VLOOKUP(Vaktplan!$A$51,Vaktplan!$AG$4:$CL$35,86-AJ63,FALSE),0)</f>
        <v>0</v>
      </c>
      <c r="X10" s="9">
        <f>IFERROR(VLOOKUP(Vaktplan!$A$51,Vaktplan!$AG$4:$CL$35,89-$AK63,FALSE),0)</f>
        <v>0</v>
      </c>
      <c r="Y10" s="9">
        <f t="shared" si="8"/>
        <v>0</v>
      </c>
      <c r="Z10" s="9">
        <f t="shared" si="9"/>
        <v>24</v>
      </c>
      <c r="AA10" s="77">
        <f>IFERROR(VLOOKUP(Vaktplan!$A$51,Vaktplan!$AH$4:$CL$35,86-AL63,FALSE),0)</f>
        <v>0</v>
      </c>
      <c r="AB10" s="77">
        <f>IFERROR(VLOOKUP(Vaktplan!$A$51,Vaktplan!$AH$4:$CL$35,86-AK63,FALSE),0)</f>
        <v>0</v>
      </c>
      <c r="AC10" s="9">
        <f>IFERROR(VLOOKUP(Vaktplan!$A$51,Vaktplan!$AH$4:$CL$35,89-$AL63,FALSE),0)</f>
        <v>0</v>
      </c>
      <c r="AD10" s="9">
        <f t="shared" si="10"/>
        <v>0</v>
      </c>
      <c r="AE10" s="9">
        <f t="shared" si="11"/>
        <v>24</v>
      </c>
      <c r="AF10" s="77">
        <f>IFERROR(VLOOKUP(Vaktplan!$A$51,Vaktplan!$AI$4:$CL$35,86-AM63,FALSE),0)</f>
        <v>0</v>
      </c>
      <c r="AG10" s="77">
        <f>IFERROR(VLOOKUP(Vaktplan!$A$51,Vaktplan!$AI$4:$CL$35,86-AL63,FALSE),0)</f>
        <v>0</v>
      </c>
      <c r="AH10" s="9">
        <f>IFERROR(VLOOKUP(Vaktplan!$A$51,Vaktplan!$AI$4:$CL$35,89-$AM63,FALSE),0)</f>
        <v>0</v>
      </c>
      <c r="AI10" s="9">
        <f t="shared" si="12"/>
        <v>0</v>
      </c>
      <c r="AJ10" s="9">
        <f t="shared" si="13"/>
        <v>24</v>
      </c>
      <c r="AK10" s="9">
        <f t="shared" si="1"/>
        <v>0</v>
      </c>
      <c r="AL10" s="92">
        <f t="shared" si="14"/>
        <v>24</v>
      </c>
      <c r="AM10" s="10">
        <f t="shared" si="15"/>
        <v>0</v>
      </c>
    </row>
    <row r="11" spans="1:39" ht="13" x14ac:dyDescent="0.25">
      <c r="A11" s="7">
        <f>IF($M$1&gt;=6,6,0)</f>
        <v>6</v>
      </c>
      <c r="B11" s="77">
        <f>IFERROR(VLOOKUP(Vaktplan!$A$51,Vaktplan!$AJ$4:$CL$35,87-AH64,FALSE),0)</f>
        <v>0</v>
      </c>
      <c r="C11" s="77">
        <f>IFERROR(VLOOKUP(Vaktplan!$A$51,Vaktplan!$AJ$4:$CL$35,87-AG64,FALSE),0)</f>
        <v>0</v>
      </c>
      <c r="D11" s="9">
        <f>IFERROR(VLOOKUP(Vaktplan!$A$51,Vaktplan!$AJ$4:$CL$35,89-AG64,FALSE),0)</f>
        <v>0</v>
      </c>
      <c r="E11" s="9">
        <f t="shared" si="16"/>
        <v>0</v>
      </c>
      <c r="F11" s="9">
        <f t="shared" si="2"/>
        <v>24</v>
      </c>
      <c r="G11" s="77">
        <f>IFERROR(VLOOKUP(Vaktplan!$A$51,Vaktplan!$AK$4:$CL$35,86-AH64,FALSE),0)</f>
        <v>0</v>
      </c>
      <c r="H11" s="77">
        <f>IFERROR(VLOOKUP(Vaktplan!$A$51,Vaktplan!$AK$4:$CL$35,86-AG64,FALSE),0)</f>
        <v>0</v>
      </c>
      <c r="I11" s="9">
        <f>IFERROR(VLOOKUP(Vaktplan!$A$51,Vaktplan!$AK$4:$CL$35,89-$AH64,FALSE),0)</f>
        <v>0</v>
      </c>
      <c r="J11" s="9">
        <f t="shared" si="3"/>
        <v>0</v>
      </c>
      <c r="K11" s="9">
        <f t="shared" si="4"/>
        <v>24</v>
      </c>
      <c r="L11" s="77">
        <f>IFERROR(VLOOKUP(Vaktplan!$A$51,Vaktplan!$AL$4:$CL$35,86-AI64,FALSE),0)</f>
        <v>0</v>
      </c>
      <c r="M11" s="77">
        <f>IFERROR(VLOOKUP(Vaktplan!$A$51,Vaktplan!$AL$4:$CL$35,86-AH64,FALSE),0)</f>
        <v>0</v>
      </c>
      <c r="N11" s="9">
        <f>IFERROR(VLOOKUP(Vaktplan!$A$51,Vaktplan!$AL$4:$CL$35,89-$AI64,FALSE),0)</f>
        <v>0</v>
      </c>
      <c r="O11" s="9">
        <f t="shared" si="5"/>
        <v>0</v>
      </c>
      <c r="P11" s="9">
        <f t="shared" si="6"/>
        <v>24</v>
      </c>
      <c r="Q11" s="77">
        <f>IFERROR(VLOOKUP(Vaktplan!$A$51,Vaktplan!$AM$4:$CL$35,86-AJ64,FALSE),0)</f>
        <v>0</v>
      </c>
      <c r="R11" s="77">
        <f>IFERROR(VLOOKUP(Vaktplan!$A$51,Vaktplan!$AM$4:$CL$35,86-AI64,FALSE),0)</f>
        <v>0</v>
      </c>
      <c r="S11" s="9">
        <f>IFERROR(VLOOKUP(Vaktplan!$A$51,Vaktplan!$AM$4:$CL$35,89-$AJ64,FALSE),0)</f>
        <v>0</v>
      </c>
      <c r="T11" s="9">
        <f t="shared" si="0"/>
        <v>0</v>
      </c>
      <c r="U11" s="9">
        <f t="shared" si="7"/>
        <v>24</v>
      </c>
      <c r="V11" s="77">
        <f>IFERROR(VLOOKUP(Vaktplan!$A$51,Vaktplan!$AN$4:$CL$35,86-AK64,FALSE),0)</f>
        <v>0</v>
      </c>
      <c r="W11" s="77">
        <f>IFERROR(VLOOKUP(Vaktplan!$A$51,Vaktplan!$AN$4:$CL$35,86-AJ64,FALSE),0)</f>
        <v>0</v>
      </c>
      <c r="X11" s="9">
        <f>IFERROR(VLOOKUP(Vaktplan!$A$51,Vaktplan!$AN$4:$CL$35,89-$AK64,FALSE),0)</f>
        <v>0</v>
      </c>
      <c r="Y11" s="9">
        <f t="shared" si="8"/>
        <v>0</v>
      </c>
      <c r="Z11" s="9">
        <f t="shared" si="9"/>
        <v>24</v>
      </c>
      <c r="AA11" s="77">
        <f>IFERROR(VLOOKUP(Vaktplan!$A$51,Vaktplan!$AO$4:$CL$35,86-AL64,FALSE),0)</f>
        <v>0</v>
      </c>
      <c r="AB11" s="77">
        <f>IFERROR(VLOOKUP(Vaktplan!$A$51,Vaktplan!$AO$4:$CL$35,86-AK64,FALSE),0)</f>
        <v>0</v>
      </c>
      <c r="AC11" s="9">
        <f>IFERROR(VLOOKUP(Vaktplan!$A$51,Vaktplan!$AO$4:$CL$35,89-$AL64,FALSE),0)</f>
        <v>0</v>
      </c>
      <c r="AD11" s="9">
        <f t="shared" si="10"/>
        <v>0</v>
      </c>
      <c r="AE11" s="9">
        <f t="shared" si="11"/>
        <v>24</v>
      </c>
      <c r="AF11" s="77">
        <f>IFERROR(VLOOKUP(Vaktplan!$A$51,Vaktplan!$AP$4:$CL$35,86-AM64,FALSE),0)</f>
        <v>0</v>
      </c>
      <c r="AG11" s="77">
        <f>IFERROR(VLOOKUP(Vaktplan!$A$51,Vaktplan!$AP$4:$CL$35,86-AL64,FALSE),0)</f>
        <v>0</v>
      </c>
      <c r="AH11" s="9">
        <f>IFERROR(VLOOKUP(Vaktplan!$A$51,Vaktplan!$AP$4:$CL$35,89-$AM64,FALSE),0)</f>
        <v>0</v>
      </c>
      <c r="AI11" s="9">
        <f t="shared" si="12"/>
        <v>0</v>
      </c>
      <c r="AJ11" s="9">
        <f t="shared" si="13"/>
        <v>24</v>
      </c>
      <c r="AK11" s="9">
        <f t="shared" si="1"/>
        <v>0</v>
      </c>
      <c r="AL11" s="92">
        <f t="shared" si="14"/>
        <v>24</v>
      </c>
      <c r="AM11" s="10">
        <f t="shared" si="15"/>
        <v>0</v>
      </c>
    </row>
    <row r="12" spans="1:39" ht="13" x14ac:dyDescent="0.25">
      <c r="A12" s="7">
        <f>IF($M$1&gt;=7,7,0)</f>
        <v>7</v>
      </c>
      <c r="B12" s="77">
        <f>IFERROR(VLOOKUP(Vaktplan!$A$51,Vaktplan!$AQ$4:$CL$35,87-AH65,FALSE),0)</f>
        <v>0</v>
      </c>
      <c r="C12" s="77">
        <f>IFERROR(VLOOKUP(Vaktplan!$A$51,Vaktplan!$AQ$4:$CL$35,87-AG65,FALSE),0)</f>
        <v>0</v>
      </c>
      <c r="D12" s="9">
        <f>IFERROR(VLOOKUP(Vaktplan!$A$51,Vaktplan!$AQ$4:$CL$35,89-AG65,FALSE),0)</f>
        <v>0</v>
      </c>
      <c r="E12" s="9">
        <f t="shared" si="16"/>
        <v>0</v>
      </c>
      <c r="F12" s="9">
        <f t="shared" si="2"/>
        <v>24</v>
      </c>
      <c r="G12" s="77">
        <f>IFERROR(VLOOKUP(Vaktplan!$A$51,Vaktplan!$AR$4:$CL$35,86-AH65,FALSE),0)</f>
        <v>0</v>
      </c>
      <c r="H12" s="77">
        <f>IFERROR(VLOOKUP(Vaktplan!$A$51,Vaktplan!$AR$4:$CL$35,86-AG65,FALSE),0)</f>
        <v>0</v>
      </c>
      <c r="I12" s="9">
        <f>IFERROR(VLOOKUP(Vaktplan!$A$51,Vaktplan!$AR$4:$CL$35,89-$AH65,FALSE),0)</f>
        <v>0</v>
      </c>
      <c r="J12" s="9">
        <f t="shared" si="3"/>
        <v>0</v>
      </c>
      <c r="K12" s="9">
        <f t="shared" si="4"/>
        <v>24</v>
      </c>
      <c r="L12" s="77">
        <f>IFERROR(VLOOKUP(Vaktplan!$A$51,Vaktplan!$AS$4:$CL$35,86-AI65,FALSE),0)</f>
        <v>0</v>
      </c>
      <c r="M12" s="77">
        <f>IFERROR(VLOOKUP(Vaktplan!$A$51,Vaktplan!$AS$4:$CL$35,86-AH65,FALSE),0)</f>
        <v>0</v>
      </c>
      <c r="N12" s="9">
        <f>IFERROR(VLOOKUP(Vaktplan!$A$51,Vaktplan!$AS$4:$CL$35,89-$AI65,FALSE),0)</f>
        <v>0</v>
      </c>
      <c r="O12" s="9">
        <f t="shared" si="5"/>
        <v>0</v>
      </c>
      <c r="P12" s="9">
        <f t="shared" si="6"/>
        <v>24</v>
      </c>
      <c r="Q12" s="77">
        <f>IFERROR(VLOOKUP(Vaktplan!$A$51,Vaktplan!$AT$4:$CL$35,86-AJ65,FALSE),0)</f>
        <v>0</v>
      </c>
      <c r="R12" s="77">
        <f>IFERROR(VLOOKUP(Vaktplan!$A$51,Vaktplan!$AT$4:$CL$35,86-AI65,FALSE),0)</f>
        <v>0</v>
      </c>
      <c r="S12" s="9">
        <f>IFERROR(VLOOKUP(Vaktplan!$A$51,Vaktplan!$AT$4:$CL$35,89-$AJ65,FALSE),0)</f>
        <v>0</v>
      </c>
      <c r="T12" s="9">
        <f t="shared" si="0"/>
        <v>0</v>
      </c>
      <c r="U12" s="9">
        <f t="shared" si="7"/>
        <v>24</v>
      </c>
      <c r="V12" s="77">
        <f>IFERROR(VLOOKUP(Vaktplan!$A$51,Vaktplan!$AU$4:$CL$35,86-AK65,FALSE),0)</f>
        <v>0</v>
      </c>
      <c r="W12" s="77">
        <f>IFERROR(VLOOKUP(Vaktplan!$A$51,Vaktplan!$AU$4:$CL$35,86-AJ65,FALSE),0)</f>
        <v>0</v>
      </c>
      <c r="X12" s="9">
        <f>IFERROR(VLOOKUP(Vaktplan!$A$51,Vaktplan!$AU$4:$CL$35,89-$AK65,FALSE),0)</f>
        <v>0</v>
      </c>
      <c r="Y12" s="9">
        <f t="shared" si="8"/>
        <v>0</v>
      </c>
      <c r="Z12" s="9">
        <f t="shared" si="9"/>
        <v>24</v>
      </c>
      <c r="AA12" s="77">
        <f>IFERROR(VLOOKUP(Vaktplan!$A$51,Vaktplan!$AV$4:$CL$35,86-AL65,FALSE),0)</f>
        <v>0</v>
      </c>
      <c r="AB12" s="77">
        <f>IFERROR(VLOOKUP(Vaktplan!$A$51,Vaktplan!$AV$4:$CL$35,86-AK65,FALSE),0)</f>
        <v>0</v>
      </c>
      <c r="AC12" s="9">
        <f>IFERROR(VLOOKUP(Vaktplan!$A$51,Vaktplan!$AV$4:$CL$35,89-$AL65,FALSE),0)</f>
        <v>0</v>
      </c>
      <c r="AD12" s="9">
        <f t="shared" si="10"/>
        <v>0</v>
      </c>
      <c r="AE12" s="9">
        <f t="shared" si="11"/>
        <v>24</v>
      </c>
      <c r="AF12" s="77">
        <f>IFERROR(VLOOKUP(Vaktplan!$A$51,Vaktplan!$AW$4:$CL$35,86-AM65,FALSE),0)</f>
        <v>0</v>
      </c>
      <c r="AG12" s="77">
        <f>IFERROR(VLOOKUP(Vaktplan!$A$51,Vaktplan!$AW$4:$CL$35,86-AL65,FALSE),0)</f>
        <v>0</v>
      </c>
      <c r="AH12" s="9">
        <f>IFERROR(VLOOKUP(Vaktplan!$A$51,Vaktplan!$AW$4:$CL$35,89-$AM65,FALSE),0)</f>
        <v>0</v>
      </c>
      <c r="AI12" s="9">
        <f t="shared" si="12"/>
        <v>0</v>
      </c>
      <c r="AJ12" s="9">
        <f t="shared" si="13"/>
        <v>24</v>
      </c>
      <c r="AK12" s="9">
        <f t="shared" si="1"/>
        <v>0</v>
      </c>
      <c r="AL12" s="92">
        <f t="shared" si="14"/>
        <v>24</v>
      </c>
      <c r="AM12" s="10">
        <f t="shared" si="15"/>
        <v>0</v>
      </c>
    </row>
    <row r="13" spans="1:39" ht="13" x14ac:dyDescent="0.25">
      <c r="A13" s="7">
        <f>IF($M$1&gt;=8,8,0)</f>
        <v>8</v>
      </c>
      <c r="B13" s="77">
        <f>IFERROR(VLOOKUP(Vaktplan!$A$51,Vaktplan!$AX$4:$CL$35,87-AH66,FALSE),0)</f>
        <v>0</v>
      </c>
      <c r="C13" s="77">
        <f>IFERROR(VLOOKUP(Vaktplan!$A$51,Vaktplan!$AX$4:$CL$35,87-AG66,FALSE),0)</f>
        <v>0</v>
      </c>
      <c r="D13" s="9">
        <f>IFERROR(VLOOKUP(Vaktplan!$A$51,Vaktplan!$AX$4:$CL$35,89-AG66,FALSE),0)</f>
        <v>0</v>
      </c>
      <c r="E13" s="9">
        <f t="shared" si="16"/>
        <v>0</v>
      </c>
      <c r="F13" s="9">
        <f t="shared" si="2"/>
        <v>24</v>
      </c>
      <c r="G13" s="77">
        <f>IFERROR(VLOOKUP(Vaktplan!$A$51,Vaktplan!$AY$4:$CL$35,86-AH66,FALSE),0)</f>
        <v>0</v>
      </c>
      <c r="H13" s="77">
        <f>IFERROR(VLOOKUP(Vaktplan!$A$51,Vaktplan!$AY$4:$CL$35,86-AG66,FALSE),0)</f>
        <v>0</v>
      </c>
      <c r="I13" s="9">
        <f>IFERROR(VLOOKUP(Vaktplan!$A$51,Vaktplan!$AY$4:$CL$35,89-$AH66,FALSE),0)</f>
        <v>0</v>
      </c>
      <c r="J13" s="9">
        <f t="shared" si="3"/>
        <v>0</v>
      </c>
      <c r="K13" s="9">
        <f t="shared" si="4"/>
        <v>24</v>
      </c>
      <c r="L13" s="77">
        <f>IFERROR(VLOOKUP(Vaktplan!$A$51,Vaktplan!$AZ$4:$CL$35,86-AI66,FALSE),0)</f>
        <v>0</v>
      </c>
      <c r="M13" s="77">
        <f>IFERROR(VLOOKUP(Vaktplan!$A$51,Vaktplan!$AZ$4:$CL$35,86-AH66,FALSE),0)</f>
        <v>0</v>
      </c>
      <c r="N13" s="9">
        <f>IFERROR(VLOOKUP(Vaktplan!$A$51,Vaktplan!$AZ$4:$CL$35,89-$AI66,FALSE),0)</f>
        <v>0</v>
      </c>
      <c r="O13" s="9">
        <f t="shared" si="5"/>
        <v>0</v>
      </c>
      <c r="P13" s="9">
        <f t="shared" si="6"/>
        <v>24</v>
      </c>
      <c r="Q13" s="77">
        <f>IFERROR(VLOOKUP(Vaktplan!$A$51,Vaktplan!$BA$4:$CL$35,86-AJ66,FALSE),0)</f>
        <v>0</v>
      </c>
      <c r="R13" s="77">
        <f>IFERROR(VLOOKUP(Vaktplan!$A$51,Vaktplan!$BA$4:$CL$35,86-AI66,FALSE),0)</f>
        <v>0</v>
      </c>
      <c r="S13" s="9">
        <f>IFERROR(VLOOKUP(Vaktplan!$A$51,Vaktplan!$BA$4:$CL$35,89-$AJ66,FALSE),0)</f>
        <v>0</v>
      </c>
      <c r="T13" s="9">
        <f t="shared" si="0"/>
        <v>0</v>
      </c>
      <c r="U13" s="9">
        <f t="shared" si="7"/>
        <v>24</v>
      </c>
      <c r="V13" s="77">
        <f>IFERROR(VLOOKUP(Vaktplan!$A$51,Vaktplan!$BB$4:$CL$35,86-AK66,FALSE),0)</f>
        <v>0</v>
      </c>
      <c r="W13" s="77">
        <f>IFERROR(VLOOKUP(Vaktplan!$A$51,Vaktplan!$BB$4:$CL$35,86-AJ66,FALSE),0)</f>
        <v>0</v>
      </c>
      <c r="X13" s="9">
        <f>IFERROR(VLOOKUP(Vaktplan!$A$51,Vaktplan!$BB$4:$CL$35,89-$AK66,FALSE),0)</f>
        <v>0</v>
      </c>
      <c r="Y13" s="9">
        <f t="shared" si="8"/>
        <v>0</v>
      </c>
      <c r="Z13" s="9">
        <f t="shared" si="9"/>
        <v>24</v>
      </c>
      <c r="AA13" s="77">
        <f>IFERROR(VLOOKUP(Vaktplan!$A$51,Vaktplan!$BC$4:$CL$35,86-AL66,FALSE),0)</f>
        <v>0</v>
      </c>
      <c r="AB13" s="77">
        <f>IFERROR(VLOOKUP(Vaktplan!$A$51,Vaktplan!$BC$4:$CL$35,86-AK66,FALSE),0)</f>
        <v>0</v>
      </c>
      <c r="AC13" s="9">
        <f>IFERROR(VLOOKUP(Vaktplan!$A$51,Vaktplan!$BC$4:$CL$35,89-$AL66,FALSE),0)</f>
        <v>0</v>
      </c>
      <c r="AD13" s="9">
        <f t="shared" si="10"/>
        <v>0</v>
      </c>
      <c r="AE13" s="9">
        <f t="shared" si="11"/>
        <v>24</v>
      </c>
      <c r="AF13" s="77">
        <f>IFERROR(VLOOKUP(Vaktplan!$A$51,Vaktplan!$BD$4:$CL$35,86-AM66,FALSE),0)</f>
        <v>0</v>
      </c>
      <c r="AG13" s="77">
        <f>IFERROR(VLOOKUP(Vaktplan!$A$51,Vaktplan!$BD$4:$CL$35,86-AL66,FALSE),0)</f>
        <v>0</v>
      </c>
      <c r="AH13" s="9">
        <f>IFERROR(VLOOKUP(Vaktplan!$A$51,Vaktplan!$BD$4:$CL$35,89-$AM66,FALSE),0)</f>
        <v>0</v>
      </c>
      <c r="AI13" s="9">
        <f t="shared" si="12"/>
        <v>0</v>
      </c>
      <c r="AJ13" s="9">
        <f t="shared" si="13"/>
        <v>24</v>
      </c>
      <c r="AK13" s="9">
        <f t="shared" si="1"/>
        <v>0</v>
      </c>
      <c r="AL13" s="92">
        <f t="shared" si="14"/>
        <v>24</v>
      </c>
      <c r="AM13" s="10">
        <f t="shared" si="15"/>
        <v>0</v>
      </c>
    </row>
    <row r="14" spans="1:39" ht="13" x14ac:dyDescent="0.25">
      <c r="A14" s="7">
        <v>9</v>
      </c>
      <c r="B14" s="77">
        <f>IFERROR(VLOOKUP(Vaktplan!$A$51,Vaktplan!$BE$4:$CL$35,87-AH67,FALSE),0)</f>
        <v>0</v>
      </c>
      <c r="C14" s="77">
        <f>IFERROR(VLOOKUP(Vaktplan!$A$51,Vaktplan!$BE$4:$CL$35,87-AG67,FALSE),0)</f>
        <v>0</v>
      </c>
      <c r="D14" s="9">
        <f>IFERROR(VLOOKUP(Vaktplan!$A$51,Vaktplan!$BE$4:$CL$35,89-AG67,FALSE),0)</f>
        <v>0</v>
      </c>
      <c r="E14" s="9">
        <f t="shared" si="16"/>
        <v>0</v>
      </c>
      <c r="F14" s="9">
        <f t="shared" si="2"/>
        <v>24</v>
      </c>
      <c r="G14" s="77">
        <f>IFERROR(VLOOKUP(Vaktplan!$A$51,Vaktplan!$BF$4:$CL$35,86-AH67,FALSE),0)</f>
        <v>0</v>
      </c>
      <c r="H14" s="77">
        <f>IFERROR(VLOOKUP(Vaktplan!$A$51,Vaktplan!$BF$4:$CL$35,86-AG67,FALSE),0)</f>
        <v>0</v>
      </c>
      <c r="I14" s="9">
        <f>IFERROR(VLOOKUP(Vaktplan!$A$51,Vaktplan!$BF$4:$CL$35,89-$AH67,FALSE),0)</f>
        <v>0</v>
      </c>
      <c r="J14" s="9">
        <f t="shared" si="3"/>
        <v>0</v>
      </c>
      <c r="K14" s="9">
        <f t="shared" si="4"/>
        <v>24</v>
      </c>
      <c r="L14" s="77">
        <f>IFERROR(VLOOKUP(Vaktplan!$A$51,Vaktplan!$BG$4:$CL$35,86-AI67,FALSE),0)</f>
        <v>0</v>
      </c>
      <c r="M14" s="77">
        <f>IFERROR(VLOOKUP(Vaktplan!$A$51,Vaktplan!$BG$4:$CL$35,86-AH67,FALSE),0)</f>
        <v>0</v>
      </c>
      <c r="N14" s="9">
        <f>IFERROR(VLOOKUP(Vaktplan!$A$51,Vaktplan!$BG$4:$CL$35,89-$AI67,FALSE),0)</f>
        <v>0</v>
      </c>
      <c r="O14" s="9">
        <f t="shared" si="5"/>
        <v>0</v>
      </c>
      <c r="P14" s="9">
        <f t="shared" si="6"/>
        <v>24</v>
      </c>
      <c r="Q14" s="77">
        <f>IFERROR(VLOOKUP(Vaktplan!$A$51,Vaktplan!$BH$4:$CL$35,86-AJ67,FALSE),0)</f>
        <v>0</v>
      </c>
      <c r="R14" s="77">
        <f>IFERROR(VLOOKUP(Vaktplan!$A$51,Vaktplan!$BH$4:$CL$35,86-AI67,FALSE),0)</f>
        <v>0</v>
      </c>
      <c r="S14" s="9">
        <f>IFERROR(VLOOKUP(Vaktplan!$A$51,Vaktplan!$BH$4:$CL$35,89-$AJ67,FALSE),0)</f>
        <v>0</v>
      </c>
      <c r="T14" s="9">
        <f t="shared" si="0"/>
        <v>0</v>
      </c>
      <c r="U14" s="9">
        <f t="shared" si="7"/>
        <v>24</v>
      </c>
      <c r="V14" s="77">
        <f>IFERROR(VLOOKUP(Vaktplan!$A$51,Vaktplan!$BI$4:$CL$35,86-AK67,FALSE),0)</f>
        <v>0</v>
      </c>
      <c r="W14" s="77">
        <f>IFERROR(VLOOKUP(Vaktplan!$A$51,Vaktplan!$BI$4:$CL$35,86-AJ67,FALSE),0)</f>
        <v>0</v>
      </c>
      <c r="X14" s="9">
        <f>IFERROR(VLOOKUP(Vaktplan!$A$51,Vaktplan!$BI$4:$CL$35,89-$AK67,FALSE),0)</f>
        <v>0</v>
      </c>
      <c r="Y14" s="9">
        <f>IF(AND(V14=0,W14=0),0,IF(V14&lt;W14,((W14-V14)*24)-X14,(((1-V14)+W14)*24)-X14))</f>
        <v>0</v>
      </c>
      <c r="Z14" s="9">
        <f t="shared" si="9"/>
        <v>24</v>
      </c>
      <c r="AA14" s="77">
        <f>IFERROR(VLOOKUP(Vaktplan!$A$51,Vaktplan!$BJ$4:$CL$35,86-AL67,FALSE),0)</f>
        <v>0</v>
      </c>
      <c r="AB14" s="77">
        <f>IFERROR(VLOOKUP(Vaktplan!$A$51,Vaktplan!$BJ$4:$CL$35,86-AK67,FALSE),0)</f>
        <v>0</v>
      </c>
      <c r="AC14" s="9">
        <f>IFERROR(VLOOKUP(Vaktplan!$A$51,Vaktplan!$BJ$4:$CL$35,89-$AL67,FALSE),0)</f>
        <v>0</v>
      </c>
      <c r="AD14" s="9">
        <f>IF(AND(AA14=0,AB14=0),0,IF(AA14&lt;AB14,((AB14-AA14)*24)-AC14,(((1-AA14)+AB14)*24)-AC14))</f>
        <v>0</v>
      </c>
      <c r="AE14" s="9">
        <f t="shared" si="11"/>
        <v>24</v>
      </c>
      <c r="AF14" s="77">
        <f>IFERROR(VLOOKUP(Vaktplan!$A$51,Vaktplan!$BK$4:$CL$35,86-AM67,FALSE),0)</f>
        <v>0</v>
      </c>
      <c r="AG14" s="77">
        <f>IFERROR(VLOOKUP(Vaktplan!$A$51,Vaktplan!$BK$4:$CL$35,86-AL67,FALSE),0)</f>
        <v>0</v>
      </c>
      <c r="AH14" s="9">
        <f>IFERROR(VLOOKUP(Vaktplan!$A$51,Vaktplan!$BK$4:$CL$35,89-$AM67,FALSE),0)</f>
        <v>0</v>
      </c>
      <c r="AI14" s="9">
        <f>IF(AND(AF14=0,AG14=0),0,IF(AF14&lt;AG14,((AG14-AF14)*24)-AH14,(((1-AF14)+AG14)*24)-AH14))</f>
        <v>0</v>
      </c>
      <c r="AJ14" s="9">
        <f t="shared" si="13"/>
        <v>24</v>
      </c>
      <c r="AK14" s="9">
        <f t="shared" si="1"/>
        <v>0</v>
      </c>
      <c r="AL14" s="92"/>
      <c r="AM14" s="10"/>
    </row>
    <row r="15" spans="1:39" ht="13" x14ac:dyDescent="0.25">
      <c r="A15" s="7">
        <v>10</v>
      </c>
      <c r="B15" s="77">
        <f>IFERROR(VLOOKUP(Vaktplan!$A$51,Vaktplan!$BL$4:$CL$35,87-AH68,FALSE),0)</f>
        <v>0</v>
      </c>
      <c r="C15" s="77">
        <f>IFERROR(VLOOKUP(Vaktplan!$A$51,Vaktplan!$BL$4:$CL$35,87-AG68,FALSE),0)</f>
        <v>0</v>
      </c>
      <c r="D15" s="9">
        <f>IFERROR(VLOOKUP(Vaktplan!$A$51,Vaktplan!$BL$4:$CL$35,89-AG68,FALSE),0)</f>
        <v>0</v>
      </c>
      <c r="E15" s="9">
        <f t="shared" si="16"/>
        <v>0</v>
      </c>
      <c r="F15" s="9">
        <f t="shared" si="2"/>
        <v>24</v>
      </c>
      <c r="G15" s="77">
        <f>IFERROR(VLOOKUP(Vaktplan!$A$51,Vaktplan!$BM$4:$CL$35,86-AH68,FALSE),0)</f>
        <v>0</v>
      </c>
      <c r="H15" s="77">
        <f>IFERROR(VLOOKUP(Vaktplan!$A$51,Vaktplan!$BM$4:$CL$35,86-AG68,FALSE),0)</f>
        <v>0</v>
      </c>
      <c r="I15" s="9">
        <f>IFERROR(VLOOKUP(Vaktplan!$A$51,Vaktplan!$BM$4:$CL$35,89-$AH68,FALSE),0)</f>
        <v>0</v>
      </c>
      <c r="J15" s="9">
        <f t="shared" si="3"/>
        <v>0</v>
      </c>
      <c r="K15" s="9">
        <f t="shared" si="4"/>
        <v>24</v>
      </c>
      <c r="L15" s="77">
        <f>IFERROR(VLOOKUP(Vaktplan!$A$51,Vaktplan!$BN$4:$CL$35,86-AI68,FALSE),0)</f>
        <v>0</v>
      </c>
      <c r="M15" s="77">
        <f>IFERROR(VLOOKUP(Vaktplan!$A$51,Vaktplan!$BN$4:$CL$35,86-AH68,FALSE),0)</f>
        <v>0</v>
      </c>
      <c r="N15" s="9">
        <f>IFERROR(VLOOKUP(Vaktplan!$A$51,Vaktplan!$BN$4:$CL$35,89-$AI68,FALSE),0)</f>
        <v>0</v>
      </c>
      <c r="O15" s="9">
        <f t="shared" si="5"/>
        <v>0</v>
      </c>
      <c r="P15" s="9">
        <f t="shared" si="6"/>
        <v>24</v>
      </c>
      <c r="Q15" s="77">
        <f>IFERROR(VLOOKUP(Vaktplan!$A$51,Vaktplan!$BO$4:$CL$35,86-AJ68,FALSE),0)</f>
        <v>0</v>
      </c>
      <c r="R15" s="77">
        <f>IFERROR(VLOOKUP(Vaktplan!$A$51,Vaktplan!$BO$4:$CL$35,86-AI68,FALSE),0)</f>
        <v>0</v>
      </c>
      <c r="S15" s="9">
        <f>IFERROR(VLOOKUP(Vaktplan!$A$51,Vaktplan!$BO$4:$CL$35,89-$AJ68,FALSE),0)</f>
        <v>0</v>
      </c>
      <c r="T15" s="9">
        <f t="shared" si="0"/>
        <v>0</v>
      </c>
      <c r="U15" s="9">
        <f t="shared" si="7"/>
        <v>24</v>
      </c>
      <c r="V15" s="77">
        <f>IFERROR(VLOOKUP(Vaktplan!$A$51,Vaktplan!$BP$4:$CL$35,86-AK68,FALSE),0)</f>
        <v>0</v>
      </c>
      <c r="W15" s="77">
        <f>IFERROR(VLOOKUP(Vaktplan!$A$51,Vaktplan!$BP$4:$CL$35,86-AJ68,FALSE),0)</f>
        <v>0</v>
      </c>
      <c r="X15" s="9">
        <f>IFERROR(VLOOKUP(Vaktplan!$A$51,Vaktplan!$BP$4:$CL$35,89-$AK68,FALSE),0)</f>
        <v>0</v>
      </c>
      <c r="Y15" s="9">
        <f>IF(AND(V15=0,W15=0),0,IF(V15&lt;W15,((W15-V15)*24)-X15,(((1-V15)+W15)*24)-X15))</f>
        <v>0</v>
      </c>
      <c r="Z15" s="9">
        <f t="shared" si="9"/>
        <v>24</v>
      </c>
      <c r="AA15" s="77">
        <f>IFERROR(VLOOKUP(Vaktplan!$A$51,Vaktplan!$BQ$4:$CL$35,86-AL68,FALSE),0)</f>
        <v>0</v>
      </c>
      <c r="AB15" s="77">
        <f>IFERROR(VLOOKUP(Vaktplan!$A$51,Vaktplan!$BQ$4:$CL$35,86-AK68,FALSE),0)</f>
        <v>0</v>
      </c>
      <c r="AC15" s="9">
        <f>IFERROR(VLOOKUP(Vaktplan!$A$51,Vaktplan!$BQ$4:$CL$35,89-$AL68,FALSE),0)</f>
        <v>0</v>
      </c>
      <c r="AD15" s="9">
        <f>IF(AND(AA15=0,AB15=0),0,IF(AA15&lt;AB15,((AB15-AA15)*24)-AC15,(((1-AA15)+AB15)*24)-AC15))</f>
        <v>0</v>
      </c>
      <c r="AE15" s="9">
        <f t="shared" si="11"/>
        <v>24</v>
      </c>
      <c r="AF15" s="77">
        <f>IFERROR(VLOOKUP(Vaktplan!$A$51,Vaktplan!$BR$4:$CL$35,86-AM68,FALSE),0)</f>
        <v>0</v>
      </c>
      <c r="AG15" s="77">
        <f>IFERROR(VLOOKUP(Vaktplan!$A$51,Vaktplan!$BR$4:$CL$35,86-AL68,FALSE),0)</f>
        <v>0</v>
      </c>
      <c r="AH15" s="9">
        <f>IFERROR(VLOOKUP(Vaktplan!$A$51,Vaktplan!$BR$4:$CL$35,89-$AM68,FALSE),0)</f>
        <v>0</v>
      </c>
      <c r="AI15" s="9">
        <f>IF(AND(AF15=0,AG15=0),0,IF(AF15&lt;AG15,((AG15-AF15)*24)-AH15,(((1-AF15)+AG15)*24)-AH15))</f>
        <v>0</v>
      </c>
      <c r="AJ15" s="9">
        <f t="shared" si="13"/>
        <v>24</v>
      </c>
      <c r="AK15" s="9">
        <f t="shared" si="1"/>
        <v>0</v>
      </c>
      <c r="AL15" s="92"/>
      <c r="AM15" s="10"/>
    </row>
    <row r="16" spans="1:39" ht="13" x14ac:dyDescent="0.25">
      <c r="A16" s="7">
        <v>11</v>
      </c>
      <c r="B16" s="77">
        <f>IFERROR(VLOOKUP(Vaktplan!$A$51,Vaktplan!$BS$4:$CL$35,87-AH69,FALSE),0)</f>
        <v>0</v>
      </c>
      <c r="C16" s="77">
        <f>IFERROR(VLOOKUP(Vaktplan!$A$51,Vaktplan!$BS$4:$CL$35,87-AG69,FALSE),0)</f>
        <v>0</v>
      </c>
      <c r="D16" s="9">
        <f>IFERROR(VLOOKUP(Vaktplan!$A$51,Vaktplan!$BS$4:$CL$35,89-AG69,FALSE),0)</f>
        <v>0</v>
      </c>
      <c r="E16" s="9">
        <f t="shared" si="16"/>
        <v>0</v>
      </c>
      <c r="F16" s="9">
        <f t="shared" si="2"/>
        <v>24</v>
      </c>
      <c r="G16" s="77">
        <f>IFERROR(VLOOKUP(Vaktplan!$A$51,Vaktplan!$BT$4:$CL$35,86-AH69,FALSE),0)</f>
        <v>0</v>
      </c>
      <c r="H16" s="77">
        <f>IFERROR(VLOOKUP(Vaktplan!$A$51,Vaktplan!$BT$4:$CL$35,86-AG69,FALSE),0)</f>
        <v>0</v>
      </c>
      <c r="I16" s="9">
        <f>IFERROR(VLOOKUP(Vaktplan!$A$51,Vaktplan!$BT$4:$CL$35,89-$AH69,FALSE),0)</f>
        <v>0</v>
      </c>
      <c r="J16" s="9">
        <f t="shared" si="3"/>
        <v>0</v>
      </c>
      <c r="K16" s="9">
        <f t="shared" si="4"/>
        <v>24</v>
      </c>
      <c r="L16" s="77">
        <f>IFERROR(VLOOKUP(Vaktplan!$A$51,Vaktplan!$BU$4:$CL$35,86-AI69,FALSE),0)</f>
        <v>0</v>
      </c>
      <c r="M16" s="77">
        <f>IFERROR(VLOOKUP(Vaktplan!$A$51,Vaktplan!$BU$4:$CL$35,86-AH69,FALSE),0)</f>
        <v>0</v>
      </c>
      <c r="N16" s="9">
        <f>IFERROR(VLOOKUP(Vaktplan!$A$51,Vaktplan!$BU$4:$CL$35,89-$AI69,FALSE),0)</f>
        <v>0</v>
      </c>
      <c r="O16" s="9">
        <f t="shared" si="5"/>
        <v>0</v>
      </c>
      <c r="P16" s="9">
        <f t="shared" si="6"/>
        <v>24</v>
      </c>
      <c r="Q16" s="77">
        <f>IFERROR(VLOOKUP(Vaktplan!$A$51,Vaktplan!$BV$4:$CL$35,86-AJ69,FALSE),0)</f>
        <v>0</v>
      </c>
      <c r="R16" s="77">
        <f>IFERROR(VLOOKUP(Vaktplan!$A$51,Vaktplan!$BV$4:$CL$35,86-AI69,FALSE),0)</f>
        <v>0</v>
      </c>
      <c r="S16" s="9">
        <f>IFERROR(VLOOKUP(Vaktplan!$A$51,Vaktplan!$BV$4:$CL$35,89-$AJ69,FALSE),0)</f>
        <v>0</v>
      </c>
      <c r="T16" s="9">
        <f t="shared" si="0"/>
        <v>0</v>
      </c>
      <c r="U16" s="9">
        <f t="shared" si="7"/>
        <v>24</v>
      </c>
      <c r="V16" s="77">
        <f>IFERROR(VLOOKUP(Vaktplan!$A$51,Vaktplan!$BW$4:$CL$35,86-AK69,FALSE),0)</f>
        <v>0</v>
      </c>
      <c r="W16" s="77">
        <f>IFERROR(VLOOKUP(Vaktplan!$A$51,Vaktplan!$BW$4:$CL$35,86-AJ69,FALSE),0)</f>
        <v>0</v>
      </c>
      <c r="X16" s="9">
        <f>IFERROR(VLOOKUP(Vaktplan!$A$51,Vaktplan!$BW$4:$CL$35,89-$AK69,FALSE),0)</f>
        <v>0</v>
      </c>
      <c r="Y16" s="9">
        <f>IF(AND(V16=0,W16=0),0,IF(V16&lt;W16,((W16-V16)*24)-X16,(((1-V16)+W16)*24)-X16))</f>
        <v>0</v>
      </c>
      <c r="Z16" s="9">
        <f t="shared" si="9"/>
        <v>24</v>
      </c>
      <c r="AA16" s="77">
        <f>IFERROR(VLOOKUP(Vaktplan!$A$51,Vaktplan!$BX$4:$CL$35,86-AL69,FALSE),0)</f>
        <v>0</v>
      </c>
      <c r="AB16" s="77">
        <f>IFERROR(VLOOKUP(Vaktplan!$A$51,Vaktplan!$BX$4:$CL$35,86-AK69,FALSE),0)</f>
        <v>0</v>
      </c>
      <c r="AC16" s="9">
        <f>IFERROR(VLOOKUP(Vaktplan!$A$51,Vaktplan!$BX$4:$CL$35,89-$AL69,FALSE),0)</f>
        <v>0</v>
      </c>
      <c r="AD16" s="9">
        <f>IF(AND(AA16=0,AB16=0),0,IF(AA16&lt;AB16,((AB16-AA16)*24)-AC16,(((1-AA16)+AB16)*24)-AC16))</f>
        <v>0</v>
      </c>
      <c r="AE16" s="9">
        <f t="shared" si="11"/>
        <v>24</v>
      </c>
      <c r="AF16" s="77">
        <f>IFERROR(VLOOKUP(Vaktplan!$A$51,Vaktplan!$BY$4:$CL$35,86-AM69,FALSE),0)</f>
        <v>0</v>
      </c>
      <c r="AG16" s="77">
        <f>IFERROR(VLOOKUP(Vaktplan!$A$51,Vaktplan!$BY$4:$CL$35,86-AL69,FALSE),0)</f>
        <v>0</v>
      </c>
      <c r="AH16" s="9">
        <f>IFERROR(VLOOKUP(Vaktplan!$A$51,Vaktplan!$BY$4:$CL$35,89-$AM69,FALSE),0)</f>
        <v>0</v>
      </c>
      <c r="AI16" s="9">
        <f>IF(AND(AF16=0,AG16=0),0,IF(AF16&lt;AG16,((AG16-AF16)*24)-AH16,(((1-AF16)+AG16)*24)-AH16))</f>
        <v>0</v>
      </c>
      <c r="AJ16" s="9">
        <f t="shared" si="13"/>
        <v>24</v>
      </c>
      <c r="AK16" s="9">
        <f t="shared" si="1"/>
        <v>0</v>
      </c>
      <c r="AL16" s="92"/>
      <c r="AM16" s="10"/>
    </row>
    <row r="17" spans="1:43" ht="13" x14ac:dyDescent="0.25">
      <c r="A17" s="7">
        <v>12</v>
      </c>
      <c r="B17" s="77">
        <f>IFERROR(VLOOKUP(Vaktplan!$A$51,Vaktplan!$BZ$4:$CL$35,87-AH70,FALSE),0)</f>
        <v>0</v>
      </c>
      <c r="C17" s="77">
        <f>IFERROR(VLOOKUP(Vaktplan!$A$51,Vaktplan!$BZ$4:$CL$35,87-AG70,FALSE),0)</f>
        <v>0</v>
      </c>
      <c r="D17" s="9">
        <f>IFERROR(VLOOKUP(Vaktplan!$A$51,Vaktplan!$BZ$4:$CL$35,89-AG70,FALSE),0)</f>
        <v>0</v>
      </c>
      <c r="E17" s="9">
        <f t="shared" si="16"/>
        <v>0</v>
      </c>
      <c r="F17" s="9">
        <f t="shared" si="2"/>
        <v>24</v>
      </c>
      <c r="G17" s="77">
        <f>IFERROR(VLOOKUP(Vaktplan!$A$51,Vaktplan!$CA$4:$CL$35,86-AH70,FALSE),0)</f>
        <v>0</v>
      </c>
      <c r="H17" s="77">
        <f>IFERROR(VLOOKUP(Vaktplan!$A$51,Vaktplan!$CA$4:$CL$35,86-AG70,FALSE),0)</f>
        <v>0</v>
      </c>
      <c r="I17" s="9">
        <f>IFERROR(VLOOKUP(Vaktplan!$A$51,Vaktplan!$CA$4:$CL$35,89-$AH70,FALSE),0)</f>
        <v>0</v>
      </c>
      <c r="J17" s="9">
        <f t="shared" si="3"/>
        <v>0</v>
      </c>
      <c r="K17" s="9">
        <f t="shared" si="4"/>
        <v>24</v>
      </c>
      <c r="L17" s="77">
        <f>IFERROR(VLOOKUP(Vaktplan!$A$51,Vaktplan!$CB$4:$CL$35,86-AI70,FALSE),0)</f>
        <v>0</v>
      </c>
      <c r="M17" s="77">
        <f>IFERROR(VLOOKUP(Vaktplan!$A$51,Vaktplan!$CB$4:$CL$35,86-AH70,FALSE),0)</f>
        <v>0</v>
      </c>
      <c r="N17" s="9">
        <f>IFERROR(VLOOKUP(Vaktplan!$A$51,Vaktplan!$CB$4:$CL$35,89-$AI70,FALSE),0)</f>
        <v>0</v>
      </c>
      <c r="O17" s="9">
        <f t="shared" si="5"/>
        <v>0</v>
      </c>
      <c r="P17" s="9">
        <f t="shared" si="6"/>
        <v>24</v>
      </c>
      <c r="Q17" s="77">
        <f>IFERROR(VLOOKUP(Vaktplan!$A$51,Vaktplan!$CC$4:$CL$35,86-AJ70,FALSE),0)</f>
        <v>0</v>
      </c>
      <c r="R17" s="77">
        <f>IFERROR(VLOOKUP(Vaktplan!$A$51,Vaktplan!$CC$4:$CL$35,86-AI70,FALSE),0)</f>
        <v>0</v>
      </c>
      <c r="S17" s="9">
        <f>IFERROR(VLOOKUP(Vaktplan!$A$51,Vaktplan!$CC$4:$CL$35,89-$AJ70,FALSE),0)</f>
        <v>0</v>
      </c>
      <c r="T17" s="9">
        <f t="shared" si="0"/>
        <v>0</v>
      </c>
      <c r="U17" s="9">
        <f t="shared" si="7"/>
        <v>24</v>
      </c>
      <c r="V17" s="77">
        <f>IFERROR(VLOOKUP(Vaktplan!$A$51,Vaktplan!$CD$4:$CL$35,86-AK70,FALSE),0)</f>
        <v>0</v>
      </c>
      <c r="W17" s="77">
        <f>IFERROR(VLOOKUP(Vaktplan!$A$51,Vaktplan!$CD$4:$CL$35,86-AJ70,FALSE),0)</f>
        <v>0</v>
      </c>
      <c r="X17" s="9">
        <f>IFERROR(VLOOKUP(Vaktplan!$A$51,Vaktplan!$CD$4:$CL$35,89-$AK70,FALSE),0)</f>
        <v>0</v>
      </c>
      <c r="Y17" s="9">
        <f>IF(AND(V17=0,W17=0),0,IF(V17&lt;W17,((W17-V17)*24)-X17,(((1-V17)+W17)*24)-X17))</f>
        <v>0</v>
      </c>
      <c r="Z17" s="9">
        <f t="shared" si="9"/>
        <v>24</v>
      </c>
      <c r="AA17" s="77">
        <f>IFERROR(VLOOKUP(Vaktplan!$A$51,Vaktplan!$CE$4:$CL$35,86-AL70,FALSE),0)</f>
        <v>0</v>
      </c>
      <c r="AB17" s="77">
        <f>IFERROR(VLOOKUP(Vaktplan!$A$51,Vaktplan!$CE$4:$CL$35,86-AK70,FALSE),0)</f>
        <v>0</v>
      </c>
      <c r="AC17" s="9">
        <f>IFERROR(VLOOKUP(Vaktplan!$A$51,Vaktplan!$CE$4:$FCE$35,89-$AL70,FALSE),0)</f>
        <v>0</v>
      </c>
      <c r="AD17" s="9">
        <f>IF(AND(AA17=0,AB17=0),0,IF(AA17&lt;AB17,((AB17-AA17)*24)-AC17,(((1-AA17)+AB17)*24)-AC17))</f>
        <v>0</v>
      </c>
      <c r="AE17" s="9">
        <f t="shared" si="11"/>
        <v>24</v>
      </c>
      <c r="AF17" s="77">
        <f>IFERROR(VLOOKUP(Vaktplan!$A$51,Vaktplan!$CF$4:$CL$35,86-AM70,FALSE),0)</f>
        <v>0</v>
      </c>
      <c r="AG17" s="77">
        <f>IFERROR(VLOOKUP(Vaktplan!$A$51,Vaktplan!$CF$4:$CL$35,86-AL70,FALSE),0)</f>
        <v>0</v>
      </c>
      <c r="AH17" s="9">
        <f>IFERROR(VLOOKUP(Vaktplan!$A$51,Vaktplan!$CF$4:$CL$35,89-$AM70,FALSE),0)</f>
        <v>0</v>
      </c>
      <c r="AI17" s="9">
        <f>IF(AND(AF17=0,AG17=0),0,IF(AF17&lt;AG17,((AG17-AF17)*24)-AH17,(((1-AF17)+AG17)*24)-AH17))</f>
        <v>0</v>
      </c>
      <c r="AJ17" s="9">
        <f t="shared" si="13"/>
        <v>24</v>
      </c>
      <c r="AK17" s="9">
        <f t="shared" si="1"/>
        <v>0</v>
      </c>
      <c r="AL17" s="92"/>
      <c r="AM17" s="10"/>
    </row>
    <row r="19" spans="1:43" ht="13" x14ac:dyDescent="0.3">
      <c r="A19" s="4" t="s">
        <v>76</v>
      </c>
    </row>
    <row r="20" spans="1:43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3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3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3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3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6" spans="1:43" ht="13" x14ac:dyDescent="0.3">
      <c r="A26" s="4" t="s">
        <v>77</v>
      </c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</row>
    <row r="27" spans="1:43" ht="13" x14ac:dyDescent="0.3">
      <c r="A27" s="3" t="s">
        <v>78</v>
      </c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80" t="s">
        <v>79</v>
      </c>
      <c r="AM27" s="78"/>
      <c r="AN27" s="78"/>
      <c r="AO27" s="78"/>
    </row>
    <row r="28" spans="1:43" ht="13" x14ac:dyDescent="0.3">
      <c r="A28" s="98" t="s">
        <v>36</v>
      </c>
      <c r="B28" s="98"/>
      <c r="C28" s="98"/>
      <c r="D28" s="88"/>
      <c r="E28" s="8">
        <f>E2</f>
        <v>0</v>
      </c>
      <c r="F28" s="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>
        <v>1</v>
      </c>
      <c r="AM28" s="78"/>
      <c r="AN28" s="78"/>
      <c r="AO28" s="78"/>
    </row>
    <row r="29" spans="1:43" ht="13" x14ac:dyDescent="0.3">
      <c r="A29" s="98" t="s">
        <v>80</v>
      </c>
      <c r="B29" s="98"/>
      <c r="C29" s="98"/>
      <c r="D29" s="88"/>
      <c r="E29" s="5">
        <f>E3</f>
        <v>0</v>
      </c>
      <c r="F29" s="5"/>
      <c r="T29" s="10"/>
      <c r="U29" s="10"/>
      <c r="V29" s="10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80" t="s">
        <v>81</v>
      </c>
      <c r="AH29" s="80"/>
      <c r="AI29" s="78"/>
      <c r="AJ29" s="78"/>
      <c r="AK29" s="78"/>
      <c r="AL29" s="78">
        <v>2</v>
      </c>
      <c r="AM29" s="78"/>
      <c r="AN29" s="78"/>
      <c r="AO29" s="78"/>
      <c r="AP29" s="10"/>
      <c r="AQ29" s="10"/>
    </row>
    <row r="30" spans="1:43" ht="13" x14ac:dyDescent="0.3">
      <c r="A30" s="98" t="s">
        <v>82</v>
      </c>
      <c r="B30" s="98"/>
      <c r="C30" s="98"/>
      <c r="D30" s="88"/>
      <c r="T30" s="10"/>
      <c r="U30" s="10"/>
      <c r="V30" s="10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>
        <v>3</v>
      </c>
      <c r="AM30" s="78"/>
      <c r="AN30" s="78"/>
      <c r="AO30" s="78"/>
      <c r="AP30" s="10"/>
      <c r="AQ30" s="10"/>
    </row>
    <row r="31" spans="1:43" ht="13" x14ac:dyDescent="0.3">
      <c r="A31" s="4" t="s">
        <v>83</v>
      </c>
      <c r="B31" s="4" t="s">
        <v>84</v>
      </c>
      <c r="C31" s="4" t="s">
        <v>85</v>
      </c>
      <c r="D31" s="98" t="s">
        <v>86</v>
      </c>
      <c r="E31" s="98"/>
      <c r="F31" s="4" t="s">
        <v>87</v>
      </c>
      <c r="G31" s="4" t="s">
        <v>88</v>
      </c>
      <c r="H31" s="98" t="s">
        <v>27</v>
      </c>
      <c r="I31" s="98"/>
      <c r="J31" s="4" t="s">
        <v>28</v>
      </c>
      <c r="K31" s="4" t="s">
        <v>29</v>
      </c>
      <c r="L31" s="4" t="s">
        <v>30</v>
      </c>
      <c r="M31" s="4" t="s">
        <v>31</v>
      </c>
      <c r="N31" s="98" t="s">
        <v>32</v>
      </c>
      <c r="O31" s="98"/>
      <c r="T31" s="10"/>
      <c r="U31" s="10"/>
      <c r="V31" s="10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80" t="s">
        <v>9</v>
      </c>
      <c r="AH31" s="80"/>
      <c r="AI31" s="78"/>
      <c r="AJ31" s="78"/>
      <c r="AK31" s="78"/>
      <c r="AL31" s="78">
        <v>4</v>
      </c>
      <c r="AM31" s="78"/>
      <c r="AN31" s="78"/>
      <c r="AO31" s="78"/>
      <c r="AP31" s="10"/>
      <c r="AQ31" s="10"/>
    </row>
    <row r="32" spans="1:43" ht="13" x14ac:dyDescent="0.3">
      <c r="A32" s="3">
        <f>AK6</f>
        <v>0</v>
      </c>
      <c r="B32" s="3">
        <f>AK7</f>
        <v>0</v>
      </c>
      <c r="C32" s="3">
        <f>AK8</f>
        <v>0</v>
      </c>
      <c r="D32" s="101">
        <f>AK9</f>
        <v>0</v>
      </c>
      <c r="E32" s="101"/>
      <c r="F32" s="3">
        <f>AK10</f>
        <v>0</v>
      </c>
      <c r="G32" s="3">
        <f>AK11</f>
        <v>0</v>
      </c>
      <c r="H32" s="101">
        <f>AK12</f>
        <v>0</v>
      </c>
      <c r="I32" s="101"/>
      <c r="J32" s="3">
        <f>AK13</f>
        <v>0</v>
      </c>
      <c r="K32" s="3">
        <f>AK14</f>
        <v>0</v>
      </c>
      <c r="L32" s="3">
        <f>AK15</f>
        <v>0</v>
      </c>
      <c r="M32" s="3">
        <f>AK16</f>
        <v>0</v>
      </c>
      <c r="N32" s="101">
        <f>AK17</f>
        <v>0</v>
      </c>
      <c r="O32" s="101"/>
      <c r="T32" s="11" t="s">
        <v>70</v>
      </c>
      <c r="U32" s="10" t="s">
        <v>89</v>
      </c>
      <c r="V32" s="10" t="s">
        <v>90</v>
      </c>
      <c r="W32" s="78" t="s">
        <v>91</v>
      </c>
      <c r="X32" s="78" t="s">
        <v>92</v>
      </c>
      <c r="Y32" s="78" t="s">
        <v>93</v>
      </c>
      <c r="Z32" s="78" t="s">
        <v>94</v>
      </c>
      <c r="AA32" s="78"/>
      <c r="AB32" s="78"/>
      <c r="AC32" s="78"/>
      <c r="AD32" s="78"/>
      <c r="AE32" s="78"/>
      <c r="AF32" s="78"/>
      <c r="AG32" s="78" t="s">
        <v>10</v>
      </c>
      <c r="AH32" s="78"/>
      <c r="AI32" s="79">
        <v>42177</v>
      </c>
      <c r="AJ32" s="79"/>
      <c r="AK32" s="78"/>
      <c r="AL32" s="78">
        <v>5</v>
      </c>
      <c r="AM32" s="78"/>
      <c r="AN32" s="78"/>
      <c r="AO32" s="78"/>
      <c r="AP32" s="10"/>
      <c r="AQ32" s="10"/>
    </row>
    <row r="33" spans="1:43" ht="13" x14ac:dyDescent="0.3">
      <c r="A33" s="98" t="s">
        <v>95</v>
      </c>
      <c r="B33" s="98"/>
      <c r="C33" s="98"/>
      <c r="D33" s="88"/>
      <c r="G33" s="101"/>
      <c r="H33" s="101"/>
      <c r="I33" s="90"/>
      <c r="T33" s="10">
        <v>1</v>
      </c>
      <c r="U33" s="10">
        <f>IF(AND(B6&gt;0,G6&gt;0),0,IF(AND(G6&gt;0),0,F6+K6))</f>
        <v>48</v>
      </c>
      <c r="V33" s="10">
        <f>IF(AND(G6&gt;0,L6&gt;0),0,IF(AND(L6&gt;0),0,K6+P6))</f>
        <v>48</v>
      </c>
      <c r="W33" s="78">
        <f>IF(AND(L6&gt;0,Q6&gt;0),0,IF(AND(Q6&gt;0),0,P6+U6))</f>
        <v>48</v>
      </c>
      <c r="X33" s="78">
        <f>IF(AND(Q6&gt;0,V6&gt;0),0,IF(AND(V6&gt;0),0,U6+Z6))</f>
        <v>48</v>
      </c>
      <c r="Y33" s="78">
        <f>IF(AND(V6&gt;0,AA6&gt;0),0,IF(AND(AA6&gt;0),0,Z6+AE6))</f>
        <v>48</v>
      </c>
      <c r="Z33" s="78">
        <f>IF(AND(AA6&gt;0,AF6&gt;0),0,IF(AND(AF6&gt;0),0,AE6+AJ6))</f>
        <v>48</v>
      </c>
      <c r="AA33" s="78"/>
      <c r="AB33" s="78"/>
      <c r="AC33" s="78"/>
      <c r="AD33" s="78"/>
      <c r="AE33" s="78"/>
      <c r="AF33" s="78"/>
      <c r="AG33" s="78" t="s">
        <v>11</v>
      </c>
      <c r="AH33" s="78"/>
      <c r="AI33" s="79">
        <v>42178</v>
      </c>
      <c r="AJ33" s="79"/>
      <c r="AK33" s="78"/>
      <c r="AL33" s="78">
        <v>6</v>
      </c>
      <c r="AM33" s="78"/>
      <c r="AN33" s="78"/>
      <c r="AO33" s="78"/>
      <c r="AP33" s="10"/>
      <c r="AQ33" s="10"/>
    </row>
    <row r="34" spans="1:43" x14ac:dyDescent="0.25">
      <c r="A34" s="101" t="s">
        <v>96</v>
      </c>
      <c r="B34" s="101"/>
      <c r="C34" s="3">
        <f>(AK6+AK7+AK8+AK9+AK10+AK11+AK12+AK13+AK14+AK15+AK16+AK17)/M1</f>
        <v>0</v>
      </c>
      <c r="T34" s="10">
        <v>2</v>
      </c>
      <c r="U34" s="10">
        <f t="shared" ref="U34:U40" si="17">IF(AND(B7&gt;0,G7&gt;0),0,IF(AND(G7&gt;0),0,F7+K7))</f>
        <v>48</v>
      </c>
      <c r="V34" s="10">
        <f t="shared" ref="V34:V40" si="18">IF(AND(G7&gt;0,L7&gt;0),0,IF(AND(L7&gt;0),0,K7+P7))</f>
        <v>48</v>
      </c>
      <c r="W34" s="78">
        <f t="shared" ref="W34:W44" si="19">IF(AND(L7&gt;0,Q7&gt;0),0,IF(AND(Q7&gt;0),0,P7+U7))</f>
        <v>48</v>
      </c>
      <c r="X34" s="78">
        <f t="shared" ref="X34:X44" si="20">IF(AND(Q7&gt;0,V7&gt;0),0,IF(AND(V7&gt;0),0,U7+Z7))</f>
        <v>48</v>
      </c>
      <c r="Y34" s="78">
        <f t="shared" ref="Y34:Y44" si="21">IF(AND(V7&gt;0,AA7&gt;0),0,IF(AND(AA7&gt;0),0,Z7+AE7))</f>
        <v>48</v>
      </c>
      <c r="Z34" s="78">
        <f t="shared" ref="Z34:Z44" si="22">IF(AND(AA7&gt;0,AF7&gt;0),0,IF(AND(AF7&gt;0),0,AE7+AJ7))</f>
        <v>48</v>
      </c>
      <c r="AA34" s="78"/>
      <c r="AB34" s="78"/>
      <c r="AC34" s="78"/>
      <c r="AD34" s="78"/>
      <c r="AE34" s="78"/>
      <c r="AF34" s="78"/>
      <c r="AG34" s="78" t="s">
        <v>12</v>
      </c>
      <c r="AH34" s="78"/>
      <c r="AI34" s="79">
        <v>42179</v>
      </c>
      <c r="AJ34" s="79"/>
      <c r="AK34" s="78"/>
      <c r="AL34" s="78">
        <v>7</v>
      </c>
      <c r="AM34" s="78"/>
      <c r="AN34" s="78"/>
      <c r="AO34" s="78"/>
      <c r="AP34" s="10"/>
      <c r="AQ34" s="10"/>
    </row>
    <row r="35" spans="1:43" x14ac:dyDescent="0.25">
      <c r="T35" s="10">
        <v>3</v>
      </c>
      <c r="U35" s="10">
        <f t="shared" si="17"/>
        <v>48</v>
      </c>
      <c r="V35" s="10">
        <f t="shared" si="18"/>
        <v>48</v>
      </c>
      <c r="W35" s="78">
        <f t="shared" si="19"/>
        <v>48</v>
      </c>
      <c r="X35" s="78">
        <f t="shared" si="20"/>
        <v>48</v>
      </c>
      <c r="Y35" s="78">
        <f t="shared" si="21"/>
        <v>48</v>
      </c>
      <c r="Z35" s="78">
        <f t="shared" si="22"/>
        <v>48</v>
      </c>
      <c r="AA35" s="78"/>
      <c r="AB35" s="78"/>
      <c r="AC35" s="78"/>
      <c r="AD35" s="78"/>
      <c r="AE35" s="78"/>
      <c r="AF35" s="78"/>
      <c r="AG35" s="78" t="s">
        <v>13</v>
      </c>
      <c r="AH35" s="78"/>
      <c r="AI35" s="79">
        <v>42180</v>
      </c>
      <c r="AJ35" s="79"/>
      <c r="AK35" s="78"/>
      <c r="AL35" s="78">
        <v>8</v>
      </c>
      <c r="AM35" s="78"/>
      <c r="AN35" s="78"/>
      <c r="AO35" s="78"/>
      <c r="AP35" s="78"/>
      <c r="AQ35" s="10"/>
    </row>
    <row r="36" spans="1:43" ht="13" x14ac:dyDescent="0.3">
      <c r="A36" s="98" t="s">
        <v>97</v>
      </c>
      <c r="B36" s="98"/>
      <c r="C36" s="98"/>
      <c r="D36" s="98"/>
      <c r="E36" s="98"/>
      <c r="F36" s="88"/>
      <c r="T36" s="10">
        <v>4</v>
      </c>
      <c r="U36" s="10">
        <f t="shared" si="17"/>
        <v>48</v>
      </c>
      <c r="V36" s="10">
        <f t="shared" si="18"/>
        <v>48</v>
      </c>
      <c r="W36" s="78">
        <f t="shared" si="19"/>
        <v>48</v>
      </c>
      <c r="X36" s="78">
        <f t="shared" si="20"/>
        <v>48</v>
      </c>
      <c r="Y36" s="78">
        <f t="shared" si="21"/>
        <v>48</v>
      </c>
      <c r="Z36" s="78">
        <f t="shared" si="22"/>
        <v>48</v>
      </c>
      <c r="AA36" s="78"/>
      <c r="AB36" s="78"/>
      <c r="AC36" s="78"/>
      <c r="AD36" s="78"/>
      <c r="AE36" s="78"/>
      <c r="AF36" s="78"/>
      <c r="AG36" s="78" t="s">
        <v>14</v>
      </c>
      <c r="AH36" s="78"/>
      <c r="AI36" s="79">
        <v>42181</v>
      </c>
      <c r="AJ36" s="79"/>
      <c r="AK36" s="78"/>
      <c r="AL36" s="3">
        <v>9</v>
      </c>
      <c r="AM36" s="78"/>
      <c r="AN36" s="78"/>
      <c r="AO36" s="78"/>
      <c r="AP36" s="78"/>
      <c r="AQ36" s="10"/>
    </row>
    <row r="37" spans="1:43" x14ac:dyDescent="0.25">
      <c r="A37" s="99" t="e">
        <f>C34/E3</f>
        <v>#DIV/0!</v>
      </c>
      <c r="B37" s="99"/>
      <c r="C37" s="99"/>
      <c r="T37" s="10">
        <v>5</v>
      </c>
      <c r="U37" s="10">
        <f t="shared" si="17"/>
        <v>48</v>
      </c>
      <c r="V37" s="10">
        <f t="shared" si="18"/>
        <v>48</v>
      </c>
      <c r="W37" s="78">
        <f t="shared" si="19"/>
        <v>48</v>
      </c>
      <c r="X37" s="78">
        <f t="shared" si="20"/>
        <v>48</v>
      </c>
      <c r="Y37" s="78">
        <f t="shared" si="21"/>
        <v>48</v>
      </c>
      <c r="Z37" s="78">
        <f t="shared" si="22"/>
        <v>48</v>
      </c>
      <c r="AA37" s="78"/>
      <c r="AB37" s="78"/>
      <c r="AC37" s="78"/>
      <c r="AD37" s="78"/>
      <c r="AE37" s="78"/>
      <c r="AF37" s="78"/>
      <c r="AG37" s="78" t="s">
        <v>15</v>
      </c>
      <c r="AH37" s="78"/>
      <c r="AI37" s="79">
        <v>42182</v>
      </c>
      <c r="AJ37" s="79"/>
      <c r="AK37" s="78"/>
      <c r="AL37" s="3">
        <v>10</v>
      </c>
      <c r="AM37" s="78"/>
      <c r="AN37" s="78"/>
      <c r="AO37" s="78"/>
      <c r="AP37" s="78"/>
      <c r="AQ37" s="10"/>
    </row>
    <row r="38" spans="1:43" x14ac:dyDescent="0.25">
      <c r="T38" s="10">
        <v>6</v>
      </c>
      <c r="U38" s="10">
        <f t="shared" si="17"/>
        <v>48</v>
      </c>
      <c r="V38" s="10">
        <f t="shared" si="18"/>
        <v>48</v>
      </c>
      <c r="W38" s="78">
        <f t="shared" si="19"/>
        <v>48</v>
      </c>
      <c r="X38" s="78">
        <f t="shared" si="20"/>
        <v>48</v>
      </c>
      <c r="Y38" s="78">
        <f t="shared" si="21"/>
        <v>48</v>
      </c>
      <c r="Z38" s="78">
        <f t="shared" si="22"/>
        <v>48</v>
      </c>
      <c r="AA38" s="78"/>
      <c r="AB38" s="78"/>
      <c r="AC38" s="78"/>
      <c r="AD38" s="78"/>
      <c r="AE38" s="78"/>
      <c r="AF38" s="78"/>
      <c r="AG38" s="78" t="s">
        <v>16</v>
      </c>
      <c r="AH38" s="78"/>
      <c r="AI38" s="79">
        <v>42183</v>
      </c>
      <c r="AJ38" s="79"/>
      <c r="AK38" s="78"/>
      <c r="AL38" s="3">
        <v>11</v>
      </c>
      <c r="AM38" s="78"/>
      <c r="AN38" s="78"/>
      <c r="AO38" s="78"/>
      <c r="AP38" s="78"/>
      <c r="AQ38" s="10"/>
    </row>
    <row r="39" spans="1:43" x14ac:dyDescent="0.25">
      <c r="T39" s="10">
        <v>7</v>
      </c>
      <c r="U39" s="10">
        <f t="shared" si="17"/>
        <v>48</v>
      </c>
      <c r="V39" s="10">
        <f t="shared" si="18"/>
        <v>48</v>
      </c>
      <c r="W39" s="78">
        <f t="shared" si="19"/>
        <v>48</v>
      </c>
      <c r="X39" s="78">
        <f t="shared" si="20"/>
        <v>48</v>
      </c>
      <c r="Y39" s="78">
        <f t="shared" si="21"/>
        <v>48</v>
      </c>
      <c r="Z39" s="78">
        <f t="shared" si="22"/>
        <v>48</v>
      </c>
      <c r="AA39" s="78"/>
      <c r="AB39" s="78"/>
      <c r="AC39" s="78"/>
      <c r="AD39" s="78"/>
      <c r="AE39" s="78"/>
      <c r="AF39" s="78"/>
      <c r="AG39" s="100">
        <f>IF(E1=AG32,AI32,IF(E1=AG33,AI33,IF(E1=AG34,AI34,IF(E1=AG35,AI35,IF(E1=AG36,AI36,IF(E1=AG37,AI37,IF(E1=AG38,AI38,AI32)))))))</f>
        <v>42177</v>
      </c>
      <c r="AH39" s="100"/>
      <c r="AI39" s="100"/>
      <c r="AJ39" s="100"/>
      <c r="AK39" s="100"/>
      <c r="AL39" s="3">
        <v>12</v>
      </c>
      <c r="AM39" s="78"/>
      <c r="AN39" s="78"/>
      <c r="AO39" s="78"/>
      <c r="AP39" s="78"/>
      <c r="AQ39" s="10"/>
    </row>
    <row r="40" spans="1:43" ht="13" x14ac:dyDescent="0.3">
      <c r="A40" s="4" t="s">
        <v>98</v>
      </c>
      <c r="T40" s="10">
        <v>8</v>
      </c>
      <c r="U40" s="10">
        <f t="shared" si="17"/>
        <v>48</v>
      </c>
      <c r="V40" s="10">
        <f t="shared" si="18"/>
        <v>48</v>
      </c>
      <c r="W40" s="78">
        <f t="shared" si="19"/>
        <v>48</v>
      </c>
      <c r="X40" s="78">
        <f t="shared" si="20"/>
        <v>48</v>
      </c>
      <c r="Y40" s="78">
        <f t="shared" si="21"/>
        <v>48</v>
      </c>
      <c r="Z40" s="78">
        <f t="shared" si="22"/>
        <v>48</v>
      </c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10"/>
    </row>
    <row r="41" spans="1:43" x14ac:dyDescent="0.25">
      <c r="A41" s="3" t="s">
        <v>99</v>
      </c>
      <c r="T41" s="10"/>
      <c r="U41" s="10"/>
      <c r="V41" s="10"/>
      <c r="W41" s="78">
        <f t="shared" si="19"/>
        <v>48</v>
      </c>
      <c r="X41" s="78">
        <f t="shared" si="20"/>
        <v>48</v>
      </c>
      <c r="Y41" s="78">
        <f t="shared" si="21"/>
        <v>48</v>
      </c>
      <c r="Z41" s="78">
        <f t="shared" si="22"/>
        <v>48</v>
      </c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10"/>
    </row>
    <row r="42" spans="1:43" ht="13" x14ac:dyDescent="0.3">
      <c r="A42" s="3" t="s">
        <v>100</v>
      </c>
      <c r="O42" s="81">
        <v>0.29166666666666669</v>
      </c>
      <c r="P42" s="81">
        <v>0.33333333333333331</v>
      </c>
      <c r="Q42" s="3">
        <f>(P42-O42)*24</f>
        <v>0.99999999999999911</v>
      </c>
      <c r="T42" s="10"/>
      <c r="U42" s="10"/>
      <c r="V42" s="10"/>
      <c r="W42" s="78">
        <f t="shared" si="19"/>
        <v>48</v>
      </c>
      <c r="X42" s="78">
        <f t="shared" si="20"/>
        <v>48</v>
      </c>
      <c r="Y42" s="78">
        <f t="shared" si="21"/>
        <v>48</v>
      </c>
      <c r="Z42" s="78">
        <f t="shared" si="22"/>
        <v>48</v>
      </c>
      <c r="AA42" s="78"/>
      <c r="AB42" s="78"/>
      <c r="AC42" s="78"/>
      <c r="AD42" s="78"/>
      <c r="AE42" s="78"/>
      <c r="AF42" s="78"/>
      <c r="AG42" s="80" t="s">
        <v>101</v>
      </c>
      <c r="AH42" s="80"/>
      <c r="AI42" s="78"/>
      <c r="AJ42" s="78"/>
      <c r="AK42" s="78"/>
      <c r="AL42" s="80" t="s">
        <v>102</v>
      </c>
      <c r="AM42" s="78"/>
      <c r="AN42" s="78"/>
      <c r="AO42" s="78"/>
      <c r="AP42" s="78"/>
      <c r="AQ42" s="10"/>
    </row>
    <row r="43" spans="1:43" x14ac:dyDescent="0.25">
      <c r="T43" s="10"/>
      <c r="U43" s="10"/>
      <c r="V43" s="10"/>
      <c r="W43" s="78">
        <f t="shared" si="19"/>
        <v>48</v>
      </c>
      <c r="X43" s="78">
        <f t="shared" si="20"/>
        <v>48</v>
      </c>
      <c r="Y43" s="78">
        <f t="shared" si="21"/>
        <v>48</v>
      </c>
      <c r="Z43" s="78">
        <f t="shared" si="22"/>
        <v>48</v>
      </c>
      <c r="AA43" s="78"/>
      <c r="AB43" s="78"/>
      <c r="AC43" s="78"/>
      <c r="AD43" s="78"/>
      <c r="AE43" s="78"/>
      <c r="AF43" s="78"/>
      <c r="AG43" s="78">
        <v>33.6</v>
      </c>
      <c r="AH43" s="78"/>
      <c r="AI43" s="78"/>
      <c r="AJ43" s="78"/>
      <c r="AK43" s="78"/>
      <c r="AL43" s="78" t="s">
        <v>103</v>
      </c>
      <c r="AM43" s="78"/>
      <c r="AN43" s="78"/>
      <c r="AO43" s="78"/>
      <c r="AP43" s="78"/>
      <c r="AQ43" s="10"/>
    </row>
    <row r="44" spans="1:43" x14ac:dyDescent="0.25">
      <c r="A44" s="3" t="s">
        <v>104</v>
      </c>
      <c r="T44" s="10"/>
      <c r="U44" s="10"/>
      <c r="V44" s="10"/>
      <c r="W44" s="78">
        <f t="shared" si="19"/>
        <v>48</v>
      </c>
      <c r="X44" s="78">
        <f t="shared" si="20"/>
        <v>48</v>
      </c>
      <c r="Y44" s="78">
        <f t="shared" si="21"/>
        <v>48</v>
      </c>
      <c r="Z44" s="78">
        <f t="shared" si="22"/>
        <v>48</v>
      </c>
      <c r="AA44" s="78"/>
      <c r="AB44" s="78"/>
      <c r="AC44" s="78"/>
      <c r="AD44" s="78"/>
      <c r="AE44" s="78"/>
      <c r="AF44" s="78"/>
      <c r="AG44" s="78">
        <v>35.5</v>
      </c>
      <c r="AH44" s="78"/>
      <c r="AI44" s="78"/>
      <c r="AJ44" s="78"/>
      <c r="AK44" s="78"/>
      <c r="AL44" s="78" t="s">
        <v>105</v>
      </c>
      <c r="AM44" s="78"/>
      <c r="AN44" s="78"/>
      <c r="AO44" s="78"/>
      <c r="AP44" s="78"/>
      <c r="AQ44" s="10"/>
    </row>
    <row r="45" spans="1:43" x14ac:dyDescent="0.25">
      <c r="A45" s="1">
        <v>11</v>
      </c>
      <c r="B45" s="5">
        <f>COUNTIF($F$6:$F$13,"&lt;" &amp; A45)+COUNTIF($K$6:$K$13,"&lt;" &amp; A45)+COUNTIF($P$6:$P$13,"&lt;" &amp; A45)+COUNTIF($U$6:$U$13,"&lt;" &amp; A45)+COUNTIF($Z$6:$Z$13,"&lt;" &amp; A45)+COUNTIF($AE$6:$AE$13,"&lt;" &amp; A45)+COUNTIF($AJ$6:$AJ$13,"&lt;" &amp; A45)</f>
        <v>0</v>
      </c>
      <c r="T45" s="10"/>
      <c r="U45" s="10"/>
      <c r="V45" s="10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>
        <v>37.5</v>
      </c>
      <c r="AH45" s="78"/>
      <c r="AI45" s="78"/>
      <c r="AJ45" s="78"/>
      <c r="AK45" s="78"/>
      <c r="AL45" s="78"/>
      <c r="AM45" s="78"/>
      <c r="AN45" s="78"/>
      <c r="AO45" s="78"/>
      <c r="AP45" s="78"/>
      <c r="AQ45" s="10"/>
    </row>
    <row r="46" spans="1:43" x14ac:dyDescent="0.25">
      <c r="T46" s="10"/>
      <c r="U46" s="10"/>
      <c r="V46" s="10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78"/>
      <c r="AQ46" s="10"/>
    </row>
    <row r="47" spans="1:43" x14ac:dyDescent="0.25">
      <c r="T47" s="10"/>
      <c r="U47" s="10"/>
      <c r="V47" s="10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10"/>
    </row>
    <row r="48" spans="1:43" x14ac:dyDescent="0.25">
      <c r="T48" s="10"/>
      <c r="U48" s="10"/>
      <c r="V48" s="10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78"/>
      <c r="AO48" s="78"/>
      <c r="AP48" s="78"/>
      <c r="AQ48" s="10"/>
    </row>
    <row r="49" spans="1:43" ht="13" x14ac:dyDescent="0.3">
      <c r="A49" s="4" t="s">
        <v>106</v>
      </c>
      <c r="T49" s="10"/>
      <c r="U49" s="10"/>
      <c r="V49" s="10"/>
      <c r="W49" s="78"/>
      <c r="X49" s="78"/>
      <c r="Y49" s="78"/>
      <c r="Z49" s="78"/>
      <c r="AA49" s="78"/>
      <c r="AB49" s="80" t="s">
        <v>107</v>
      </c>
      <c r="AC49" s="80"/>
      <c r="AD49" s="78"/>
      <c r="AE49" s="78"/>
      <c r="AF49" s="78"/>
      <c r="AG49" s="78"/>
      <c r="AH49" s="78"/>
      <c r="AI49" s="78"/>
      <c r="AJ49" s="78"/>
      <c r="AK49" s="78"/>
      <c r="AL49" s="78"/>
      <c r="AM49" s="78"/>
      <c r="AN49" s="78"/>
      <c r="AO49" s="78"/>
      <c r="AP49" s="78"/>
      <c r="AQ49" s="10"/>
    </row>
    <row r="50" spans="1:43" x14ac:dyDescent="0.25">
      <c r="A50" s="3" t="s">
        <v>108</v>
      </c>
      <c r="T50" s="10"/>
      <c r="U50" s="10"/>
      <c r="V50" s="10"/>
      <c r="W50" s="78"/>
      <c r="X50" s="78"/>
      <c r="Y50" s="78"/>
      <c r="Z50" s="78"/>
      <c r="AA50" s="78"/>
      <c r="AB50" s="78" t="s">
        <v>109</v>
      </c>
      <c r="AC50" s="78"/>
      <c r="AD50" s="78"/>
      <c r="AE50" s="78"/>
      <c r="AF50" s="78"/>
      <c r="AG50" s="78"/>
      <c r="AH50" s="78"/>
      <c r="AI50" s="78"/>
      <c r="AJ50" s="78"/>
      <c r="AK50" s="78"/>
      <c r="AL50" s="78"/>
      <c r="AM50" s="78"/>
      <c r="AN50" s="78"/>
      <c r="AO50" s="78"/>
      <c r="AP50" s="78"/>
      <c r="AQ50" s="10"/>
    </row>
    <row r="51" spans="1:43" ht="13" x14ac:dyDescent="0.3">
      <c r="A51" s="4" t="s">
        <v>110</v>
      </c>
      <c r="T51" s="10"/>
      <c r="U51" s="10"/>
      <c r="V51" s="10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  <c r="AN51" s="78"/>
      <c r="AO51" s="78"/>
      <c r="AP51" s="78"/>
      <c r="AQ51" s="10"/>
    </row>
    <row r="52" spans="1:43" x14ac:dyDescent="0.25">
      <c r="A52" s="3" t="s">
        <v>111</v>
      </c>
      <c r="T52" s="10"/>
      <c r="U52" s="10"/>
      <c r="V52" s="10"/>
      <c r="W52" s="78"/>
      <c r="X52" s="78"/>
      <c r="Y52" s="78"/>
      <c r="Z52" s="78"/>
      <c r="AA52" s="78"/>
      <c r="AB52" s="78" t="s">
        <v>112</v>
      </c>
      <c r="AC52" s="78"/>
      <c r="AD52" s="78"/>
      <c r="AE52" s="78"/>
      <c r="AF52" s="78"/>
      <c r="AG52" s="78"/>
      <c r="AH52" s="78"/>
      <c r="AI52" s="78"/>
      <c r="AJ52" s="78"/>
      <c r="AK52" s="78"/>
      <c r="AL52" s="78"/>
      <c r="AM52" s="78"/>
      <c r="AN52" s="78"/>
      <c r="AO52" s="78"/>
      <c r="AP52" s="78"/>
      <c r="AQ52" s="10"/>
    </row>
    <row r="53" spans="1:43" x14ac:dyDescent="0.25">
      <c r="A53" s="3" t="s">
        <v>113</v>
      </c>
      <c r="T53" s="10"/>
      <c r="U53" s="10"/>
      <c r="V53" s="10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78"/>
      <c r="AO53" s="78"/>
      <c r="AP53" s="78"/>
      <c r="AQ53" s="10"/>
    </row>
    <row r="54" spans="1:43" x14ac:dyDescent="0.25">
      <c r="A54" s="3" t="s">
        <v>114</v>
      </c>
      <c r="T54" s="10"/>
      <c r="U54" s="10"/>
      <c r="V54" s="10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78"/>
      <c r="AL54" s="78"/>
      <c r="AM54" s="78"/>
      <c r="AN54" s="78"/>
      <c r="AO54" s="78"/>
      <c r="AP54" s="78"/>
      <c r="AQ54" s="10"/>
    </row>
    <row r="55" spans="1:43" x14ac:dyDescent="0.25">
      <c r="T55" s="10"/>
      <c r="U55" s="10"/>
      <c r="V55" s="10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10"/>
    </row>
    <row r="56" spans="1:43" ht="13" x14ac:dyDescent="0.3">
      <c r="A56" s="4" t="s">
        <v>115</v>
      </c>
      <c r="T56" s="10"/>
      <c r="U56" s="10"/>
      <c r="V56" s="10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78"/>
      <c r="AO56" s="78"/>
      <c r="AP56" s="78"/>
      <c r="AQ56" s="10"/>
    </row>
    <row r="57" spans="1:43" x14ac:dyDescent="0.25">
      <c r="A57" s="3" t="s">
        <v>116</v>
      </c>
      <c r="T57" s="10"/>
      <c r="U57" s="10"/>
      <c r="V57" s="10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/>
      <c r="AO57" s="78"/>
      <c r="AP57" s="78"/>
      <c r="AQ57" s="10"/>
    </row>
    <row r="58" spans="1:43" ht="13" x14ac:dyDescent="0.3">
      <c r="A58" s="4" t="s">
        <v>110</v>
      </c>
      <c r="T58" s="10"/>
      <c r="U58" s="10"/>
      <c r="V58" s="10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 t="s">
        <v>117</v>
      </c>
      <c r="AH58" s="78"/>
      <c r="AI58" s="78"/>
      <c r="AJ58" s="78"/>
      <c r="AK58" s="78"/>
      <c r="AL58" s="78"/>
      <c r="AM58" s="78"/>
      <c r="AN58" s="78"/>
      <c r="AO58" s="78"/>
      <c r="AP58" s="78"/>
      <c r="AQ58" s="10"/>
    </row>
    <row r="59" spans="1:43" x14ac:dyDescent="0.25">
      <c r="A59" s="3" t="s">
        <v>111</v>
      </c>
      <c r="T59" s="10"/>
      <c r="U59" s="10"/>
      <c r="V59" s="10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>
        <v>0</v>
      </c>
      <c r="AH59" s="78">
        <v>1</v>
      </c>
      <c r="AI59" s="78">
        <v>2</v>
      </c>
      <c r="AJ59" s="78">
        <v>3</v>
      </c>
      <c r="AK59" s="78">
        <v>4</v>
      </c>
      <c r="AL59" s="78">
        <v>5</v>
      </c>
      <c r="AM59" s="78">
        <v>6</v>
      </c>
      <c r="AN59" s="78"/>
      <c r="AO59" s="78"/>
      <c r="AP59" s="78"/>
      <c r="AQ59" s="10"/>
    </row>
    <row r="60" spans="1:43" x14ac:dyDescent="0.25">
      <c r="A60" s="3" t="s">
        <v>113</v>
      </c>
      <c r="T60" s="10"/>
      <c r="U60" s="10"/>
      <c r="V60" s="10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>
        <v>7</v>
      </c>
      <c r="AH60" s="78">
        <v>8</v>
      </c>
      <c r="AI60" s="78">
        <v>9</v>
      </c>
      <c r="AJ60" s="78">
        <v>10</v>
      </c>
      <c r="AK60" s="78">
        <v>11</v>
      </c>
      <c r="AL60" s="78">
        <v>12</v>
      </c>
      <c r="AM60" s="78">
        <v>13</v>
      </c>
      <c r="AN60" s="78"/>
      <c r="AO60" s="78"/>
      <c r="AP60" s="78"/>
      <c r="AQ60" s="10"/>
    </row>
    <row r="61" spans="1:43" x14ac:dyDescent="0.25">
      <c r="T61" s="10"/>
      <c r="U61" s="10"/>
      <c r="V61" s="10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>
        <v>14</v>
      </c>
      <c r="AH61" s="78">
        <v>15</v>
      </c>
      <c r="AI61" s="78">
        <v>16</v>
      </c>
      <c r="AJ61" s="78">
        <v>17</v>
      </c>
      <c r="AK61" s="78">
        <v>18</v>
      </c>
      <c r="AL61" s="78">
        <v>19</v>
      </c>
      <c r="AM61" s="78">
        <v>20</v>
      </c>
      <c r="AN61" s="78"/>
      <c r="AO61" s="78"/>
      <c r="AP61" s="78"/>
      <c r="AQ61" s="10"/>
    </row>
    <row r="62" spans="1:43" ht="13" x14ac:dyDescent="0.3">
      <c r="A62" s="4" t="s">
        <v>118</v>
      </c>
      <c r="T62" s="10"/>
      <c r="U62" s="10"/>
      <c r="V62" s="10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>
        <v>21</v>
      </c>
      <c r="AH62" s="78">
        <v>22</v>
      </c>
      <c r="AI62" s="78">
        <v>23</v>
      </c>
      <c r="AJ62" s="78">
        <v>24</v>
      </c>
      <c r="AK62" s="78">
        <v>25</v>
      </c>
      <c r="AL62" s="78">
        <v>26</v>
      </c>
      <c r="AM62" s="78">
        <v>27</v>
      </c>
      <c r="AN62" s="78"/>
      <c r="AO62" s="78"/>
      <c r="AP62" s="78"/>
      <c r="AQ62" s="10"/>
    </row>
    <row r="63" spans="1:43" x14ac:dyDescent="0.25">
      <c r="A63" s="3" t="s">
        <v>119</v>
      </c>
      <c r="T63" s="10"/>
      <c r="U63" s="10"/>
      <c r="V63" s="10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>
        <v>28</v>
      </c>
      <c r="AH63" s="78">
        <v>29</v>
      </c>
      <c r="AI63" s="78">
        <v>30</v>
      </c>
      <c r="AJ63" s="78">
        <v>31</v>
      </c>
      <c r="AK63" s="78">
        <v>32</v>
      </c>
      <c r="AL63" s="78">
        <v>33</v>
      </c>
      <c r="AM63" s="78">
        <v>34</v>
      </c>
      <c r="AN63" s="78"/>
      <c r="AO63" s="78"/>
      <c r="AP63" s="78"/>
      <c r="AQ63" s="10"/>
    </row>
    <row r="64" spans="1:43" x14ac:dyDescent="0.25">
      <c r="A64" s="3" t="s">
        <v>120</v>
      </c>
      <c r="T64" s="10"/>
      <c r="U64" s="10"/>
      <c r="V64" s="10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>
        <v>35</v>
      </c>
      <c r="AH64" s="78">
        <v>36</v>
      </c>
      <c r="AI64" s="78">
        <v>37</v>
      </c>
      <c r="AJ64" s="78">
        <v>38</v>
      </c>
      <c r="AK64" s="78">
        <v>39</v>
      </c>
      <c r="AL64" s="78">
        <v>40</v>
      </c>
      <c r="AM64" s="78">
        <v>41</v>
      </c>
      <c r="AN64" s="78"/>
      <c r="AO64" s="78"/>
      <c r="AP64" s="78"/>
      <c r="AQ64" s="10"/>
    </row>
    <row r="65" spans="1:43" x14ac:dyDescent="0.25">
      <c r="T65" s="10"/>
      <c r="U65" s="10"/>
      <c r="V65" s="10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>
        <v>42</v>
      </c>
      <c r="AH65" s="78">
        <v>43</v>
      </c>
      <c r="AI65" s="78">
        <v>44</v>
      </c>
      <c r="AJ65" s="78">
        <v>45</v>
      </c>
      <c r="AK65" s="78">
        <v>46</v>
      </c>
      <c r="AL65" s="78">
        <v>47</v>
      </c>
      <c r="AM65" s="78">
        <v>48</v>
      </c>
      <c r="AN65" s="78"/>
      <c r="AO65" s="78"/>
      <c r="AP65" s="78"/>
      <c r="AQ65" s="10"/>
    </row>
    <row r="66" spans="1:43" ht="13" x14ac:dyDescent="0.3">
      <c r="A66" s="3" t="s">
        <v>121</v>
      </c>
      <c r="B66" s="4"/>
      <c r="T66" s="10"/>
      <c r="U66" s="10"/>
      <c r="V66" s="10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>
        <v>49</v>
      </c>
      <c r="AH66" s="78">
        <v>50</v>
      </c>
      <c r="AI66" s="78">
        <v>51</v>
      </c>
      <c r="AJ66" s="78">
        <v>52</v>
      </c>
      <c r="AK66" s="78">
        <v>53</v>
      </c>
      <c r="AL66" s="78">
        <v>54</v>
      </c>
      <c r="AM66" s="78">
        <v>55</v>
      </c>
      <c r="AN66" s="78"/>
      <c r="AO66" s="78"/>
      <c r="AP66" s="78"/>
      <c r="AQ66" s="10"/>
    </row>
    <row r="67" spans="1:43" ht="13" x14ac:dyDescent="0.3">
      <c r="A67" s="1">
        <v>9</v>
      </c>
      <c r="B67" s="5">
        <f>COUNTIF($E$6:$E$13,"&gt;" &amp; A67)+COUNTIF($J$6:$J$13,"&gt;" &amp; A67)+COUNTIF($O$6:$O$13,"&gt;" &amp; A67)+COUNTIF($T$6:$T$13,"&gt;" &amp; A67)+COUNTIF($Y$6:$Y$13,"&gt;" &amp; A67)+COUNTIF($AD$6:$AD$13,"&gt;" &amp; A67)+COUNTIF($AI$6:$AI$13,"&gt;" &amp; A67)</f>
        <v>0</v>
      </c>
      <c r="C67" s="3" t="s">
        <v>122</v>
      </c>
      <c r="E67" s="3" t="s">
        <v>123</v>
      </c>
      <c r="H67" s="1" t="s">
        <v>124</v>
      </c>
      <c r="L67" s="3" t="s">
        <v>125</v>
      </c>
      <c r="T67" s="10"/>
      <c r="U67" s="10"/>
      <c r="V67" s="10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>
        <v>56</v>
      </c>
      <c r="AH67" s="78">
        <v>57</v>
      </c>
      <c r="AI67" s="78">
        <v>58</v>
      </c>
      <c r="AJ67" s="78">
        <v>59</v>
      </c>
      <c r="AK67" s="78">
        <v>60</v>
      </c>
      <c r="AL67" s="78">
        <v>61</v>
      </c>
      <c r="AM67" s="78">
        <v>62</v>
      </c>
      <c r="AN67" s="78"/>
      <c r="AO67" s="78"/>
      <c r="AP67" s="78"/>
      <c r="AQ67" s="10"/>
    </row>
    <row r="68" spans="1:43" x14ac:dyDescent="0.25">
      <c r="T68" s="10"/>
      <c r="U68" s="10"/>
      <c r="V68" s="10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>
        <v>63</v>
      </c>
      <c r="AH68" s="78">
        <v>64</v>
      </c>
      <c r="AI68" s="78">
        <v>65</v>
      </c>
      <c r="AJ68" s="78">
        <v>66</v>
      </c>
      <c r="AK68" s="78">
        <v>67</v>
      </c>
      <c r="AL68" s="78">
        <v>68</v>
      </c>
      <c r="AM68" s="78">
        <v>69</v>
      </c>
      <c r="AN68" s="78"/>
      <c r="AO68" s="78"/>
      <c r="AP68" s="78"/>
      <c r="AQ68" s="10"/>
    </row>
    <row r="69" spans="1:43" x14ac:dyDescent="0.25">
      <c r="A69" s="3" t="s">
        <v>126</v>
      </c>
      <c r="T69" s="10"/>
      <c r="U69" s="10"/>
      <c r="V69" s="10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>
        <v>70</v>
      </c>
      <c r="AH69" s="78">
        <v>71</v>
      </c>
      <c r="AI69" s="78">
        <v>72</v>
      </c>
      <c r="AJ69" s="78">
        <v>73</v>
      </c>
      <c r="AK69" s="78">
        <v>74</v>
      </c>
      <c r="AL69" s="78">
        <v>75</v>
      </c>
      <c r="AM69" s="78">
        <v>76</v>
      </c>
      <c r="AN69" s="78"/>
      <c r="AO69" s="78"/>
      <c r="AP69" s="78"/>
      <c r="AQ69" s="10"/>
    </row>
    <row r="70" spans="1:43" x14ac:dyDescent="0.25">
      <c r="A70" s="1">
        <v>20</v>
      </c>
      <c r="B70" s="5">
        <f>COUNTIF($AK$6:$AK$13,"&gt;" &amp; A70)</f>
        <v>0</v>
      </c>
      <c r="C70" s="3" t="s">
        <v>127</v>
      </c>
      <c r="E70" s="3" t="s">
        <v>128</v>
      </c>
      <c r="H70" s="1" t="s">
        <v>124</v>
      </c>
      <c r="T70" s="10"/>
      <c r="U70" s="10"/>
      <c r="V70" s="10"/>
      <c r="W70" s="78"/>
      <c r="X70" s="78"/>
      <c r="Y70" s="78"/>
      <c r="Z70" s="78"/>
      <c r="AA70" s="78"/>
      <c r="AB70" s="78"/>
      <c r="AC70" s="78"/>
      <c r="AD70" s="78"/>
      <c r="AE70" s="78"/>
      <c r="AF70" s="78"/>
      <c r="AG70" s="78">
        <v>77</v>
      </c>
      <c r="AH70" s="78">
        <v>78</v>
      </c>
      <c r="AI70" s="78">
        <v>79</v>
      </c>
      <c r="AJ70" s="78">
        <v>80</v>
      </c>
      <c r="AK70" s="78">
        <v>81</v>
      </c>
      <c r="AL70" s="78">
        <v>82</v>
      </c>
      <c r="AM70" s="78">
        <v>83</v>
      </c>
      <c r="AN70" s="78"/>
      <c r="AO70" s="78"/>
      <c r="AP70" s="78"/>
      <c r="AQ70" s="10"/>
    </row>
    <row r="71" spans="1:43" x14ac:dyDescent="0.25">
      <c r="W71" s="78"/>
      <c r="X71" s="78"/>
      <c r="Y71" s="78"/>
      <c r="Z71" s="78"/>
      <c r="AA71" s="78"/>
      <c r="AB71" s="78"/>
      <c r="AC71" s="78"/>
      <c r="AD71" s="78"/>
      <c r="AE71" s="78"/>
      <c r="AF71" s="78"/>
      <c r="AG71" s="78">
        <v>84</v>
      </c>
      <c r="AH71" s="78">
        <v>85</v>
      </c>
      <c r="AI71" s="78">
        <v>86</v>
      </c>
      <c r="AJ71" s="78">
        <v>87</v>
      </c>
      <c r="AK71" s="78">
        <v>88</v>
      </c>
      <c r="AL71" s="78">
        <v>89</v>
      </c>
      <c r="AM71" s="78">
        <v>90</v>
      </c>
      <c r="AN71" s="78"/>
      <c r="AO71" s="78"/>
      <c r="AP71" s="78"/>
    </row>
    <row r="72" spans="1:43" x14ac:dyDescent="0.25"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  <c r="AL72" s="78"/>
      <c r="AM72" s="78"/>
      <c r="AN72" s="78"/>
      <c r="AO72" s="78"/>
      <c r="AP72" s="78"/>
    </row>
    <row r="73" spans="1:43" x14ac:dyDescent="0.25">
      <c r="W73" s="78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8"/>
      <c r="AK73" s="78"/>
      <c r="AL73" s="78"/>
      <c r="AM73" s="78"/>
      <c r="AN73" s="78"/>
      <c r="AO73" s="78"/>
      <c r="AP73" s="78"/>
    </row>
    <row r="74" spans="1:43" x14ac:dyDescent="0.25"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78"/>
      <c r="AO74" s="78"/>
      <c r="AP74" s="78"/>
    </row>
    <row r="75" spans="1:43" x14ac:dyDescent="0.25"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  <c r="AK75" s="78"/>
      <c r="AL75" s="78"/>
      <c r="AM75" s="78"/>
      <c r="AN75" s="78"/>
      <c r="AO75" s="78"/>
      <c r="AP75" s="78"/>
    </row>
    <row r="76" spans="1:43" x14ac:dyDescent="0.25">
      <c r="W76" s="78"/>
      <c r="X76" s="78"/>
      <c r="Y76" s="78"/>
      <c r="Z76" s="78"/>
      <c r="AA76" s="78"/>
      <c r="AB76" s="78"/>
      <c r="AC76" s="78"/>
      <c r="AD76" s="78"/>
      <c r="AE76" s="78"/>
      <c r="AF76" s="78"/>
      <c r="AG76" s="78"/>
      <c r="AH76" s="78"/>
      <c r="AI76" s="78"/>
      <c r="AJ76" s="78"/>
      <c r="AK76" s="78"/>
      <c r="AL76" s="78"/>
      <c r="AM76" s="78"/>
      <c r="AN76" s="78"/>
      <c r="AO76" s="78"/>
      <c r="AP76" s="78"/>
    </row>
    <row r="77" spans="1:43" x14ac:dyDescent="0.25"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78"/>
      <c r="AK77" s="78"/>
      <c r="AL77" s="78"/>
      <c r="AM77" s="78"/>
      <c r="AN77" s="78"/>
      <c r="AO77" s="78"/>
      <c r="AP77" s="78"/>
    </row>
    <row r="78" spans="1:43" x14ac:dyDescent="0.25">
      <c r="W78" s="78"/>
      <c r="X78" s="78"/>
      <c r="Y78" s="78"/>
      <c r="Z78" s="78"/>
      <c r="AA78" s="78"/>
      <c r="AB78" s="78"/>
      <c r="AC78" s="78"/>
      <c r="AD78" s="78"/>
      <c r="AE78" s="78"/>
      <c r="AF78" s="78"/>
      <c r="AG78" s="78"/>
      <c r="AH78" s="78"/>
      <c r="AI78" s="78"/>
      <c r="AJ78" s="78"/>
      <c r="AK78" s="78"/>
      <c r="AL78" s="78"/>
      <c r="AM78" s="78"/>
      <c r="AN78" s="78"/>
      <c r="AO78" s="78"/>
      <c r="AP78" s="78"/>
    </row>
    <row r="79" spans="1:43" x14ac:dyDescent="0.25">
      <c r="W79" s="78"/>
      <c r="X79" s="78"/>
      <c r="Y79" s="78"/>
      <c r="Z79" s="78"/>
      <c r="AA79" s="78"/>
      <c r="AB79" s="78"/>
      <c r="AC79" s="78"/>
      <c r="AD79" s="78"/>
      <c r="AE79" s="78"/>
      <c r="AF79" s="78"/>
      <c r="AG79" s="78"/>
      <c r="AH79" s="78"/>
      <c r="AI79" s="78"/>
      <c r="AJ79" s="78"/>
      <c r="AK79" s="78"/>
      <c r="AL79" s="78"/>
      <c r="AM79" s="78"/>
      <c r="AN79" s="78"/>
      <c r="AO79" s="78"/>
      <c r="AP79" s="78"/>
    </row>
    <row r="80" spans="1:43" x14ac:dyDescent="0.25">
      <c r="W80" s="78"/>
      <c r="X80" s="78"/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  <c r="AJ80" s="78"/>
      <c r="AK80" s="78"/>
      <c r="AL80" s="78"/>
      <c r="AM80" s="78"/>
      <c r="AN80" s="78"/>
      <c r="AO80" s="78"/>
      <c r="AP80" s="78"/>
    </row>
    <row r="81" spans="1:42" x14ac:dyDescent="0.25"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  <c r="AJ81" s="78"/>
      <c r="AK81" s="78"/>
      <c r="AL81" s="78"/>
      <c r="AM81" s="78"/>
      <c r="AN81" s="78"/>
      <c r="AO81" s="78"/>
      <c r="AP81" s="78"/>
    </row>
    <row r="82" spans="1:42" x14ac:dyDescent="0.25"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8"/>
      <c r="AH82" s="78"/>
      <c r="AI82" s="78"/>
      <c r="AJ82" s="78"/>
      <c r="AK82" s="78"/>
      <c r="AL82" s="78"/>
      <c r="AM82" s="78"/>
      <c r="AN82" s="78"/>
      <c r="AO82" s="78"/>
      <c r="AP82" s="78"/>
    </row>
    <row r="83" spans="1:42" x14ac:dyDescent="0.25"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</row>
    <row r="84" spans="1:42" x14ac:dyDescent="0.25"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</row>
    <row r="85" spans="1:42" x14ac:dyDescent="0.25"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</row>
    <row r="86" spans="1:42" x14ac:dyDescent="0.25"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8"/>
      <c r="AO86" s="78"/>
      <c r="AP86" s="78"/>
    </row>
    <row r="87" spans="1:42" x14ac:dyDescent="0.25"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  <c r="AN87" s="78"/>
      <c r="AO87" s="78"/>
      <c r="AP87" s="78"/>
    </row>
    <row r="95" spans="1:42" ht="13" x14ac:dyDescent="0.3">
      <c r="A95" s="4"/>
    </row>
  </sheetData>
  <sheetProtection algorithmName="SHA-512" hashValue="k1SOLi9YAPNYmkC1jp/JGNacrxh4Hso0IdIxr0+RUAT9IUbZtAHQRHjCVOL2UXVrNw4z8senSNgHQUQ0LKzVGQ==" saltValue="IyrqaTsjNIZJUQZaeXmn2Q==" spinCount="100000" sheet="1" objects="1" scenarios="1"/>
  <mergeCells count="27">
    <mergeCell ref="A37:C37"/>
    <mergeCell ref="A30:C30"/>
    <mergeCell ref="A29:C29"/>
    <mergeCell ref="A28:C28"/>
    <mergeCell ref="N31:O31"/>
    <mergeCell ref="N32:O32"/>
    <mergeCell ref="A33:C33"/>
    <mergeCell ref="G33:H33"/>
    <mergeCell ref="A34:B34"/>
    <mergeCell ref="A36:E36"/>
    <mergeCell ref="D31:E31"/>
    <mergeCell ref="H31:I31"/>
    <mergeCell ref="A1:C1"/>
    <mergeCell ref="H1:L1"/>
    <mergeCell ref="A2:C2"/>
    <mergeCell ref="A3:C3"/>
    <mergeCell ref="B4:F4"/>
    <mergeCell ref="G4:J4"/>
    <mergeCell ref="L4:O4"/>
    <mergeCell ref="I2:J2"/>
    <mergeCell ref="AG39:AK39"/>
    <mergeCell ref="D32:E32"/>
    <mergeCell ref="H32:I32"/>
    <mergeCell ref="Q4:T4"/>
    <mergeCell ref="V4:Y4"/>
    <mergeCell ref="AA4:AD4"/>
    <mergeCell ref="AF4:AI4"/>
  </mergeCells>
  <conditionalFormatting sqref="A6:A17">
    <cfRule type="cellIs" dxfId="704" priority="363" operator="equal">
      <formula>0</formula>
    </cfRule>
  </conditionalFormatting>
  <conditionalFormatting sqref="A37">
    <cfRule type="cellIs" dxfId="703" priority="243" operator="notEqual">
      <formula>$E$2</formula>
    </cfRule>
    <cfRule type="cellIs" dxfId="702" priority="244" operator="equal">
      <formula>$E$2</formula>
    </cfRule>
  </conditionalFormatting>
  <conditionalFormatting sqref="A32:D32 F32:H32 C34">
    <cfRule type="cellIs" dxfId="701" priority="241" operator="notEqual">
      <formula>$E$3</formula>
    </cfRule>
    <cfRule type="cellIs" dxfId="700" priority="242" operator="equal">
      <formula>$E$3</formula>
    </cfRule>
  </conditionalFormatting>
  <conditionalFormatting sqref="B6:D17">
    <cfRule type="expression" dxfId="699" priority="112">
      <formula>$A6=0</formula>
    </cfRule>
  </conditionalFormatting>
  <conditionalFormatting sqref="E6:E17">
    <cfRule type="expression" dxfId="698" priority="116">
      <formula>AND($H$67="ja",E6&gt;$A$67)</formula>
    </cfRule>
    <cfRule type="cellIs" dxfId="697" priority="117" operator="greaterThanOrEqual">
      <formula>0</formula>
    </cfRule>
  </conditionalFormatting>
  <conditionalFormatting sqref="F6:F17">
    <cfRule type="cellIs" dxfId="696" priority="31" operator="lessThan">
      <formula>$A$45</formula>
    </cfRule>
    <cfRule type="cellIs" dxfId="695" priority="32" operator="equal">
      <formula>0</formula>
    </cfRule>
    <cfRule type="cellIs" dxfId="694" priority="33" operator="notEqual">
      <formula>0</formula>
    </cfRule>
  </conditionalFormatting>
  <conditionalFormatting sqref="G6:I17">
    <cfRule type="expression" dxfId="693" priority="52">
      <formula>$A6=0</formula>
    </cfRule>
  </conditionalFormatting>
  <conditionalFormatting sqref="J6:J17">
    <cfRule type="expression" dxfId="692" priority="104">
      <formula>AND($H$67="ja",J6&gt;$A$67)</formula>
    </cfRule>
    <cfRule type="cellIs" dxfId="691" priority="105" operator="greaterThanOrEqual">
      <formula>0</formula>
    </cfRule>
  </conditionalFormatting>
  <conditionalFormatting sqref="J32:N32">
    <cfRule type="cellIs" dxfId="690" priority="239" operator="notEqual">
      <formula>$E$3</formula>
    </cfRule>
    <cfRule type="cellIs" dxfId="689" priority="240" operator="equal">
      <formula>$E$3</formula>
    </cfRule>
  </conditionalFormatting>
  <conditionalFormatting sqref="K6:K17">
    <cfRule type="cellIs" dxfId="688" priority="28" operator="lessThan">
      <formula>$A$45</formula>
    </cfRule>
    <cfRule type="cellIs" dxfId="687" priority="29" operator="equal">
      <formula>0</formula>
    </cfRule>
    <cfRule type="cellIs" dxfId="686" priority="30" operator="notEqual">
      <formula>0</formula>
    </cfRule>
  </conditionalFormatting>
  <conditionalFormatting sqref="L6:N17">
    <cfRule type="expression" dxfId="685" priority="48">
      <formula>$A6=0</formula>
    </cfRule>
  </conditionalFormatting>
  <conditionalFormatting sqref="O6:O17">
    <cfRule type="cellIs" dxfId="684" priority="97" operator="greaterThanOrEqual">
      <formula>0</formula>
    </cfRule>
    <cfRule type="expression" dxfId="683" priority="96">
      <formula>AND($H$67="ja",O6&gt;$A$67)</formula>
    </cfRule>
  </conditionalFormatting>
  <conditionalFormatting sqref="P6:P17">
    <cfRule type="cellIs" dxfId="682" priority="22" operator="lessThan">
      <formula>$A$45</formula>
    </cfRule>
    <cfRule type="cellIs" dxfId="681" priority="23" operator="equal">
      <formula>0</formula>
    </cfRule>
    <cfRule type="cellIs" dxfId="680" priority="24" operator="notEqual">
      <formula>0</formula>
    </cfRule>
  </conditionalFormatting>
  <conditionalFormatting sqref="Q6:S17">
    <cfRule type="expression" dxfId="679" priority="47">
      <formula>$A6=0</formula>
    </cfRule>
  </conditionalFormatting>
  <conditionalFormatting sqref="T6:T17">
    <cfRule type="cellIs" dxfId="678" priority="89" operator="greaterThanOrEqual">
      <formula>0</formula>
    </cfRule>
    <cfRule type="expression" dxfId="677" priority="88">
      <formula>AND($H$67="ja",T6&gt;$A$67)</formula>
    </cfRule>
  </conditionalFormatting>
  <conditionalFormatting sqref="U6:U17">
    <cfRule type="cellIs" dxfId="676" priority="17" operator="equal">
      <formula>0</formula>
    </cfRule>
    <cfRule type="cellIs" dxfId="675" priority="16" operator="lessThan">
      <formula>$A$45</formula>
    </cfRule>
    <cfRule type="cellIs" dxfId="674" priority="18" operator="notEqual">
      <formula>0</formula>
    </cfRule>
  </conditionalFormatting>
  <conditionalFormatting sqref="V6:X17">
    <cfRule type="expression" dxfId="673" priority="46">
      <formula>$A6=0</formula>
    </cfRule>
  </conditionalFormatting>
  <conditionalFormatting sqref="Y6:Y17 AD6:AD17 AI6:AI17">
    <cfRule type="expression" dxfId="672" priority="59">
      <formula>AND($H$67="ja",Y6&gt;$A$67)</formula>
    </cfRule>
    <cfRule type="cellIs" dxfId="671" priority="60" operator="greaterThanOrEqual">
      <formula>0</formula>
    </cfRule>
  </conditionalFormatting>
  <conditionalFormatting sqref="Z6:Z17">
    <cfRule type="cellIs" dxfId="670" priority="11" operator="equal">
      <formula>0</formula>
    </cfRule>
    <cfRule type="cellIs" dxfId="669" priority="10" operator="lessThan">
      <formula>$A$45</formula>
    </cfRule>
    <cfRule type="cellIs" dxfId="668" priority="12" operator="notEqual">
      <formula>0</formula>
    </cfRule>
  </conditionalFormatting>
  <conditionalFormatting sqref="AA6:AC17">
    <cfRule type="expression" dxfId="667" priority="43">
      <formula>$A6=0</formula>
    </cfRule>
  </conditionalFormatting>
  <conditionalFormatting sqref="AE6:AE17">
    <cfRule type="cellIs" dxfId="666" priority="5" operator="equal">
      <formula>0</formula>
    </cfRule>
    <cfRule type="cellIs" dxfId="665" priority="4" operator="lessThan">
      <formula>$A$45</formula>
    </cfRule>
    <cfRule type="cellIs" dxfId="664" priority="6" operator="notEqual">
      <formula>0</formula>
    </cfRule>
  </conditionalFormatting>
  <conditionalFormatting sqref="AF6:AH17">
    <cfRule type="expression" dxfId="663" priority="34">
      <formula>$A6=0</formula>
    </cfRule>
  </conditionalFormatting>
  <conditionalFormatting sqref="AJ6:AJ17">
    <cfRule type="cellIs" dxfId="662" priority="3" operator="notEqual">
      <formula>0</formula>
    </cfRule>
    <cfRule type="cellIs" dxfId="661" priority="2" operator="equal">
      <formula>0</formula>
    </cfRule>
    <cfRule type="cellIs" dxfId="660" priority="1" operator="lessThan">
      <formula>$A$45</formula>
    </cfRule>
  </conditionalFormatting>
  <conditionalFormatting sqref="AK6:AK17">
    <cfRule type="expression" dxfId="659" priority="58">
      <formula>AND($H$70="ja",AK6&gt;$A$70)</formula>
    </cfRule>
    <cfRule type="cellIs" dxfId="658" priority="61" operator="greaterThanOrEqual">
      <formula>0</formula>
    </cfRule>
  </conditionalFormatting>
  <dataValidations count="1">
    <dataValidation type="list" allowBlank="1" showInputMessage="1" showErrorMessage="1" sqref="H67 H70" xr:uid="{00000000-0002-0000-0C00-000000000000}">
      <formula1>Ja_og_nei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6"/>
  <dimension ref="A1:AQ95"/>
  <sheetViews>
    <sheetView zoomScale="85" zoomScaleNormal="85" workbookViewId="0">
      <pane ySplit="24" topLeftCell="A25" activePane="bottomLeft" state="frozen"/>
      <selection pane="bottomLeft" activeCell="C11" sqref="C11"/>
    </sheetView>
  </sheetViews>
  <sheetFormatPr defaultColWidth="9.08984375" defaultRowHeight="12.5" x14ac:dyDescent="0.25"/>
  <cols>
    <col min="1" max="1" width="10.7265625" style="3" customWidth="1"/>
    <col min="2" max="2" width="7.6328125" style="3" customWidth="1"/>
    <col min="3" max="3" width="7.81640625" style="3" customWidth="1"/>
    <col min="4" max="4" width="4.36328125" style="3" bestFit="1" customWidth="1"/>
    <col min="5" max="6" width="10" style="3" customWidth="1"/>
    <col min="7" max="7" width="7" style="3" customWidth="1"/>
    <col min="8" max="8" width="7.6328125" style="3" customWidth="1"/>
    <col min="9" max="9" width="4.36328125" style="3" bestFit="1" customWidth="1"/>
    <col min="10" max="11" width="10" style="3" customWidth="1"/>
    <col min="12" max="12" width="7.26953125" style="3" customWidth="1"/>
    <col min="13" max="13" width="7.7265625" style="3" customWidth="1"/>
    <col min="14" max="14" width="4.36328125" style="3" bestFit="1" customWidth="1"/>
    <col min="15" max="15" width="10.08984375" style="3" bestFit="1" customWidth="1"/>
    <col min="16" max="16" width="10.08984375" style="3" customWidth="1"/>
    <col min="17" max="17" width="7.6328125" style="3" customWidth="1"/>
    <col min="18" max="18" width="7.7265625" style="3" customWidth="1"/>
    <col min="19" max="19" width="4.36328125" style="3" bestFit="1" customWidth="1"/>
    <col min="20" max="20" width="10.08984375" style="3" bestFit="1" customWidth="1"/>
    <col min="21" max="21" width="10.08984375" style="3" customWidth="1"/>
    <col min="22" max="22" width="8.36328125" style="3" customWidth="1"/>
    <col min="23" max="23" width="8.81640625" style="3" customWidth="1"/>
    <col min="24" max="24" width="4.36328125" style="3" bestFit="1" customWidth="1"/>
    <col min="25" max="26" width="10" style="3" customWidth="1"/>
    <col min="27" max="28" width="7.81640625" style="3" customWidth="1"/>
    <col min="29" max="29" width="4.36328125" style="3" bestFit="1" customWidth="1"/>
    <col min="30" max="31" width="9.7265625" style="3" customWidth="1"/>
    <col min="32" max="32" width="6.81640625" style="3" customWidth="1"/>
    <col min="33" max="33" width="7.6328125" style="3" customWidth="1"/>
    <col min="34" max="34" width="4.36328125" style="3" bestFit="1" customWidth="1"/>
    <col min="35" max="36" width="9.6328125" style="3" customWidth="1"/>
    <col min="37" max="37" width="15.6328125" style="3" bestFit="1" customWidth="1"/>
    <col min="38" max="16384" width="9.08984375" style="3"/>
  </cols>
  <sheetData>
    <row r="1" spans="1:39" ht="13" x14ac:dyDescent="0.3">
      <c r="A1" s="98" t="s">
        <v>66</v>
      </c>
      <c r="B1" s="98"/>
      <c r="C1" s="98"/>
      <c r="D1" s="88"/>
      <c r="E1" s="5" t="str">
        <f>Vaktplan!G38</f>
        <v>mandag</v>
      </c>
      <c r="H1" s="98" t="s">
        <v>67</v>
      </c>
      <c r="I1" s="98"/>
      <c r="J1" s="98"/>
      <c r="K1" s="98"/>
      <c r="L1" s="98"/>
      <c r="M1" s="5">
        <f>Vaktplan!AJ52</f>
        <v>12</v>
      </c>
    </row>
    <row r="2" spans="1:39" ht="13" x14ac:dyDescent="0.3">
      <c r="A2" s="98" t="s">
        <v>36</v>
      </c>
      <c r="B2" s="98"/>
      <c r="C2" s="98"/>
      <c r="D2" s="88"/>
      <c r="E2" s="8">
        <f>Vaktplan!AM52</f>
        <v>0</v>
      </c>
      <c r="I2" s="106"/>
      <c r="J2" s="106"/>
    </row>
    <row r="3" spans="1:39" ht="13" x14ac:dyDescent="0.3">
      <c r="A3" s="98" t="s">
        <v>68</v>
      </c>
      <c r="B3" s="98"/>
      <c r="C3" s="98"/>
      <c r="D3" s="88"/>
      <c r="E3" s="5">
        <f>Vaktplan!AQ52</f>
        <v>0</v>
      </c>
      <c r="F3" s="4" t="s">
        <v>69</v>
      </c>
    </row>
    <row r="4" spans="1:39" ht="13" x14ac:dyDescent="0.3">
      <c r="A4" s="89" t="s">
        <v>70</v>
      </c>
      <c r="B4" s="103" t="str">
        <f>TEXT(AG39,"DDDD")</f>
        <v>Monday</v>
      </c>
      <c r="C4" s="104"/>
      <c r="D4" s="104"/>
      <c r="E4" s="104"/>
      <c r="F4" s="105"/>
      <c r="G4" s="102" t="str">
        <f>TEXT($AG$39+1,"DDDD")</f>
        <v>Tuesday</v>
      </c>
      <c r="H4" s="102"/>
      <c r="I4" s="102"/>
      <c r="J4" s="102"/>
      <c r="K4" s="89"/>
      <c r="L4" s="102" t="str">
        <f>TEXT($AG$39+2,"DDDD")</f>
        <v>Wednesday</v>
      </c>
      <c r="M4" s="102"/>
      <c r="N4" s="102"/>
      <c r="O4" s="102"/>
      <c r="P4" s="89"/>
      <c r="Q4" s="102" t="str">
        <f>TEXT($AG$39+3,"DDDD")</f>
        <v>Thursday</v>
      </c>
      <c r="R4" s="102"/>
      <c r="S4" s="102"/>
      <c r="T4" s="102"/>
      <c r="U4" s="89"/>
      <c r="V4" s="102" t="str">
        <f>TEXT($AG$39+4,"DDDD")</f>
        <v>Friday</v>
      </c>
      <c r="W4" s="102"/>
      <c r="X4" s="102"/>
      <c r="Y4" s="102"/>
      <c r="Z4" s="89"/>
      <c r="AA4" s="102" t="str">
        <f>TEXT($AG$39+5,"DDDD")</f>
        <v>Saturday</v>
      </c>
      <c r="AB4" s="102"/>
      <c r="AC4" s="102"/>
      <c r="AD4" s="102"/>
      <c r="AE4" s="89"/>
      <c r="AF4" s="102" t="str">
        <f>TEXT($AG$39+6,"DDDD")</f>
        <v>Sunday</v>
      </c>
      <c r="AG4" s="102"/>
      <c r="AH4" s="102"/>
      <c r="AI4" s="102"/>
      <c r="AJ4" s="89"/>
      <c r="AK4" s="7" t="s">
        <v>71</v>
      </c>
      <c r="AL4" s="91"/>
    </row>
    <row r="5" spans="1:39" x14ac:dyDescent="0.25">
      <c r="A5" s="6"/>
      <c r="B5" s="6" t="s">
        <v>72</v>
      </c>
      <c r="C5" s="6" t="s">
        <v>73</v>
      </c>
      <c r="D5" s="6" t="s">
        <v>55</v>
      </c>
      <c r="E5" s="6" t="s">
        <v>74</v>
      </c>
      <c r="F5" s="6" t="s">
        <v>75</v>
      </c>
      <c r="G5" s="6" t="s">
        <v>72</v>
      </c>
      <c r="H5" s="6" t="s">
        <v>73</v>
      </c>
      <c r="I5" s="6" t="s">
        <v>55</v>
      </c>
      <c r="J5" s="6" t="s">
        <v>74</v>
      </c>
      <c r="K5" s="6" t="s">
        <v>75</v>
      </c>
      <c r="L5" s="6" t="s">
        <v>72</v>
      </c>
      <c r="M5" s="6" t="s">
        <v>73</v>
      </c>
      <c r="N5" s="6" t="s">
        <v>55</v>
      </c>
      <c r="O5" s="6" t="s">
        <v>74</v>
      </c>
      <c r="P5" s="6" t="s">
        <v>75</v>
      </c>
      <c r="Q5" s="6" t="s">
        <v>72</v>
      </c>
      <c r="R5" s="6" t="s">
        <v>73</v>
      </c>
      <c r="S5" s="6" t="s">
        <v>55</v>
      </c>
      <c r="T5" s="6" t="s">
        <v>74</v>
      </c>
      <c r="U5" s="6" t="s">
        <v>75</v>
      </c>
      <c r="V5" s="6" t="s">
        <v>72</v>
      </c>
      <c r="W5" s="6" t="s">
        <v>73</v>
      </c>
      <c r="X5" s="6" t="s">
        <v>55</v>
      </c>
      <c r="Y5" s="6" t="s">
        <v>74</v>
      </c>
      <c r="Z5" s="6" t="s">
        <v>75</v>
      </c>
      <c r="AA5" s="6" t="s">
        <v>72</v>
      </c>
      <c r="AB5" s="6" t="s">
        <v>73</v>
      </c>
      <c r="AC5" s="6" t="s">
        <v>55</v>
      </c>
      <c r="AD5" s="6" t="s">
        <v>74</v>
      </c>
      <c r="AE5" s="6" t="s">
        <v>75</v>
      </c>
      <c r="AF5" s="6" t="s">
        <v>72</v>
      </c>
      <c r="AG5" s="6" t="s">
        <v>73</v>
      </c>
      <c r="AH5" s="6" t="s">
        <v>55</v>
      </c>
      <c r="AI5" s="6" t="s">
        <v>74</v>
      </c>
      <c r="AJ5" s="6" t="s">
        <v>75</v>
      </c>
      <c r="AK5" s="6"/>
      <c r="AL5" s="91"/>
    </row>
    <row r="6" spans="1:39" ht="13" x14ac:dyDescent="0.25">
      <c r="A6" s="7">
        <f>IF(M1&gt;=1,1,0)</f>
        <v>1</v>
      </c>
      <c r="B6" s="77">
        <f>IFERROR(VLOOKUP(Vaktplan!$A$52,Vaktplan!$A$4:$CL$35,87-AH59,FALSE),0)</f>
        <v>0</v>
      </c>
      <c r="C6" s="77">
        <f>IFERROR(VLOOKUP(Vaktplan!$A$52,Vaktplan!$A$4:$CL$35,87-AG59,FALSE),0)</f>
        <v>0</v>
      </c>
      <c r="D6" s="9">
        <f>IFERROR(VLOOKUP(Vaktplan!$A$52,Vaktplan!$A$4:$CL$35,89-AG59,FALSE),0)</f>
        <v>0</v>
      </c>
      <c r="E6" s="9">
        <f>IF(AND(B6=0,C6=0),0,IF(B6&lt;C6,((C6-B6)*24)-D6,(((1-B6)+C6)*24)-D6))</f>
        <v>0</v>
      </c>
      <c r="F6" s="9">
        <f>IF(AND(C6=0,G6=0),24,IF(C6=0,12+(G6*24),IF(C6&lt;G6,((G6-C6)*24),IF(G6=0,(1-C6+0.5)*24,((1-C6)+G6)*24))))</f>
        <v>24</v>
      </c>
      <c r="G6" s="77">
        <f>IFERROR(VLOOKUP(Vaktplan!$A$52,Vaktplan!$B$4:$CL$35,86-AH59,FALSE),0)</f>
        <v>0</v>
      </c>
      <c r="H6" s="77">
        <f>IFERROR(VLOOKUP(Vaktplan!$A$52,Vaktplan!$B$4:$CL$35,86-AG59,FALSE),0)</f>
        <v>0</v>
      </c>
      <c r="I6" s="9">
        <f>IFERROR(VLOOKUP(Vaktplan!$A$52,Vaktplan!$B$4:$CL$35,89-$AH59,FALSE),0)</f>
        <v>0</v>
      </c>
      <c r="J6" s="9">
        <f>IF(AND(G6=0,H6=0),0,IF(G6&lt;H6,((H6-G6)*24)-I6,(((1-G6)+H6)*24)-I6))</f>
        <v>0</v>
      </c>
      <c r="K6" s="9">
        <f>IF(AND(H6=0,L6=0),24,IF(H6=0,12+(L6*24),IF(H6&lt;L6,((L6-H6)*24),IF(L6=0,(1-H6+0.5)*24,((1-H6)+L6)*24))))</f>
        <v>24</v>
      </c>
      <c r="L6" s="77">
        <f>IFERROR(VLOOKUP(Vaktplan!$A$52,Vaktplan!$C$4:$CL$35,86-AI59,FALSE),0)</f>
        <v>0</v>
      </c>
      <c r="M6" s="77">
        <f>IFERROR(VLOOKUP(Vaktplan!$A$52,Vaktplan!$C$4:$CL$35,86-AH59,FALSE),0)</f>
        <v>0</v>
      </c>
      <c r="N6" s="9">
        <f>IFERROR(VLOOKUP(Vaktplan!$A$52,Vaktplan!$C$4:$CL$35,89-$AI59,FALSE),0)</f>
        <v>0</v>
      </c>
      <c r="O6" s="9">
        <f>IF(AND(L6=0,M6=0),0,IF(L6&lt;M6,((M6-L6)*24)-N6,(((1-L6)+M6)*24)-N6))</f>
        <v>0</v>
      </c>
      <c r="P6" s="9">
        <f>IF(AND(M6=0,Q6=0),24,IF(M6=0,12+(Q6*24),IF(M6&lt;Q6,((Q6-M6)*24),IF(Q6=0,(1-M6+0.5)*24,((1-M6)+Q6)*24))))</f>
        <v>24</v>
      </c>
      <c r="Q6" s="77">
        <f>IFERROR(VLOOKUP(Vaktplan!$A$52,Vaktplan!$D$4:$CL$35,86-AJ59,FALSE),0)</f>
        <v>0</v>
      </c>
      <c r="R6" s="77">
        <f>IFERROR(VLOOKUP(Vaktplan!$A$52,Vaktplan!$D$4:$CL$35,86-AI59,FALSE),0)</f>
        <v>0</v>
      </c>
      <c r="S6" s="9">
        <f>IFERROR(VLOOKUP(Vaktplan!$A$52,Vaktplan!$D$4:$CL$35,89-$AJ59,FALSE),0)</f>
        <v>0</v>
      </c>
      <c r="T6" s="9">
        <f t="shared" ref="T6:T17" si="0">IF(AND(Q6=0,R6=0),0,IF(Q6&lt;R6,((R6-Q6)*24)-S6,(((1-Q6)+R6)*24)-S6))</f>
        <v>0</v>
      </c>
      <c r="U6" s="9">
        <f>IF(AND(R6=0,V6=0),24,IF(R6=0,12+(V6*24),IF(R6&lt;V6,((V6-R6)*24),IF(V6=0,(1-R6+0.5)*24,((1-R6)+V6)*24))))</f>
        <v>24</v>
      </c>
      <c r="V6" s="77">
        <f>IFERROR(VLOOKUP(Vaktplan!$A$52,Vaktplan!$E$4:$CL$35,86-AK59,FALSE),0)</f>
        <v>0</v>
      </c>
      <c r="W6" s="77">
        <f>IFERROR(VLOOKUP(Vaktplan!$A$52,Vaktplan!$E$4:$CL$35,86-AJ59,FALSE),0)</f>
        <v>0</v>
      </c>
      <c r="X6" s="9">
        <f>IFERROR(VLOOKUP(Vaktplan!$A$52,Vaktplan!$E$4:$CL$35,89-$AK59,FALSE),0)</f>
        <v>0</v>
      </c>
      <c r="Y6" s="9">
        <f>IF(AND(V6=0,W6=0),0,IF(V6&lt;W6,((W6-V6)*24)-X6,(((1-V6)+W6)*24)-X6))</f>
        <v>0</v>
      </c>
      <c r="Z6" s="9">
        <f>IF(AND(W6=0,AA6=0),24,IF(W6=0,12+(AA6*24),IF(W6&lt;AA6,((AA6-W6)*24),IF(AA6=0,(1-W6+0.5)*24,((1-W6)+AA6)*24))))</f>
        <v>24</v>
      </c>
      <c r="AA6" s="77">
        <f>IFERROR(VLOOKUP(Vaktplan!$A$52,Vaktplan!$F$4:$CL$35,86-AL59,FALSE),0)</f>
        <v>0</v>
      </c>
      <c r="AB6" s="77">
        <f>IFERROR(VLOOKUP(Vaktplan!$A$52,Vaktplan!$F$4:$CL$35,86-AK59,FALSE),0)</f>
        <v>0</v>
      </c>
      <c r="AC6" s="9">
        <f>IFERROR(VLOOKUP(Vaktplan!$A$52,Vaktplan!$F$4:$CL$35,89-$AL59,FALSE),0)</f>
        <v>0</v>
      </c>
      <c r="AD6" s="9">
        <f>IF(AND(AA6=0,AB6=0),0,IF(AA6&lt;AB6,((AB6-AA6)*24)-AC6,(((1-AA6)+AB6)*24)-AC6))</f>
        <v>0</v>
      </c>
      <c r="AE6" s="9">
        <f>IF(AND(AB6=0,AF6=0),24,IF(AB6=0,12+(AF6*24),IF(AB6&lt;AF6,((AF6-AB6)*24),IF(AF6=0,(1-AB6+0.5)*24,((1-AB6)+AF6)*24))))</f>
        <v>24</v>
      </c>
      <c r="AF6" s="77">
        <f>IFERROR(VLOOKUP(Vaktplan!$A$52,Vaktplan!$G$4:$CL$35,86-AM59,FALSE),0)</f>
        <v>0</v>
      </c>
      <c r="AG6" s="77">
        <f>IFERROR(VLOOKUP(Vaktplan!$A$52,Vaktplan!$G$4:$CL$35,86-AL59,FALSE),0)</f>
        <v>0</v>
      </c>
      <c r="AH6" s="9">
        <f>IFERROR(VLOOKUP(Vaktplan!$A$52,Vaktplan!$G$4:$CL$35,89-$AM59,FALSE),0)</f>
        <v>0</v>
      </c>
      <c r="AI6" s="9">
        <f>IF(AND(AF6=0,AG6=0),0,IF(AF6&lt;AG6,((AG6-AF6)*24)-AH6,(((1-AF6)+AG6)*24)-AH6))</f>
        <v>0</v>
      </c>
      <c r="AJ6" s="9">
        <f>IF($M$1=AL28,IF(AND(AG6=0,B6=0),24,IF(AG6=0,12+($B$6*24),IF(AG6&lt;$B$6,(($B$6-AG6)*24),IF($B$6=0,(1-AG6+1)*24,((1-AG6)+$B$6)*24)))),IF(AND(AG6=0,B7=0),24,IF(AG6=0,12+(B7*24),IF(AG6&lt;B7,((B7-AG6)*24),IF(B7=0,(1-AG6+1)*24,((1-AG6)+B7)*24)))))</f>
        <v>24</v>
      </c>
      <c r="AK6" s="9">
        <f t="shared" ref="AK6:AK17" si="1">E6+J6+O6+T6+Y6+AD6+AI6</f>
        <v>0</v>
      </c>
      <c r="AL6" s="92">
        <f>AJ6</f>
        <v>24</v>
      </c>
      <c r="AM6" s="10">
        <f>AK6</f>
        <v>0</v>
      </c>
    </row>
    <row r="7" spans="1:39" ht="13" x14ac:dyDescent="0.25">
      <c r="A7" s="7">
        <f>IF($M$1&gt;=2,2,0)</f>
        <v>2</v>
      </c>
      <c r="B7" s="77">
        <f>IFERROR(VLOOKUP(Vaktplan!$A$52,Vaktplan!$H$4:$CL$35,87-AH60,FALSE),0)</f>
        <v>0</v>
      </c>
      <c r="C7" s="77">
        <f>IFERROR(VLOOKUP(Vaktplan!$A$52,Vaktplan!$H$4:$CL$35,87-AG60,FALSE),0)</f>
        <v>0</v>
      </c>
      <c r="D7" s="9">
        <f>IFERROR(VLOOKUP(Vaktplan!$A$52,Vaktplan!$H$4:$CL$35,89-AG60,FALSE),0)</f>
        <v>0</v>
      </c>
      <c r="E7" s="9">
        <f>IF(AND(B7=0,C7=0),0,IF(B7&lt;C7,((C7-B7)*24)-D7,(((1-B7)+C7)*24)-D7))</f>
        <v>0</v>
      </c>
      <c r="F7" s="9">
        <f t="shared" ref="F7:F17" si="2">IF(AND(C7=0,G7=0),24,IF(C7=0,12+(G7*24),IF(C7&lt;G7,((G7-C7)*24),IF(G7=0,(1-C7+0.5)*24,((1-C7)+G7)*24))))</f>
        <v>24</v>
      </c>
      <c r="G7" s="77">
        <f>IFERROR(VLOOKUP(Vaktplan!$A$52,Vaktplan!$I$4:$CL$35,86-AH60,FALSE),0)</f>
        <v>0</v>
      </c>
      <c r="H7" s="77">
        <f>IFERROR(VLOOKUP(Vaktplan!$A$52,Vaktplan!$I$4:$CL$35,86-AG60,FALSE),0)</f>
        <v>0</v>
      </c>
      <c r="I7" s="9">
        <f>IFERROR(VLOOKUP(Vaktplan!$A$52,Vaktplan!$I$4:$CL$35,89-$AH60,FALSE),0)</f>
        <v>0</v>
      </c>
      <c r="J7" s="9">
        <f t="shared" ref="J7:J17" si="3">IF(AND(G7=0,H7=0),0,IF(G7&lt;H7,((H7-G7)*24)-I7,(((1-G7)+H7)*24)-I7))</f>
        <v>0</v>
      </c>
      <c r="K7" s="9">
        <f t="shared" ref="K7:K17" si="4">IF(AND(H7=0,L7=0),24,IF(H7=0,12+(L7*24),IF(H7&lt;L7,((L7-H7)*24),IF(L7=0,(1-H7+0.5)*24,((1-H7)+L7)*24))))</f>
        <v>24</v>
      </c>
      <c r="L7" s="77">
        <f>IFERROR(VLOOKUP(Vaktplan!$A$52,Vaktplan!$J$4:$CL$35,86-AI60,FALSE),0)</f>
        <v>0</v>
      </c>
      <c r="M7" s="77">
        <f>IFERROR(VLOOKUP(Vaktplan!$A$52,Vaktplan!$J$4:$CL$35,86-AH60,FALSE),0)</f>
        <v>0</v>
      </c>
      <c r="N7" s="9">
        <f>IFERROR(VLOOKUP(Vaktplan!$A$52,Vaktplan!$J$4:$CL$35,89-$AI60,FALSE),0)</f>
        <v>0</v>
      </c>
      <c r="O7" s="9">
        <f t="shared" ref="O7:O17" si="5">IF(AND(L7=0,M7=0),0,IF(L7&lt;M7,((M7-L7)*24)-N7,(((1-L7)+M7)*24)-N7))</f>
        <v>0</v>
      </c>
      <c r="P7" s="9">
        <f t="shared" ref="P7:P17" si="6">IF(AND(M7=0,Q7=0),24,IF(M7=0,12+(Q7*24),IF(M7&lt;Q7,((Q7-M7)*24),IF(Q7=0,(1-M7+0.5)*24,((1-M7)+Q7)*24))))</f>
        <v>24</v>
      </c>
      <c r="Q7" s="77">
        <f>IFERROR(VLOOKUP(Vaktplan!$A$52,Vaktplan!$K$4:$CL$35,86-AJ60,FALSE),0)</f>
        <v>0</v>
      </c>
      <c r="R7" s="77">
        <f>IFERROR(VLOOKUP(Vaktplan!$A$52,Vaktplan!$K$4:$CL$35,86-AI60,FALSE),0)</f>
        <v>0</v>
      </c>
      <c r="S7" s="9">
        <f>IFERROR(VLOOKUP(Vaktplan!$A$52,Vaktplan!$K$4:$CL$35,89-$AJ60,FALSE),0)</f>
        <v>0</v>
      </c>
      <c r="T7" s="9">
        <f t="shared" si="0"/>
        <v>0</v>
      </c>
      <c r="U7" s="9">
        <f t="shared" ref="U7:U17" si="7">IF(AND(R7=0,V7=0),24,IF(R7=0,12+(V7*24),IF(R7&lt;V7,((V7-R7)*24),IF(V7=0,(1-R7+0.5)*24,((1-R7)+V7)*24))))</f>
        <v>24</v>
      </c>
      <c r="V7" s="77">
        <f>IFERROR(VLOOKUP(Vaktplan!$A$52,Vaktplan!$L$4:$CL$35,86-AK60,FALSE),0)</f>
        <v>0</v>
      </c>
      <c r="W7" s="77">
        <f>IFERROR(VLOOKUP(Vaktplan!$A$52,Vaktplan!$L$4:$CL$35,86-AJ60,FALSE),0)</f>
        <v>0</v>
      </c>
      <c r="X7" s="9">
        <f>IFERROR(VLOOKUP(Vaktplan!$A$52,Vaktplan!$L$4:$CL$35,89-$AK60,FALSE),0)</f>
        <v>0</v>
      </c>
      <c r="Y7" s="9">
        <f t="shared" ref="Y7:Y13" si="8">IF(AND(V7=0,W7=0),0,IF(V7&lt;W7,((W7-V7)*24)-X7,(((1-V7)+W7)*24)-X7))</f>
        <v>0</v>
      </c>
      <c r="Z7" s="9">
        <f t="shared" ref="Z7:Z17" si="9">IF(AND(W7=0,AA7=0),24,IF(W7=0,12+(AA7*24),IF(W7&lt;AA7,((AA7-W7)*24),IF(AA7=0,(1-W7+0.5)*24,((1-W7)+AA7)*24))))</f>
        <v>24</v>
      </c>
      <c r="AA7" s="77">
        <f>IFERROR(VLOOKUP(Vaktplan!$A$52,Vaktplan!$M$4:$CL$35,86-AL60,FALSE),0)</f>
        <v>0</v>
      </c>
      <c r="AB7" s="77">
        <f>IFERROR(VLOOKUP(Vaktplan!$A$52,Vaktplan!$M$4:$CL$35,86-AK60,FALSE),0)</f>
        <v>0</v>
      </c>
      <c r="AC7" s="9">
        <f>IFERROR(VLOOKUP(Vaktplan!$A$52,Vaktplan!$M$4:$CL$35,89-$AL60,FALSE),0)</f>
        <v>0</v>
      </c>
      <c r="AD7" s="9">
        <f t="shared" ref="AD7:AD13" si="10">IF(AND(AA7=0,AB7=0),0,IF(AA7&lt;AB7,((AB7-AA7)*24)-AC7,(((1-AA7)+AB7)*24)-AC7))</f>
        <v>0</v>
      </c>
      <c r="AE7" s="9">
        <f t="shared" ref="AE7:AE17" si="11">IF(AND(AB7=0,AF7=0),24,IF(AB7=0,12+(AF7*24),IF(AB7&lt;AF7,((AF7-AB7)*24),IF(AF7=0,(1-AB7+0.5)*24,((1-AB7)+AF7)*24))))</f>
        <v>24</v>
      </c>
      <c r="AF7" s="77">
        <f>IFERROR(VLOOKUP(Vaktplan!$A$52,Vaktplan!$N$4:$CL$35,86-AM60,FALSE),0)</f>
        <v>0</v>
      </c>
      <c r="AG7" s="77">
        <f>IFERROR(VLOOKUP(Vaktplan!$A$52,Vaktplan!$N$4:$CL$35,86-AL60,FALSE),0)</f>
        <v>0</v>
      </c>
      <c r="AH7" s="9">
        <f>IFERROR(VLOOKUP(Vaktplan!$A$52,Vaktplan!$N$4:$CL$35,89-$AM60,FALSE),0)</f>
        <v>0</v>
      </c>
      <c r="AI7" s="9">
        <f t="shared" ref="AI7:AI13" si="12">IF(AND(AF7=0,AG7=0),0,IF(AF7&lt;AG7,((AG7-AF7)*24)-AH7,(((1-AF7)+AG7)*24)-AH7))</f>
        <v>0</v>
      </c>
      <c r="AJ7" s="9">
        <f t="shared" ref="AJ7:AJ17" si="13">IF($M$1=AL29,IF(AND(AG7=0,B7=0),24,IF(AG7=0,12+($B$6*24),IF(AG7&lt;$B$6,(($B$6-AG7)*24),IF($B$6=0,(1-AG7+1)*24,((1-AG7)+$B$6)*24)))),IF(AND(AG7=0,B8=0),24,IF(AG7=0,12+(B8*24),IF(AG7&lt;B8,((B8-AG7)*24),IF(B8=0,(1-AG7+1)*24,((1-AG7)+B8)*24)))))</f>
        <v>24</v>
      </c>
      <c r="AK7" s="9">
        <f t="shared" si="1"/>
        <v>0</v>
      </c>
      <c r="AL7" s="92">
        <f t="shared" ref="AL7:AL13" si="14">AJ7</f>
        <v>24</v>
      </c>
      <c r="AM7" s="10">
        <f t="shared" ref="AM7:AM13" si="15">AK7</f>
        <v>0</v>
      </c>
    </row>
    <row r="8" spans="1:39" ht="13" x14ac:dyDescent="0.25">
      <c r="A8" s="7">
        <f>IF($M$1&gt;=3,3,0)</f>
        <v>3</v>
      </c>
      <c r="B8" s="77">
        <f>IFERROR(VLOOKUP(Vaktplan!$A$52,Vaktplan!$O$4:$CL$35,87-AH61,FALSE),0)</f>
        <v>0</v>
      </c>
      <c r="C8" s="77">
        <f>IFERROR(VLOOKUP(Vaktplan!$A$52,Vaktplan!$O$4:$CL$35,87-AG61,FALSE),0)</f>
        <v>0</v>
      </c>
      <c r="D8" s="9">
        <f>IFERROR(VLOOKUP(Vaktplan!$A$52,Vaktplan!$O$4:$CL$35,89-AG61,FALSE),0)</f>
        <v>0</v>
      </c>
      <c r="E8" s="9">
        <f t="shared" ref="E8:E17" si="16">IF(AND(B8=0,C8=0),0,IF(B8&lt;C8,((C8-B8)*24)-D8,(((1-B8)+C8)*24)-D8))</f>
        <v>0</v>
      </c>
      <c r="F8" s="9">
        <f t="shared" si="2"/>
        <v>24</v>
      </c>
      <c r="G8" s="77">
        <f>IFERROR(VLOOKUP(Vaktplan!$A$52,Vaktplan!$P$4:$CL$35,86-AH61,FALSE),0)</f>
        <v>0</v>
      </c>
      <c r="H8" s="77">
        <f>IFERROR(VLOOKUP(Vaktplan!$A$52,Vaktplan!$P$4:$CL$35,86-AG61,FALSE),0)</f>
        <v>0</v>
      </c>
      <c r="I8" s="9">
        <f>IFERROR(VLOOKUP(Vaktplan!$A$52,Vaktplan!$P$4:$CL$35,89-$AH61,FALSE),0)</f>
        <v>0</v>
      </c>
      <c r="J8" s="9">
        <f>IF(AND(G8=0,H8=0),0,IF(G8&lt;H8,((H8-G8)*24)-I8,(((1-G8)+H8)*24)-I8))</f>
        <v>0</v>
      </c>
      <c r="K8" s="9">
        <f t="shared" si="4"/>
        <v>24</v>
      </c>
      <c r="L8" s="77">
        <f>IFERROR(VLOOKUP(Vaktplan!$A$52,Vaktplan!$Q$4:$CL$35,86-AI61,FALSE),0)</f>
        <v>0</v>
      </c>
      <c r="M8" s="77">
        <f>IFERROR(VLOOKUP(Vaktplan!$A$52,Vaktplan!$Q$4:$CL$35,86-AH61,FALSE),0)</f>
        <v>0</v>
      </c>
      <c r="N8" s="9">
        <f>IFERROR(VLOOKUP(Vaktplan!$A$52,Vaktplan!$Q$4:$CL$35,89-$AI61,FALSE),0)</f>
        <v>0</v>
      </c>
      <c r="O8" s="9">
        <f t="shared" si="5"/>
        <v>0</v>
      </c>
      <c r="P8" s="9">
        <f t="shared" si="6"/>
        <v>24</v>
      </c>
      <c r="Q8" s="77">
        <f>IFERROR(VLOOKUP(Vaktplan!$A$52,Vaktplan!$R$4:$CL$35,86-AJ61,FALSE),0)</f>
        <v>0</v>
      </c>
      <c r="R8" s="77">
        <f>IFERROR(VLOOKUP(Vaktplan!$A$52,Vaktplan!$R$4:$CL$35,86-AI61,FALSE),0)</f>
        <v>0</v>
      </c>
      <c r="S8" s="9">
        <f>IFERROR(VLOOKUP(Vaktplan!$A$52,Vaktplan!$R$4:$CL$35,89-$AJ61,FALSE),0)</f>
        <v>0</v>
      </c>
      <c r="T8" s="9">
        <f t="shared" si="0"/>
        <v>0</v>
      </c>
      <c r="U8" s="9">
        <f t="shared" si="7"/>
        <v>24</v>
      </c>
      <c r="V8" s="77">
        <f>IFERROR(VLOOKUP(Vaktplan!$A$52,Vaktplan!$S$4:$CL$35,86-AK61,FALSE),0)</f>
        <v>0</v>
      </c>
      <c r="W8" s="77">
        <f>IFERROR(VLOOKUP(Vaktplan!$A$52,Vaktplan!$S$4:$CL$35,86-AJ61,FALSE),0)</f>
        <v>0</v>
      </c>
      <c r="X8" s="9">
        <f>IFERROR(VLOOKUP(Vaktplan!$A$52,Vaktplan!$S$4:$CL$35,89-$AK61,FALSE),0)</f>
        <v>0</v>
      </c>
      <c r="Y8" s="9">
        <f t="shared" si="8"/>
        <v>0</v>
      </c>
      <c r="Z8" s="9">
        <f t="shared" si="9"/>
        <v>24</v>
      </c>
      <c r="AA8" s="77">
        <f>IFERROR(VLOOKUP(Vaktplan!$A$52,Vaktplan!$T$4:$CL$35,86-AL61,FALSE),0)</f>
        <v>0</v>
      </c>
      <c r="AB8" s="77">
        <f>IFERROR(VLOOKUP(Vaktplan!$A$52,Vaktplan!$T$4:$CL$35,86-AK61,FALSE),0)</f>
        <v>0</v>
      </c>
      <c r="AC8" s="9">
        <f>IFERROR(VLOOKUP(Vaktplan!$A$52,Vaktplan!$T$4:$CL$35,89-$AL61,FALSE),0)</f>
        <v>0</v>
      </c>
      <c r="AD8" s="9">
        <f t="shared" si="10"/>
        <v>0</v>
      </c>
      <c r="AE8" s="9">
        <f t="shared" si="11"/>
        <v>24</v>
      </c>
      <c r="AF8" s="77">
        <f>IFERROR(VLOOKUP(Vaktplan!$A$52,Vaktplan!$U$4:$CL$35,86-AM61,FALSE),0)</f>
        <v>0</v>
      </c>
      <c r="AG8" s="77">
        <f>IFERROR(VLOOKUP(Vaktplan!$A$52,Vaktplan!$U$4:$CL$35,86-AL61,FALSE),0)</f>
        <v>0</v>
      </c>
      <c r="AH8" s="9">
        <f>IFERROR(VLOOKUP(Vaktplan!$A$52,Vaktplan!$U$4:$CL$35,89-$AM61,FALSE),0)</f>
        <v>0</v>
      </c>
      <c r="AI8" s="9">
        <f t="shared" si="12"/>
        <v>0</v>
      </c>
      <c r="AJ8" s="9">
        <f t="shared" si="13"/>
        <v>24</v>
      </c>
      <c r="AK8" s="9">
        <f t="shared" si="1"/>
        <v>0</v>
      </c>
      <c r="AL8" s="92">
        <f t="shared" si="14"/>
        <v>24</v>
      </c>
      <c r="AM8" s="10">
        <f t="shared" si="15"/>
        <v>0</v>
      </c>
    </row>
    <row r="9" spans="1:39" ht="13" x14ac:dyDescent="0.25">
      <c r="A9" s="7">
        <f>IF($M$1&gt;=4,4,0)</f>
        <v>4</v>
      </c>
      <c r="B9" s="77">
        <f>IFERROR(VLOOKUP(Vaktplan!$A$52,Vaktplan!$V$4:$CL$35,87-AH62,FALSE),0)</f>
        <v>0</v>
      </c>
      <c r="C9" s="77">
        <f>IFERROR(VLOOKUP(Vaktplan!$A$52,Vaktplan!$V$4:$CL$35,87-AG62,FALSE),0)</f>
        <v>0</v>
      </c>
      <c r="D9" s="9">
        <f>IFERROR(VLOOKUP(Vaktplan!$A$52,Vaktplan!$V$4:$CL$35,89-AG62,FALSE),0)</f>
        <v>0</v>
      </c>
      <c r="E9" s="9">
        <f t="shared" si="16"/>
        <v>0</v>
      </c>
      <c r="F9" s="9">
        <f t="shared" si="2"/>
        <v>24</v>
      </c>
      <c r="G9" s="77">
        <f>IFERROR(VLOOKUP(Vaktplan!$A$52,Vaktplan!$W$4:$CL$35,86-AH62,FALSE),0)</f>
        <v>0</v>
      </c>
      <c r="H9" s="77">
        <f>IFERROR(VLOOKUP(Vaktplan!$A$52,Vaktplan!$W$4:$CL$35,86-AG62,FALSE),0)</f>
        <v>0</v>
      </c>
      <c r="I9" s="9">
        <f>IFERROR(VLOOKUP(Vaktplan!$A$52,Vaktplan!$W$4:$CL$35,89-$AH62,FALSE),0)</f>
        <v>0</v>
      </c>
      <c r="J9" s="9">
        <f t="shared" si="3"/>
        <v>0</v>
      </c>
      <c r="K9" s="9">
        <f t="shared" si="4"/>
        <v>24</v>
      </c>
      <c r="L9" s="77">
        <f>IFERROR(VLOOKUP(Vaktplan!$A$52,Vaktplan!$X$4:$CL$35,86-AI62,FALSE),0)</f>
        <v>0</v>
      </c>
      <c r="M9" s="77">
        <f>IFERROR(VLOOKUP(Vaktplan!$A$52,Vaktplan!$X$4:$CL$35,86-AH62,FALSE),0)</f>
        <v>0</v>
      </c>
      <c r="N9" s="9">
        <f>IFERROR(VLOOKUP(Vaktplan!$A$52,Vaktplan!$X$4:$CL$35,89-$AI62,FALSE),0)</f>
        <v>0</v>
      </c>
      <c r="O9" s="9">
        <f t="shared" si="5"/>
        <v>0</v>
      </c>
      <c r="P9" s="9">
        <f t="shared" si="6"/>
        <v>24</v>
      </c>
      <c r="Q9" s="77">
        <f>IFERROR(VLOOKUP(Vaktplan!$A$52,Vaktplan!$Y$4:$CL$35,86-AJ62,FALSE),0)</f>
        <v>0</v>
      </c>
      <c r="R9" s="77">
        <f>IFERROR(VLOOKUP(Vaktplan!$A$52,Vaktplan!$Y$4:$CL$35,86-AI62,FALSE),0)</f>
        <v>0</v>
      </c>
      <c r="S9" s="9">
        <f>IFERROR(VLOOKUP(Vaktplan!$A$52,Vaktplan!$Y$4:$CL$35,89-$AJ62,FALSE),0)</f>
        <v>0</v>
      </c>
      <c r="T9" s="9">
        <f t="shared" si="0"/>
        <v>0</v>
      </c>
      <c r="U9" s="9">
        <f t="shared" si="7"/>
        <v>24</v>
      </c>
      <c r="V9" s="77">
        <f>IFERROR(VLOOKUP(Vaktplan!$A$52,Vaktplan!$Z$4:$CL$35,86-AK62,FALSE),0)</f>
        <v>0</v>
      </c>
      <c r="W9" s="77">
        <f>IFERROR(VLOOKUP(Vaktplan!$A$52,Vaktplan!$Z$4:$CL$35,86-AJ62,FALSE),0)</f>
        <v>0</v>
      </c>
      <c r="X9" s="9">
        <f>IFERROR(VLOOKUP(Vaktplan!$A$52,Vaktplan!$Z$4:$CL$35,89-$AK62,FALSE),0)</f>
        <v>0</v>
      </c>
      <c r="Y9" s="9">
        <f t="shared" si="8"/>
        <v>0</v>
      </c>
      <c r="Z9" s="9">
        <f t="shared" si="9"/>
        <v>24</v>
      </c>
      <c r="AA9" s="77">
        <f>IFERROR(VLOOKUP(Vaktplan!$A$52,Vaktplan!$AA$4:$CL$35,86-AL62,FALSE),0)</f>
        <v>0</v>
      </c>
      <c r="AB9" s="77">
        <f>IFERROR(VLOOKUP(Vaktplan!$A$52,Vaktplan!$AA$4:$CL$35,86-AK62,FALSE),0)</f>
        <v>0</v>
      </c>
      <c r="AC9" s="9">
        <f>IFERROR(VLOOKUP(Vaktplan!$A$52,Vaktplan!$AA$4:$CL$35,89-$AL62,FALSE),0)</f>
        <v>0</v>
      </c>
      <c r="AD9" s="9">
        <f t="shared" si="10"/>
        <v>0</v>
      </c>
      <c r="AE9" s="9">
        <f t="shared" si="11"/>
        <v>24</v>
      </c>
      <c r="AF9" s="77">
        <f>IFERROR(VLOOKUP(Vaktplan!$A$52,Vaktplan!$AB$4:$CL$35,86-AM62,FALSE),0)</f>
        <v>0</v>
      </c>
      <c r="AG9" s="77">
        <f>IFERROR(VLOOKUP(Vaktplan!$A$52,Vaktplan!$AB$4:$CL$35,86-AL62,FALSE),0)</f>
        <v>0</v>
      </c>
      <c r="AH9" s="9">
        <f>IFERROR(VLOOKUP(Vaktplan!$A$52,Vaktplan!$AB$4:$CL$35,89-$AM62,FALSE),0)</f>
        <v>0</v>
      </c>
      <c r="AI9" s="9">
        <f t="shared" si="12"/>
        <v>0</v>
      </c>
      <c r="AJ9" s="9">
        <f t="shared" si="13"/>
        <v>24</v>
      </c>
      <c r="AK9" s="9">
        <f t="shared" si="1"/>
        <v>0</v>
      </c>
      <c r="AL9" s="92">
        <f t="shared" si="14"/>
        <v>24</v>
      </c>
      <c r="AM9" s="10">
        <f t="shared" si="15"/>
        <v>0</v>
      </c>
    </row>
    <row r="10" spans="1:39" ht="13" x14ac:dyDescent="0.25">
      <c r="A10" s="7">
        <f>IF($M$1&gt;=5,5,0)</f>
        <v>5</v>
      </c>
      <c r="B10" s="77">
        <f>IFERROR(VLOOKUP(Vaktplan!$A$52,Vaktplan!$AC$4:$CL$35,87-AH63,FALSE),0)</f>
        <v>0</v>
      </c>
      <c r="C10" s="77">
        <f>IFERROR(VLOOKUP(Vaktplan!$A$52,Vaktplan!$AC$4:$CL$35,87-AG63,FALSE),0)</f>
        <v>0</v>
      </c>
      <c r="D10" s="9">
        <f>IFERROR(VLOOKUP(Vaktplan!$A$52,Vaktplan!$AC$4:$CL$35,89-AG63,FALSE),0)</f>
        <v>0</v>
      </c>
      <c r="E10" s="9">
        <f t="shared" si="16"/>
        <v>0</v>
      </c>
      <c r="F10" s="9">
        <f t="shared" si="2"/>
        <v>24</v>
      </c>
      <c r="G10" s="77">
        <f>IFERROR(VLOOKUP(Vaktplan!$A$52,Vaktplan!$AD$4:$CL$35,86-AH63,FALSE),0)</f>
        <v>0</v>
      </c>
      <c r="H10" s="77">
        <f>IFERROR(VLOOKUP(Vaktplan!$A$52,Vaktplan!$AD$4:$CL$35,86-AG63,FALSE),0)</f>
        <v>0</v>
      </c>
      <c r="I10" s="9">
        <f>IFERROR(VLOOKUP(Vaktplan!$A$52,Vaktplan!$AD$4:$CL$35,89-$AH63,FALSE),0)</f>
        <v>0</v>
      </c>
      <c r="J10" s="9">
        <f t="shared" si="3"/>
        <v>0</v>
      </c>
      <c r="K10" s="9">
        <f t="shared" si="4"/>
        <v>24</v>
      </c>
      <c r="L10" s="77">
        <f>IFERROR(VLOOKUP(Vaktplan!$A$52,Vaktplan!$AE$4:$CL$35,86-AI63,FALSE),0)</f>
        <v>0</v>
      </c>
      <c r="M10" s="77">
        <f>IFERROR(VLOOKUP(Vaktplan!$A$52,Vaktplan!$AE$4:$CL$35,86-AH63,FALSE),0)</f>
        <v>0</v>
      </c>
      <c r="N10" s="9">
        <f>IFERROR(VLOOKUP(Vaktplan!$A$52,Vaktplan!$AE$4:$CL$35,89-$AI63,FALSE),0)</f>
        <v>0</v>
      </c>
      <c r="O10" s="9">
        <f t="shared" si="5"/>
        <v>0</v>
      </c>
      <c r="P10" s="9">
        <f t="shared" si="6"/>
        <v>24</v>
      </c>
      <c r="Q10" s="77">
        <f>IFERROR(VLOOKUP(Vaktplan!$A$52,Vaktplan!$AF$4:$CL$35,86-AJ63,FALSE),0)</f>
        <v>0</v>
      </c>
      <c r="R10" s="77">
        <f>IFERROR(VLOOKUP(Vaktplan!$A$52,Vaktplan!$AF$4:$CL$35,86-AI63,FALSE),0)</f>
        <v>0</v>
      </c>
      <c r="S10" s="9">
        <f>IFERROR(VLOOKUP(Vaktplan!$A$52,Vaktplan!$AF$4:$CL$35,89-$AJ63,FALSE),0)</f>
        <v>0</v>
      </c>
      <c r="T10" s="9">
        <f t="shared" si="0"/>
        <v>0</v>
      </c>
      <c r="U10" s="9">
        <f t="shared" si="7"/>
        <v>24</v>
      </c>
      <c r="V10" s="77">
        <f>IFERROR(VLOOKUP(Vaktplan!$A$52,Vaktplan!$AG$4:$CL$35,86-AK63,FALSE),0)</f>
        <v>0</v>
      </c>
      <c r="W10" s="77">
        <f>IFERROR(VLOOKUP(Vaktplan!$A$52,Vaktplan!$AG$4:$CL$35,86-AJ63,FALSE),0)</f>
        <v>0</v>
      </c>
      <c r="X10" s="9">
        <f>IFERROR(VLOOKUP(Vaktplan!$A$52,Vaktplan!$AG$4:$CL$35,89-$AK63,FALSE),0)</f>
        <v>0</v>
      </c>
      <c r="Y10" s="9">
        <f t="shared" si="8"/>
        <v>0</v>
      </c>
      <c r="Z10" s="9">
        <f t="shared" si="9"/>
        <v>24</v>
      </c>
      <c r="AA10" s="77">
        <f>IFERROR(VLOOKUP(Vaktplan!$A$52,Vaktplan!$AH$4:$CL$35,86-AL63,FALSE),0)</f>
        <v>0</v>
      </c>
      <c r="AB10" s="77">
        <f>IFERROR(VLOOKUP(Vaktplan!$A$52,Vaktplan!$AH$4:$CL$35,86-AK63,FALSE),0)</f>
        <v>0</v>
      </c>
      <c r="AC10" s="9">
        <f>IFERROR(VLOOKUP(Vaktplan!$A$52,Vaktplan!$AH$4:$CL$35,89-$AL63,FALSE),0)</f>
        <v>0</v>
      </c>
      <c r="AD10" s="9">
        <f t="shared" si="10"/>
        <v>0</v>
      </c>
      <c r="AE10" s="9">
        <f t="shared" si="11"/>
        <v>24</v>
      </c>
      <c r="AF10" s="77">
        <f>IFERROR(VLOOKUP(Vaktplan!$A$52,Vaktplan!$AI$4:$CL$35,86-AM63,FALSE),0)</f>
        <v>0</v>
      </c>
      <c r="AG10" s="77">
        <f>IFERROR(VLOOKUP(Vaktplan!$A$52,Vaktplan!$AI$4:$CL$35,86-AL63,FALSE),0)</f>
        <v>0</v>
      </c>
      <c r="AH10" s="9">
        <f>IFERROR(VLOOKUP(Vaktplan!$A$52,Vaktplan!$AI$4:$CL$35,89-$AM63,FALSE),0)</f>
        <v>0</v>
      </c>
      <c r="AI10" s="9">
        <f t="shared" si="12"/>
        <v>0</v>
      </c>
      <c r="AJ10" s="9">
        <f t="shared" si="13"/>
        <v>24</v>
      </c>
      <c r="AK10" s="9">
        <f t="shared" si="1"/>
        <v>0</v>
      </c>
      <c r="AL10" s="92">
        <f t="shared" si="14"/>
        <v>24</v>
      </c>
      <c r="AM10" s="10">
        <f t="shared" si="15"/>
        <v>0</v>
      </c>
    </row>
    <row r="11" spans="1:39" ht="13" x14ac:dyDescent="0.25">
      <c r="A11" s="7">
        <f>IF($M$1&gt;=6,6,0)</f>
        <v>6</v>
      </c>
      <c r="B11" s="77">
        <f>IFERROR(VLOOKUP(Vaktplan!$A$52,Vaktplan!$AJ$4:$CL$35,87-AH64,FALSE),0)</f>
        <v>0</v>
      </c>
      <c r="C11" s="77">
        <f>IFERROR(VLOOKUP(Vaktplan!$A$52,Vaktplan!$AJ$4:$CL$35,87-AG64,FALSE),0)</f>
        <v>0</v>
      </c>
      <c r="D11" s="9">
        <f>IFERROR(VLOOKUP(Vaktplan!$A$52,Vaktplan!$AJ$4:$CL$35,89-AG64,FALSE),0)</f>
        <v>0</v>
      </c>
      <c r="E11" s="9">
        <f t="shared" si="16"/>
        <v>0</v>
      </c>
      <c r="F11" s="9">
        <f t="shared" si="2"/>
        <v>24</v>
      </c>
      <c r="G11" s="77">
        <f>IFERROR(VLOOKUP(Vaktplan!$A$52,Vaktplan!$AK$4:$CL$35,86-AH64,FALSE),0)</f>
        <v>0</v>
      </c>
      <c r="H11" s="77">
        <f>IFERROR(VLOOKUP(Vaktplan!$A$52,Vaktplan!$AK$4:$CL$35,86-AG64,FALSE),0)</f>
        <v>0</v>
      </c>
      <c r="I11" s="9">
        <f>IFERROR(VLOOKUP(Vaktplan!$A$52,Vaktplan!$AK$4:$CL$35,89-$AH64,FALSE),0)</f>
        <v>0</v>
      </c>
      <c r="J11" s="9">
        <f t="shared" si="3"/>
        <v>0</v>
      </c>
      <c r="K11" s="9">
        <f t="shared" si="4"/>
        <v>24</v>
      </c>
      <c r="L11" s="77">
        <f>IFERROR(VLOOKUP(Vaktplan!$A$52,Vaktplan!$AL$4:$CL$35,86-AI64,FALSE),0)</f>
        <v>0</v>
      </c>
      <c r="M11" s="77">
        <f>IFERROR(VLOOKUP(Vaktplan!$A$52,Vaktplan!$AL$4:$CL$35,86-AH64,FALSE),0)</f>
        <v>0</v>
      </c>
      <c r="N11" s="9">
        <f>IFERROR(VLOOKUP(Vaktplan!$A$52,Vaktplan!$AL$4:$CL$35,89-$AI64,FALSE),0)</f>
        <v>0</v>
      </c>
      <c r="O11" s="9">
        <f t="shared" si="5"/>
        <v>0</v>
      </c>
      <c r="P11" s="9">
        <f t="shared" si="6"/>
        <v>24</v>
      </c>
      <c r="Q11" s="77">
        <f>IFERROR(VLOOKUP(Vaktplan!$A$52,Vaktplan!$AM$4:$CL$35,86-AJ64,FALSE),0)</f>
        <v>0</v>
      </c>
      <c r="R11" s="77">
        <f>IFERROR(VLOOKUP(Vaktplan!$A$52,Vaktplan!$AM$4:$CL$35,86-AI64,FALSE),0)</f>
        <v>0</v>
      </c>
      <c r="S11" s="9">
        <f>IFERROR(VLOOKUP(Vaktplan!$A$52,Vaktplan!$AM$4:$CL$35,89-$AJ64,FALSE),0)</f>
        <v>0</v>
      </c>
      <c r="T11" s="9">
        <f t="shared" si="0"/>
        <v>0</v>
      </c>
      <c r="U11" s="9">
        <f t="shared" si="7"/>
        <v>24</v>
      </c>
      <c r="V11" s="77">
        <f>IFERROR(VLOOKUP(Vaktplan!$A$52,Vaktplan!$AN$4:$CL$35,86-AK64,FALSE),0)</f>
        <v>0</v>
      </c>
      <c r="W11" s="77">
        <f>IFERROR(VLOOKUP(Vaktplan!$A$52,Vaktplan!$AN$4:$CL$35,86-AJ64,FALSE),0)</f>
        <v>0</v>
      </c>
      <c r="X11" s="9">
        <f>IFERROR(VLOOKUP(Vaktplan!$A$52,Vaktplan!$AN$4:$CL$35,89-$AK64,FALSE),0)</f>
        <v>0</v>
      </c>
      <c r="Y11" s="9">
        <f t="shared" si="8"/>
        <v>0</v>
      </c>
      <c r="Z11" s="9">
        <f t="shared" si="9"/>
        <v>24</v>
      </c>
      <c r="AA11" s="77">
        <f>IFERROR(VLOOKUP(Vaktplan!$A$52,Vaktplan!$AO$4:$CL$35,86-AL64,FALSE),0)</f>
        <v>0</v>
      </c>
      <c r="AB11" s="77">
        <f>IFERROR(VLOOKUP(Vaktplan!$A$52,Vaktplan!$AO$4:$CL$35,86-AK64,FALSE),0)</f>
        <v>0</v>
      </c>
      <c r="AC11" s="9">
        <f>IFERROR(VLOOKUP(Vaktplan!$A$52,Vaktplan!$AO$4:$CL$35,89-$AL64,FALSE),0)</f>
        <v>0</v>
      </c>
      <c r="AD11" s="9">
        <f t="shared" si="10"/>
        <v>0</v>
      </c>
      <c r="AE11" s="9">
        <f t="shared" si="11"/>
        <v>24</v>
      </c>
      <c r="AF11" s="77">
        <f>IFERROR(VLOOKUP(Vaktplan!$A$52,Vaktplan!$AP$4:$CL$35,86-AM64,FALSE),0)</f>
        <v>0</v>
      </c>
      <c r="AG11" s="77">
        <f>IFERROR(VLOOKUP(Vaktplan!$A$52,Vaktplan!$AP$4:$CL$35,86-AL64,FALSE),0)</f>
        <v>0</v>
      </c>
      <c r="AH11" s="9">
        <f>IFERROR(VLOOKUP(Vaktplan!$A$52,Vaktplan!$AP$4:$CL$35,89-$AM64,FALSE),0)</f>
        <v>0</v>
      </c>
      <c r="AI11" s="9">
        <f t="shared" si="12"/>
        <v>0</v>
      </c>
      <c r="AJ11" s="9">
        <f t="shared" si="13"/>
        <v>24</v>
      </c>
      <c r="AK11" s="9">
        <f t="shared" si="1"/>
        <v>0</v>
      </c>
      <c r="AL11" s="92">
        <f t="shared" si="14"/>
        <v>24</v>
      </c>
      <c r="AM11" s="10">
        <f t="shared" si="15"/>
        <v>0</v>
      </c>
    </row>
    <row r="12" spans="1:39" ht="13" x14ac:dyDescent="0.25">
      <c r="A12" s="7">
        <f>IF($M$1&gt;=7,7,0)</f>
        <v>7</v>
      </c>
      <c r="B12" s="77">
        <f>IFERROR(VLOOKUP(Vaktplan!$A$52,Vaktplan!$AQ$4:$CL$35,87-AH65,FALSE),0)</f>
        <v>0</v>
      </c>
      <c r="C12" s="77">
        <f>IFERROR(VLOOKUP(Vaktplan!$A$52,Vaktplan!$AQ$4:$CL$35,87-AG65,FALSE),0)</f>
        <v>0</v>
      </c>
      <c r="D12" s="9">
        <f>IFERROR(VLOOKUP(Vaktplan!$A$52,Vaktplan!$AQ$4:$CL$35,89-AG65,FALSE),0)</f>
        <v>0</v>
      </c>
      <c r="E12" s="9">
        <f t="shared" si="16"/>
        <v>0</v>
      </c>
      <c r="F12" s="9">
        <f t="shared" si="2"/>
        <v>24</v>
      </c>
      <c r="G12" s="77">
        <f>IFERROR(VLOOKUP(Vaktplan!$A$52,Vaktplan!$AR$4:$CL$35,86-AH65,FALSE),0)</f>
        <v>0</v>
      </c>
      <c r="H12" s="77">
        <f>IFERROR(VLOOKUP(Vaktplan!$A$52,Vaktplan!$AR$4:$CL$35,86-AG65,FALSE),0)</f>
        <v>0</v>
      </c>
      <c r="I12" s="9">
        <f>IFERROR(VLOOKUP(Vaktplan!$A$52,Vaktplan!$AR$4:$CL$35,89-$AH65,FALSE),0)</f>
        <v>0</v>
      </c>
      <c r="J12" s="9">
        <f t="shared" si="3"/>
        <v>0</v>
      </c>
      <c r="K12" s="9">
        <f t="shared" si="4"/>
        <v>24</v>
      </c>
      <c r="L12" s="77">
        <f>IFERROR(VLOOKUP(Vaktplan!$A$52,Vaktplan!$AS$4:$CL$35,86-AI65,FALSE),0)</f>
        <v>0</v>
      </c>
      <c r="M12" s="77">
        <f>IFERROR(VLOOKUP(Vaktplan!$A$52,Vaktplan!$AS$4:$CL$35,86-AH65,FALSE),0)</f>
        <v>0</v>
      </c>
      <c r="N12" s="9">
        <f>IFERROR(VLOOKUP(Vaktplan!$A$52,Vaktplan!$AS$4:$CL$35,89-$AI65,FALSE),0)</f>
        <v>0</v>
      </c>
      <c r="O12" s="9">
        <f t="shared" si="5"/>
        <v>0</v>
      </c>
      <c r="P12" s="9">
        <f t="shared" si="6"/>
        <v>24</v>
      </c>
      <c r="Q12" s="77">
        <f>IFERROR(VLOOKUP(Vaktplan!$A$52,Vaktplan!$AT$4:$CL$35,86-AJ65,FALSE),0)</f>
        <v>0</v>
      </c>
      <c r="R12" s="77">
        <f>IFERROR(VLOOKUP(Vaktplan!$A$52,Vaktplan!$AT$4:$CL$35,86-AI65,FALSE),0)</f>
        <v>0</v>
      </c>
      <c r="S12" s="9">
        <f>IFERROR(VLOOKUP(Vaktplan!$A$52,Vaktplan!$AT$4:$CL$35,89-$AJ65,FALSE),0)</f>
        <v>0</v>
      </c>
      <c r="T12" s="9">
        <f t="shared" si="0"/>
        <v>0</v>
      </c>
      <c r="U12" s="9">
        <f t="shared" si="7"/>
        <v>24</v>
      </c>
      <c r="V12" s="77">
        <f>IFERROR(VLOOKUP(Vaktplan!$A$52,Vaktplan!$AU$4:$CL$35,86-AK65,FALSE),0)</f>
        <v>0</v>
      </c>
      <c r="W12" s="77">
        <f>IFERROR(VLOOKUP(Vaktplan!$A$52,Vaktplan!$AU$4:$CL$35,86-AJ65,FALSE),0)</f>
        <v>0</v>
      </c>
      <c r="X12" s="9">
        <f>IFERROR(VLOOKUP(Vaktplan!$A$52,Vaktplan!$AU$4:$CL$35,89-$AK65,FALSE),0)</f>
        <v>0</v>
      </c>
      <c r="Y12" s="9">
        <f t="shared" si="8"/>
        <v>0</v>
      </c>
      <c r="Z12" s="9">
        <f t="shared" si="9"/>
        <v>24</v>
      </c>
      <c r="AA12" s="77">
        <f>IFERROR(VLOOKUP(Vaktplan!$A$52,Vaktplan!$AV$4:$CL$35,86-AL65,FALSE),0)</f>
        <v>0</v>
      </c>
      <c r="AB12" s="77">
        <f>IFERROR(VLOOKUP(Vaktplan!$A$52,Vaktplan!$AV$4:$CL$35,86-AK65,FALSE),0)</f>
        <v>0</v>
      </c>
      <c r="AC12" s="9">
        <f>IFERROR(VLOOKUP(Vaktplan!$A$52,Vaktplan!$AV$4:$CL$35,89-$AL65,FALSE),0)</f>
        <v>0</v>
      </c>
      <c r="AD12" s="9">
        <f t="shared" si="10"/>
        <v>0</v>
      </c>
      <c r="AE12" s="9">
        <f t="shared" si="11"/>
        <v>24</v>
      </c>
      <c r="AF12" s="77">
        <f>IFERROR(VLOOKUP(Vaktplan!$A$52,Vaktplan!$AW$4:$CL$35,86-AM65,FALSE),0)</f>
        <v>0</v>
      </c>
      <c r="AG12" s="77">
        <f>IFERROR(VLOOKUP(Vaktplan!$A$52,Vaktplan!$AW$4:$CL$35,86-AL65,FALSE),0)</f>
        <v>0</v>
      </c>
      <c r="AH12" s="9">
        <f>IFERROR(VLOOKUP(Vaktplan!$A$52,Vaktplan!$AW$4:$CL$35,89-$AM65,FALSE),0)</f>
        <v>0</v>
      </c>
      <c r="AI12" s="9">
        <f t="shared" si="12"/>
        <v>0</v>
      </c>
      <c r="AJ12" s="9">
        <f t="shared" si="13"/>
        <v>24</v>
      </c>
      <c r="AK12" s="9">
        <f t="shared" si="1"/>
        <v>0</v>
      </c>
      <c r="AL12" s="92">
        <f t="shared" si="14"/>
        <v>24</v>
      </c>
      <c r="AM12" s="10">
        <f t="shared" si="15"/>
        <v>0</v>
      </c>
    </row>
    <row r="13" spans="1:39" ht="13" x14ac:dyDescent="0.25">
      <c r="A13" s="7">
        <f>IF($M$1&gt;=8,8,0)</f>
        <v>8</v>
      </c>
      <c r="B13" s="77">
        <f>IFERROR(VLOOKUP(Vaktplan!$A$52,Vaktplan!$AX$4:$CL$35,87-AH66,FALSE),0)</f>
        <v>0</v>
      </c>
      <c r="C13" s="77">
        <f>IFERROR(VLOOKUP(Vaktplan!$A$52,Vaktplan!$AX$4:$CL$35,87-AG66,FALSE),0)</f>
        <v>0</v>
      </c>
      <c r="D13" s="9">
        <f>IFERROR(VLOOKUP(Vaktplan!$A$52,Vaktplan!$AX$4:$CL$35,89-AG66,FALSE),0)</f>
        <v>0</v>
      </c>
      <c r="E13" s="9">
        <f t="shared" si="16"/>
        <v>0</v>
      </c>
      <c r="F13" s="9">
        <f t="shared" si="2"/>
        <v>24</v>
      </c>
      <c r="G13" s="77">
        <f>IFERROR(VLOOKUP(Vaktplan!$A$52,Vaktplan!$AY$4:$CL$35,86-AH66,FALSE),0)</f>
        <v>0</v>
      </c>
      <c r="H13" s="77">
        <f>IFERROR(VLOOKUP(Vaktplan!$A$52,Vaktplan!$AY$4:$CL$35,86-AG66,FALSE),0)</f>
        <v>0</v>
      </c>
      <c r="I13" s="9">
        <f>IFERROR(VLOOKUP(Vaktplan!$A$52,Vaktplan!$AY$4:$CL$35,89-$AH66,FALSE),0)</f>
        <v>0</v>
      </c>
      <c r="J13" s="9">
        <f t="shared" si="3"/>
        <v>0</v>
      </c>
      <c r="K13" s="9">
        <f t="shared" si="4"/>
        <v>24</v>
      </c>
      <c r="L13" s="77">
        <f>IFERROR(VLOOKUP(Vaktplan!$A$52,Vaktplan!$AZ$4:$CL$35,86-AI66,FALSE),0)</f>
        <v>0</v>
      </c>
      <c r="M13" s="77">
        <f>IFERROR(VLOOKUP(Vaktplan!$A$52,Vaktplan!$AZ$4:$CL$35,86-AH66,FALSE),0)</f>
        <v>0</v>
      </c>
      <c r="N13" s="9">
        <f>IFERROR(VLOOKUP(Vaktplan!$A$52,Vaktplan!$AZ$4:$CL$35,89-$AI66,FALSE),0)</f>
        <v>0</v>
      </c>
      <c r="O13" s="9">
        <f t="shared" si="5"/>
        <v>0</v>
      </c>
      <c r="P13" s="9">
        <f t="shared" si="6"/>
        <v>24</v>
      </c>
      <c r="Q13" s="77">
        <f>IFERROR(VLOOKUP(Vaktplan!$A$52,Vaktplan!$BA$4:$CL$35,86-AJ66,FALSE),0)</f>
        <v>0</v>
      </c>
      <c r="R13" s="77">
        <f>IFERROR(VLOOKUP(Vaktplan!$A$52,Vaktplan!$BA$4:$CL$35,86-AI66,FALSE),0)</f>
        <v>0</v>
      </c>
      <c r="S13" s="9">
        <f>IFERROR(VLOOKUP(Vaktplan!$A$52,Vaktplan!$BA$4:$CL$35,89-$AJ66,FALSE),0)</f>
        <v>0</v>
      </c>
      <c r="T13" s="9">
        <f t="shared" si="0"/>
        <v>0</v>
      </c>
      <c r="U13" s="9">
        <f t="shared" si="7"/>
        <v>24</v>
      </c>
      <c r="V13" s="77">
        <f>IFERROR(VLOOKUP(Vaktplan!$A$52,Vaktplan!$BB$4:$CL$35,86-AK66,FALSE),0)</f>
        <v>0</v>
      </c>
      <c r="W13" s="77">
        <f>IFERROR(VLOOKUP(Vaktplan!$A$52,Vaktplan!$BB$4:$CL$35,86-AJ66,FALSE),0)</f>
        <v>0</v>
      </c>
      <c r="X13" s="9">
        <f>IFERROR(VLOOKUP(Vaktplan!$A$52,Vaktplan!$BB$4:$CL$35,89-$AK66,FALSE),0)</f>
        <v>0</v>
      </c>
      <c r="Y13" s="9">
        <f t="shared" si="8"/>
        <v>0</v>
      </c>
      <c r="Z13" s="9">
        <f t="shared" si="9"/>
        <v>24</v>
      </c>
      <c r="AA13" s="77">
        <f>IFERROR(VLOOKUP(Vaktplan!$A$52,Vaktplan!$BC$4:$CL$35,86-AL66,FALSE),0)</f>
        <v>0</v>
      </c>
      <c r="AB13" s="77">
        <f>IFERROR(VLOOKUP(Vaktplan!$A$52,Vaktplan!$BC$4:$CL$35,86-AK66,FALSE),0)</f>
        <v>0</v>
      </c>
      <c r="AC13" s="9">
        <f>IFERROR(VLOOKUP(Vaktplan!$A$52,Vaktplan!$BC$4:$CL$35,89-$AL66,FALSE),0)</f>
        <v>0</v>
      </c>
      <c r="AD13" s="9">
        <f t="shared" si="10"/>
        <v>0</v>
      </c>
      <c r="AE13" s="9">
        <f t="shared" si="11"/>
        <v>24</v>
      </c>
      <c r="AF13" s="77">
        <f>IFERROR(VLOOKUP(Vaktplan!$A$52,Vaktplan!$BD$4:$CL$35,86-AM66,FALSE),0)</f>
        <v>0</v>
      </c>
      <c r="AG13" s="77">
        <f>IFERROR(VLOOKUP(Vaktplan!$A$52,Vaktplan!$BD$4:$CL$35,86-AL66,FALSE),0)</f>
        <v>0</v>
      </c>
      <c r="AH13" s="9">
        <f>IFERROR(VLOOKUP(Vaktplan!$A$52,Vaktplan!$BD$4:$CL$35,89-$AM66,FALSE),0)</f>
        <v>0</v>
      </c>
      <c r="AI13" s="9">
        <f t="shared" si="12"/>
        <v>0</v>
      </c>
      <c r="AJ13" s="9">
        <f t="shared" si="13"/>
        <v>24</v>
      </c>
      <c r="AK13" s="9">
        <f t="shared" si="1"/>
        <v>0</v>
      </c>
      <c r="AL13" s="92">
        <f t="shared" si="14"/>
        <v>24</v>
      </c>
      <c r="AM13" s="10">
        <f t="shared" si="15"/>
        <v>0</v>
      </c>
    </row>
    <row r="14" spans="1:39" ht="13" x14ac:dyDescent="0.25">
      <c r="A14" s="7">
        <v>9</v>
      </c>
      <c r="B14" s="77">
        <f>IFERROR(VLOOKUP(Vaktplan!$A$52,Vaktplan!$BE$4:$CL$35,87-AH67,FALSE),0)</f>
        <v>0</v>
      </c>
      <c r="C14" s="77">
        <f>IFERROR(VLOOKUP(Vaktplan!$A$52,Vaktplan!$BE$4:$CL$35,87-AG67,FALSE),0)</f>
        <v>0</v>
      </c>
      <c r="D14" s="9">
        <f>IFERROR(VLOOKUP(Vaktplan!$A$52,Vaktplan!$BE$4:$CL$35,89-AG67,FALSE),0)</f>
        <v>0</v>
      </c>
      <c r="E14" s="9">
        <f t="shared" si="16"/>
        <v>0</v>
      </c>
      <c r="F14" s="9">
        <f t="shared" si="2"/>
        <v>24</v>
      </c>
      <c r="G14" s="77">
        <f>IFERROR(VLOOKUP(Vaktplan!$A$52,Vaktplan!$BF$4:$CL$35,86-AH67,FALSE),0)</f>
        <v>0</v>
      </c>
      <c r="H14" s="77">
        <f>IFERROR(VLOOKUP(Vaktplan!$A$52,Vaktplan!$BF$4:$CL$35,86-AG67,FALSE),0)</f>
        <v>0</v>
      </c>
      <c r="I14" s="9">
        <f>IFERROR(VLOOKUP(Vaktplan!$A$52,Vaktplan!$BF$4:$CL$35,89-$AH67,FALSE),0)</f>
        <v>0</v>
      </c>
      <c r="J14" s="9">
        <f t="shared" si="3"/>
        <v>0</v>
      </c>
      <c r="K14" s="9">
        <f t="shared" si="4"/>
        <v>24</v>
      </c>
      <c r="L14" s="77">
        <f>IFERROR(VLOOKUP(Vaktplan!$A$52,Vaktplan!$BG$4:$CL$35,86-AI67,FALSE),0)</f>
        <v>0</v>
      </c>
      <c r="M14" s="77">
        <f>IFERROR(VLOOKUP(Vaktplan!$A$52,Vaktplan!$BG$4:$CL$35,86-AH67,FALSE),0)</f>
        <v>0</v>
      </c>
      <c r="N14" s="9">
        <f>IFERROR(VLOOKUP(Vaktplan!$A$52,Vaktplan!$BG$4:$CL$35,89-$AI67,FALSE),0)</f>
        <v>0</v>
      </c>
      <c r="O14" s="9">
        <f t="shared" si="5"/>
        <v>0</v>
      </c>
      <c r="P14" s="9">
        <f t="shared" si="6"/>
        <v>24</v>
      </c>
      <c r="Q14" s="77">
        <f>IFERROR(VLOOKUP(Vaktplan!$A$52,Vaktplan!$BH$4:$CL$35,86-AJ67,FALSE),0)</f>
        <v>0</v>
      </c>
      <c r="R14" s="77">
        <f>IFERROR(VLOOKUP(Vaktplan!$A$52,Vaktplan!$BH$4:$CL$35,86-AI67,FALSE),0)</f>
        <v>0</v>
      </c>
      <c r="S14" s="9">
        <f>IFERROR(VLOOKUP(Vaktplan!$A$52,Vaktplan!$BH$4:$CL$35,89-$AJ67,FALSE),0)</f>
        <v>0</v>
      </c>
      <c r="T14" s="9">
        <f t="shared" si="0"/>
        <v>0</v>
      </c>
      <c r="U14" s="9">
        <f t="shared" si="7"/>
        <v>24</v>
      </c>
      <c r="V14" s="77">
        <f>IFERROR(VLOOKUP(Vaktplan!$A$52,Vaktplan!$BI$4:$CL$35,86-AK67,FALSE),0)</f>
        <v>0</v>
      </c>
      <c r="W14" s="77">
        <f>IFERROR(VLOOKUP(Vaktplan!$A$52,Vaktplan!$BI$4:$CL$35,86-AJ67,FALSE),0)</f>
        <v>0</v>
      </c>
      <c r="X14" s="9">
        <f>IFERROR(VLOOKUP(Vaktplan!$A$52,Vaktplan!$BI$4:$CL$35,89-$AK67,FALSE),0)</f>
        <v>0</v>
      </c>
      <c r="Y14" s="9">
        <f>IF(AND(V14=0,W14=0),0,IF(V14&lt;W14,((W14-V14)*24)-X14,(((1-V14)+W14)*24)-X14))</f>
        <v>0</v>
      </c>
      <c r="Z14" s="9">
        <f t="shared" si="9"/>
        <v>24</v>
      </c>
      <c r="AA14" s="77">
        <f>IFERROR(VLOOKUP(Vaktplan!$A$52,Vaktplan!$BJ$4:$CL$35,86-AL67,FALSE),0)</f>
        <v>0</v>
      </c>
      <c r="AB14" s="77">
        <f>IFERROR(VLOOKUP(Vaktplan!$A$52,Vaktplan!$BJ$4:$CL$35,86-AK67,FALSE),0)</f>
        <v>0</v>
      </c>
      <c r="AC14" s="9">
        <f>IFERROR(VLOOKUP(Vaktplan!$A$52,Vaktplan!$BJ$4:$CL$35,89-$AL67,FALSE),0)</f>
        <v>0</v>
      </c>
      <c r="AD14" s="9">
        <f>IF(AND(AA14=0,AB14=0),0,IF(AA14&lt;AB14,((AB14-AA14)*24)-AC14,(((1-AA14)+AB14)*24)-AC14))</f>
        <v>0</v>
      </c>
      <c r="AE14" s="9">
        <f t="shared" si="11"/>
        <v>24</v>
      </c>
      <c r="AF14" s="77">
        <f>IFERROR(VLOOKUP(Vaktplan!$A$52,Vaktplan!$BK$4:$CL$35,86-AM67,FALSE),0)</f>
        <v>0</v>
      </c>
      <c r="AG14" s="77">
        <f>IFERROR(VLOOKUP(Vaktplan!$A$52,Vaktplan!$BK$4:$CL$35,86-AL67,FALSE),0)</f>
        <v>0</v>
      </c>
      <c r="AH14" s="9">
        <f>IFERROR(VLOOKUP(Vaktplan!$A$52,Vaktplan!$BK$4:$CL$35,89-$AM67,FALSE),0)</f>
        <v>0</v>
      </c>
      <c r="AI14" s="9">
        <f>IF(AND(AF14=0,AG14=0),0,IF(AF14&lt;AG14,((AG14-AF14)*24)-AH14,(((1-AF14)+AG14)*24)-AH14))</f>
        <v>0</v>
      </c>
      <c r="AJ14" s="9">
        <f t="shared" si="13"/>
        <v>24</v>
      </c>
      <c r="AK14" s="9">
        <f t="shared" si="1"/>
        <v>0</v>
      </c>
      <c r="AL14" s="92"/>
      <c r="AM14" s="10"/>
    </row>
    <row r="15" spans="1:39" ht="13" x14ac:dyDescent="0.25">
      <c r="A15" s="7">
        <v>10</v>
      </c>
      <c r="B15" s="77">
        <f>IFERROR(VLOOKUP(Vaktplan!$A$52,Vaktplan!$BL$4:$CL$35,87-AH68,FALSE),0)</f>
        <v>0</v>
      </c>
      <c r="C15" s="77">
        <f>IFERROR(VLOOKUP(Vaktplan!$A$52,Vaktplan!$BL$4:$CL$35,87-AG68,FALSE),0)</f>
        <v>0</v>
      </c>
      <c r="D15" s="9">
        <f>IFERROR(VLOOKUP(Vaktplan!$A$52,Vaktplan!$BL$4:$CL$35,89-AG68,FALSE),0)</f>
        <v>0</v>
      </c>
      <c r="E15" s="9">
        <f t="shared" si="16"/>
        <v>0</v>
      </c>
      <c r="F15" s="9">
        <f t="shared" si="2"/>
        <v>24</v>
      </c>
      <c r="G15" s="77">
        <f>IFERROR(VLOOKUP(Vaktplan!$A$52,Vaktplan!$BM$4:$CL$35,86-AH68,FALSE),0)</f>
        <v>0</v>
      </c>
      <c r="H15" s="77">
        <f>IFERROR(VLOOKUP(Vaktplan!$A$52,Vaktplan!$BM$4:$CL$35,86-AG68,FALSE),0)</f>
        <v>0</v>
      </c>
      <c r="I15" s="9">
        <f>IFERROR(VLOOKUP(Vaktplan!$A$52,Vaktplan!$BM$4:$CL$35,89-$AH68,FALSE),0)</f>
        <v>0</v>
      </c>
      <c r="J15" s="9">
        <f t="shared" si="3"/>
        <v>0</v>
      </c>
      <c r="K15" s="9">
        <f t="shared" si="4"/>
        <v>24</v>
      </c>
      <c r="L15" s="77">
        <f>IFERROR(VLOOKUP(Vaktplan!$A$52,Vaktplan!$BN$4:$CL$35,86-AI68,FALSE),0)</f>
        <v>0</v>
      </c>
      <c r="M15" s="77">
        <f>IFERROR(VLOOKUP(Vaktplan!$A$52,Vaktplan!$BN$4:$CL$35,86-AH68,FALSE),0)</f>
        <v>0</v>
      </c>
      <c r="N15" s="9">
        <f>IFERROR(VLOOKUP(Vaktplan!$A$52,Vaktplan!$BN$4:$CL$35,89-$AI68,FALSE),0)</f>
        <v>0</v>
      </c>
      <c r="O15" s="9">
        <f t="shared" si="5"/>
        <v>0</v>
      </c>
      <c r="P15" s="9">
        <f t="shared" si="6"/>
        <v>24</v>
      </c>
      <c r="Q15" s="77">
        <f>IFERROR(VLOOKUP(Vaktplan!$A$52,Vaktplan!$BO$4:$CL$35,86-AJ68,FALSE),0)</f>
        <v>0</v>
      </c>
      <c r="R15" s="77">
        <f>IFERROR(VLOOKUP(Vaktplan!$A$52,Vaktplan!$BO$4:$CL$35,86-AI68,FALSE),0)</f>
        <v>0</v>
      </c>
      <c r="S15" s="9">
        <f>IFERROR(VLOOKUP(Vaktplan!$A$52,Vaktplan!$BO$4:$CL$35,89-$AJ68,FALSE),0)</f>
        <v>0</v>
      </c>
      <c r="T15" s="9">
        <f t="shared" si="0"/>
        <v>0</v>
      </c>
      <c r="U15" s="9">
        <f t="shared" si="7"/>
        <v>24</v>
      </c>
      <c r="V15" s="77">
        <f>IFERROR(VLOOKUP(Vaktplan!$A$52,Vaktplan!$BP$4:$CL$35,86-AK68,FALSE),0)</f>
        <v>0</v>
      </c>
      <c r="W15" s="77">
        <f>IFERROR(VLOOKUP(Vaktplan!$A$52,Vaktplan!$BP$4:$CL$35,86-AJ68,FALSE),0)</f>
        <v>0</v>
      </c>
      <c r="X15" s="9">
        <f>IFERROR(VLOOKUP(Vaktplan!$A$52,Vaktplan!$BP$4:$CL$35,89-$AK68,FALSE),0)</f>
        <v>0</v>
      </c>
      <c r="Y15" s="9">
        <f>IF(AND(V15=0,W15=0),0,IF(V15&lt;W15,((W15-V15)*24)-X15,(((1-V15)+W15)*24)-X15))</f>
        <v>0</v>
      </c>
      <c r="Z15" s="9">
        <f t="shared" si="9"/>
        <v>24</v>
      </c>
      <c r="AA15" s="77">
        <f>IFERROR(VLOOKUP(Vaktplan!$A$52,Vaktplan!$BQ$4:$CL$35,86-AL68,FALSE),0)</f>
        <v>0</v>
      </c>
      <c r="AB15" s="77">
        <f>IFERROR(VLOOKUP(Vaktplan!$A$52,Vaktplan!$BQ$4:$CL$35,86-AK68,FALSE),0)</f>
        <v>0</v>
      </c>
      <c r="AC15" s="9">
        <f>IFERROR(VLOOKUP(Vaktplan!$A$52,Vaktplan!$BQ$4:$CL$35,89-$AL68,FALSE),0)</f>
        <v>0</v>
      </c>
      <c r="AD15" s="9">
        <f>IF(AND(AA15=0,AB15=0),0,IF(AA15&lt;AB15,((AB15-AA15)*24)-AC15,(((1-AA15)+AB15)*24)-AC15))</f>
        <v>0</v>
      </c>
      <c r="AE15" s="9">
        <f t="shared" si="11"/>
        <v>24</v>
      </c>
      <c r="AF15" s="77">
        <f>IFERROR(VLOOKUP(Vaktplan!$A$52,Vaktplan!$BR$4:$CL$35,86-AM68,FALSE),0)</f>
        <v>0</v>
      </c>
      <c r="AG15" s="77">
        <f>IFERROR(VLOOKUP(Vaktplan!$A$52,Vaktplan!$BR$4:$CL$35,86-AL68,FALSE),0)</f>
        <v>0</v>
      </c>
      <c r="AH15" s="9">
        <f>IFERROR(VLOOKUP(Vaktplan!$A$52,Vaktplan!$BR$4:$CL$35,89-$AM68,FALSE),0)</f>
        <v>0</v>
      </c>
      <c r="AI15" s="9">
        <f>IF(AND(AF15=0,AG15=0),0,IF(AF15&lt;AG15,((AG15-AF15)*24)-AH15,(((1-AF15)+AG15)*24)-AH15))</f>
        <v>0</v>
      </c>
      <c r="AJ15" s="9">
        <f t="shared" si="13"/>
        <v>24</v>
      </c>
      <c r="AK15" s="9">
        <f t="shared" si="1"/>
        <v>0</v>
      </c>
      <c r="AL15" s="92"/>
      <c r="AM15" s="10"/>
    </row>
    <row r="16" spans="1:39" ht="13" x14ac:dyDescent="0.25">
      <c r="A16" s="7">
        <v>11</v>
      </c>
      <c r="B16" s="77">
        <f>IFERROR(VLOOKUP(Vaktplan!$A$52,Vaktplan!$BS$4:$CL$35,87-AH69,FALSE),0)</f>
        <v>0</v>
      </c>
      <c r="C16" s="77">
        <f>IFERROR(VLOOKUP(Vaktplan!$A$52,Vaktplan!$BS$4:$CL$35,87-AG69,FALSE),0)</f>
        <v>0</v>
      </c>
      <c r="D16" s="9">
        <f>IFERROR(VLOOKUP(Vaktplan!$A$52,Vaktplan!$BS$4:$CL$35,89-AG69,FALSE),0)</f>
        <v>0</v>
      </c>
      <c r="E16" s="9">
        <f t="shared" si="16"/>
        <v>0</v>
      </c>
      <c r="F16" s="9">
        <f t="shared" si="2"/>
        <v>24</v>
      </c>
      <c r="G16" s="77">
        <f>IFERROR(VLOOKUP(Vaktplan!$A$52,Vaktplan!$BT$4:$CL$35,86-AH69,FALSE),0)</f>
        <v>0</v>
      </c>
      <c r="H16" s="77">
        <f>IFERROR(VLOOKUP(Vaktplan!$A$52,Vaktplan!$BT$4:$CL$35,86-AG69,FALSE),0)</f>
        <v>0</v>
      </c>
      <c r="I16" s="9">
        <f>IFERROR(VLOOKUP(Vaktplan!$A$52,Vaktplan!$BT$4:$CL$35,89-$AH69,FALSE),0)</f>
        <v>0</v>
      </c>
      <c r="J16" s="9">
        <f t="shared" si="3"/>
        <v>0</v>
      </c>
      <c r="K16" s="9">
        <f t="shared" si="4"/>
        <v>24</v>
      </c>
      <c r="L16" s="77">
        <f>IFERROR(VLOOKUP(Vaktplan!$A$52,Vaktplan!$BU$4:$CL$35,86-AI69,FALSE),0)</f>
        <v>0</v>
      </c>
      <c r="M16" s="77">
        <f>IFERROR(VLOOKUP(Vaktplan!$A$52,Vaktplan!$BU$4:$CL$35,86-AH69,FALSE),0)</f>
        <v>0</v>
      </c>
      <c r="N16" s="9">
        <f>IFERROR(VLOOKUP(Vaktplan!$A$52,Vaktplan!$BU$4:$CL$35,89-$AI69,FALSE),0)</f>
        <v>0</v>
      </c>
      <c r="O16" s="9">
        <f t="shared" si="5"/>
        <v>0</v>
      </c>
      <c r="P16" s="9">
        <f t="shared" si="6"/>
        <v>24</v>
      </c>
      <c r="Q16" s="77">
        <f>IFERROR(VLOOKUP(Vaktplan!$A$52,Vaktplan!$BV$4:$CL$35,86-AJ69,FALSE),0)</f>
        <v>0</v>
      </c>
      <c r="R16" s="77">
        <f>IFERROR(VLOOKUP(Vaktplan!$A$52,Vaktplan!$BV$4:$CL$35,86-AI69,FALSE),0)</f>
        <v>0</v>
      </c>
      <c r="S16" s="9">
        <f>IFERROR(VLOOKUP(Vaktplan!$A$52,Vaktplan!$BV$4:$CL$35,89-$AJ69,FALSE),0)</f>
        <v>0</v>
      </c>
      <c r="T16" s="9">
        <f t="shared" si="0"/>
        <v>0</v>
      </c>
      <c r="U16" s="9">
        <f t="shared" si="7"/>
        <v>24</v>
      </c>
      <c r="V16" s="77">
        <f>IFERROR(VLOOKUP(Vaktplan!$A$52,Vaktplan!$BW$4:$CL$35,86-AK69,FALSE),0)</f>
        <v>0</v>
      </c>
      <c r="W16" s="77">
        <f>IFERROR(VLOOKUP(Vaktplan!$A$52,Vaktplan!$BW$4:$CL$35,86-AJ69,FALSE),0)</f>
        <v>0</v>
      </c>
      <c r="X16" s="9">
        <f>IFERROR(VLOOKUP(Vaktplan!$A$52,Vaktplan!$BW$4:$CL$35,89-$AK69,FALSE),0)</f>
        <v>0</v>
      </c>
      <c r="Y16" s="9">
        <f>IF(AND(V16=0,W16=0),0,IF(V16&lt;W16,((W16-V16)*24)-X16,(((1-V16)+W16)*24)-X16))</f>
        <v>0</v>
      </c>
      <c r="Z16" s="9">
        <f t="shared" si="9"/>
        <v>24</v>
      </c>
      <c r="AA16" s="77">
        <f>IFERROR(VLOOKUP(Vaktplan!$A$52,Vaktplan!$BX$4:$CL$35,86-AL69,FALSE),0)</f>
        <v>0</v>
      </c>
      <c r="AB16" s="77">
        <f>IFERROR(VLOOKUP(Vaktplan!$A$52,Vaktplan!$BX$4:$CL$35,86-AK69,FALSE),0)</f>
        <v>0</v>
      </c>
      <c r="AC16" s="9">
        <f>IFERROR(VLOOKUP(Vaktplan!$A$52,Vaktplan!$BX$4:$CL$35,89-$AL69,FALSE),0)</f>
        <v>0</v>
      </c>
      <c r="AD16" s="9">
        <f>IF(AND(AA16=0,AB16=0),0,IF(AA16&lt;AB16,((AB16-AA16)*24)-AC16,(((1-AA16)+AB16)*24)-AC16))</f>
        <v>0</v>
      </c>
      <c r="AE16" s="9">
        <f t="shared" si="11"/>
        <v>24</v>
      </c>
      <c r="AF16" s="77">
        <f>IFERROR(VLOOKUP(Vaktplan!$A$52,Vaktplan!$BY$4:$CL$35,86-AM69,FALSE),0)</f>
        <v>0</v>
      </c>
      <c r="AG16" s="77">
        <f>IFERROR(VLOOKUP(Vaktplan!$A$52,Vaktplan!$BY$4:$CL$35,86-AL69,FALSE),0)</f>
        <v>0</v>
      </c>
      <c r="AH16" s="9">
        <f>IFERROR(VLOOKUP(Vaktplan!$A$52,Vaktplan!$BY$4:$CL$35,89-$AM69,FALSE),0)</f>
        <v>0</v>
      </c>
      <c r="AI16" s="9">
        <f>IF(AND(AF16=0,AG16=0),0,IF(AF16&lt;AG16,((AG16-AF16)*24)-AH16,(((1-AF16)+AG16)*24)-AH16))</f>
        <v>0</v>
      </c>
      <c r="AJ16" s="9">
        <f t="shared" si="13"/>
        <v>24</v>
      </c>
      <c r="AK16" s="9">
        <f t="shared" si="1"/>
        <v>0</v>
      </c>
      <c r="AL16" s="92"/>
      <c r="AM16" s="10"/>
    </row>
    <row r="17" spans="1:43" ht="13" x14ac:dyDescent="0.25">
      <c r="A17" s="7">
        <v>12</v>
      </c>
      <c r="B17" s="77">
        <f>IFERROR(VLOOKUP(Vaktplan!$A$52,Vaktplan!$BZ$4:$CL$35,87-AH70,FALSE),0)</f>
        <v>0</v>
      </c>
      <c r="C17" s="77">
        <f>IFERROR(VLOOKUP(Vaktplan!$A$52,Vaktplan!$BZ$4:$CL$35,87-AG70,FALSE),0)</f>
        <v>0</v>
      </c>
      <c r="D17" s="9">
        <f>IFERROR(VLOOKUP(Vaktplan!$A$52,Vaktplan!$BZ$4:$CL$35,89-AG70,FALSE),0)</f>
        <v>0</v>
      </c>
      <c r="E17" s="9">
        <f t="shared" si="16"/>
        <v>0</v>
      </c>
      <c r="F17" s="9">
        <f t="shared" si="2"/>
        <v>24</v>
      </c>
      <c r="G17" s="77">
        <f>IFERROR(VLOOKUP(Vaktplan!$A$52,Vaktplan!$CA$4:$CL$35,86-AH70,FALSE),0)</f>
        <v>0</v>
      </c>
      <c r="H17" s="77">
        <f>IFERROR(VLOOKUP(Vaktplan!$A$52,Vaktplan!$CA$4:$CL$35,86-AG70,FALSE),0)</f>
        <v>0</v>
      </c>
      <c r="I17" s="9">
        <f>IFERROR(VLOOKUP(Vaktplan!$A$52,Vaktplan!$CA$4:$CL$35,89-$AH70,FALSE),0)</f>
        <v>0</v>
      </c>
      <c r="J17" s="9">
        <f t="shared" si="3"/>
        <v>0</v>
      </c>
      <c r="K17" s="9">
        <f t="shared" si="4"/>
        <v>24</v>
      </c>
      <c r="L17" s="77">
        <f>IFERROR(VLOOKUP(Vaktplan!$A$52,Vaktplan!$CB$4:$CL$35,86-AI70,FALSE),0)</f>
        <v>0</v>
      </c>
      <c r="M17" s="77">
        <f>IFERROR(VLOOKUP(Vaktplan!$A$52,Vaktplan!$CB$4:$CL$35,86-AH70,FALSE),0)</f>
        <v>0</v>
      </c>
      <c r="N17" s="9">
        <f>IFERROR(VLOOKUP(Vaktplan!$A$52,Vaktplan!$CB$4:$CL$35,89-$AI70,FALSE),0)</f>
        <v>0</v>
      </c>
      <c r="O17" s="9">
        <f t="shared" si="5"/>
        <v>0</v>
      </c>
      <c r="P17" s="9">
        <f t="shared" si="6"/>
        <v>24</v>
      </c>
      <c r="Q17" s="77">
        <f>IFERROR(VLOOKUP(Vaktplan!$A$52,Vaktplan!$CC$4:$CL$35,86-AJ70,FALSE),0)</f>
        <v>0</v>
      </c>
      <c r="R17" s="77">
        <f>IFERROR(VLOOKUP(Vaktplan!$A$52,Vaktplan!$CC$4:$CL$35,86-AI70,FALSE),0)</f>
        <v>0</v>
      </c>
      <c r="S17" s="9">
        <f>IFERROR(VLOOKUP(Vaktplan!$A$52,Vaktplan!$CC$4:$CL$35,89-$AJ70,FALSE),0)</f>
        <v>0</v>
      </c>
      <c r="T17" s="9">
        <f t="shared" si="0"/>
        <v>0</v>
      </c>
      <c r="U17" s="9">
        <f t="shared" si="7"/>
        <v>24</v>
      </c>
      <c r="V17" s="77">
        <f>IFERROR(VLOOKUP(Vaktplan!$A$52,Vaktplan!$CD$4:$CL$35,86-AK70,FALSE),0)</f>
        <v>0</v>
      </c>
      <c r="W17" s="77">
        <f>IFERROR(VLOOKUP(Vaktplan!$A$52,Vaktplan!$CD$4:$CL$35,86-AJ70,FALSE),0)</f>
        <v>0</v>
      </c>
      <c r="X17" s="9">
        <f>IFERROR(VLOOKUP(Vaktplan!$A$52,Vaktplan!$CD$4:$CL$35,89-$AK70,FALSE),0)</f>
        <v>0</v>
      </c>
      <c r="Y17" s="9">
        <f>IF(AND(V17=0,W17=0),0,IF(V17&lt;W17,((W17-V17)*24)-X17,(((1-V17)+W17)*24)-X17))</f>
        <v>0</v>
      </c>
      <c r="Z17" s="9">
        <f t="shared" si="9"/>
        <v>24</v>
      </c>
      <c r="AA17" s="77">
        <f>IFERROR(VLOOKUP(Vaktplan!$A$52,Vaktplan!$CE$4:$CL$35,86-AL70,FALSE),0)</f>
        <v>0</v>
      </c>
      <c r="AB17" s="77">
        <f>IFERROR(VLOOKUP(Vaktplan!$A$52,Vaktplan!$CE$4:$CL$35,86-AK70,FALSE),0)</f>
        <v>0</v>
      </c>
      <c r="AC17" s="9">
        <f>IFERROR(VLOOKUP(Vaktplan!$A$52,Vaktplan!$CE$4:$FCE$35,89-$AL70,FALSE),0)</f>
        <v>0</v>
      </c>
      <c r="AD17" s="9">
        <f>IF(AND(AA17=0,AB17=0),0,IF(AA17&lt;AB17,((AB17-AA17)*24)-AC17,(((1-AA17)+AB17)*24)-AC17))</f>
        <v>0</v>
      </c>
      <c r="AE17" s="9">
        <f t="shared" si="11"/>
        <v>24</v>
      </c>
      <c r="AF17" s="77">
        <f>IFERROR(VLOOKUP(Vaktplan!$A$52,Vaktplan!$CF$4:$CL$35,86-AM70,FALSE),0)</f>
        <v>0</v>
      </c>
      <c r="AG17" s="77">
        <f>IFERROR(VLOOKUP(Vaktplan!$A$52,Vaktplan!$CF$4:$CL$35,86-AL70,FALSE),0)</f>
        <v>0</v>
      </c>
      <c r="AH17" s="9">
        <f>IFERROR(VLOOKUP(Vaktplan!$A$52,Vaktplan!$CF$4:$CL$35,89-$AM70,FALSE),0)</f>
        <v>0</v>
      </c>
      <c r="AI17" s="9">
        <f>IF(AND(AF17=0,AG17=0),0,IF(AF17&lt;AG17,((AG17-AF17)*24)-AH17,(((1-AF17)+AG17)*24)-AH17))</f>
        <v>0</v>
      </c>
      <c r="AJ17" s="9">
        <f t="shared" si="13"/>
        <v>24</v>
      </c>
      <c r="AK17" s="9">
        <f t="shared" si="1"/>
        <v>0</v>
      </c>
      <c r="AL17" s="92"/>
      <c r="AM17" s="10"/>
    </row>
    <row r="19" spans="1:43" ht="13" x14ac:dyDescent="0.3">
      <c r="A19" s="4" t="s">
        <v>76</v>
      </c>
    </row>
    <row r="20" spans="1:43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3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3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3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3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6" spans="1:43" ht="13" x14ac:dyDescent="0.3">
      <c r="A26" s="4" t="s">
        <v>77</v>
      </c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</row>
    <row r="27" spans="1:43" ht="13" x14ac:dyDescent="0.3">
      <c r="A27" s="3" t="s">
        <v>78</v>
      </c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80" t="s">
        <v>79</v>
      </c>
      <c r="AM27" s="78"/>
      <c r="AN27" s="78"/>
      <c r="AO27" s="78"/>
    </row>
    <row r="28" spans="1:43" ht="13" x14ac:dyDescent="0.3">
      <c r="A28" s="98" t="s">
        <v>36</v>
      </c>
      <c r="B28" s="98"/>
      <c r="C28" s="98"/>
      <c r="D28" s="88"/>
      <c r="E28" s="8">
        <f>E2</f>
        <v>0</v>
      </c>
      <c r="F28" s="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>
        <v>1</v>
      </c>
      <c r="AM28" s="78"/>
      <c r="AN28" s="78"/>
      <c r="AO28" s="78"/>
    </row>
    <row r="29" spans="1:43" ht="13" x14ac:dyDescent="0.3">
      <c r="A29" s="98" t="s">
        <v>80</v>
      </c>
      <c r="B29" s="98"/>
      <c r="C29" s="98"/>
      <c r="D29" s="88"/>
      <c r="E29" s="5">
        <f>E3</f>
        <v>0</v>
      </c>
      <c r="F29" s="5"/>
      <c r="T29" s="10"/>
      <c r="U29" s="10"/>
      <c r="V29" s="10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80" t="s">
        <v>81</v>
      </c>
      <c r="AH29" s="80"/>
      <c r="AI29" s="78"/>
      <c r="AJ29" s="78"/>
      <c r="AK29" s="78"/>
      <c r="AL29" s="78">
        <v>2</v>
      </c>
      <c r="AM29" s="78"/>
      <c r="AN29" s="78"/>
      <c r="AO29" s="78"/>
      <c r="AP29" s="10"/>
      <c r="AQ29" s="10"/>
    </row>
    <row r="30" spans="1:43" ht="13" x14ac:dyDescent="0.3">
      <c r="A30" s="98" t="s">
        <v>82</v>
      </c>
      <c r="B30" s="98"/>
      <c r="C30" s="98"/>
      <c r="D30" s="88"/>
      <c r="T30" s="10"/>
      <c r="U30" s="10"/>
      <c r="V30" s="10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>
        <v>3</v>
      </c>
      <c r="AM30" s="78"/>
      <c r="AN30" s="78"/>
      <c r="AO30" s="78"/>
      <c r="AP30" s="10"/>
      <c r="AQ30" s="10"/>
    </row>
    <row r="31" spans="1:43" ht="13" x14ac:dyDescent="0.3">
      <c r="A31" s="4" t="s">
        <v>83</v>
      </c>
      <c r="B31" s="4" t="s">
        <v>84</v>
      </c>
      <c r="C31" s="4" t="s">
        <v>85</v>
      </c>
      <c r="D31" s="98" t="s">
        <v>86</v>
      </c>
      <c r="E31" s="98"/>
      <c r="F31" s="4" t="s">
        <v>87</v>
      </c>
      <c r="G31" s="4" t="s">
        <v>88</v>
      </c>
      <c r="H31" s="98" t="s">
        <v>27</v>
      </c>
      <c r="I31" s="98"/>
      <c r="J31" s="4" t="s">
        <v>28</v>
      </c>
      <c r="K31" s="4" t="s">
        <v>29</v>
      </c>
      <c r="L31" s="4" t="s">
        <v>30</v>
      </c>
      <c r="M31" s="4" t="s">
        <v>31</v>
      </c>
      <c r="N31" s="98" t="s">
        <v>32</v>
      </c>
      <c r="O31" s="98"/>
      <c r="T31" s="10"/>
      <c r="U31" s="10"/>
      <c r="V31" s="10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80" t="s">
        <v>9</v>
      </c>
      <c r="AH31" s="80"/>
      <c r="AI31" s="78"/>
      <c r="AJ31" s="78"/>
      <c r="AK31" s="78"/>
      <c r="AL31" s="78">
        <v>4</v>
      </c>
      <c r="AM31" s="78"/>
      <c r="AN31" s="78"/>
      <c r="AO31" s="78"/>
      <c r="AP31" s="10"/>
      <c r="AQ31" s="10"/>
    </row>
    <row r="32" spans="1:43" ht="13" x14ac:dyDescent="0.3">
      <c r="A32" s="3">
        <f>AK6</f>
        <v>0</v>
      </c>
      <c r="B32" s="3">
        <f>AK7</f>
        <v>0</v>
      </c>
      <c r="C32" s="3">
        <f>AK8</f>
        <v>0</v>
      </c>
      <c r="D32" s="101">
        <f>AK9</f>
        <v>0</v>
      </c>
      <c r="E32" s="101"/>
      <c r="F32" s="3">
        <f>AK10</f>
        <v>0</v>
      </c>
      <c r="G32" s="3">
        <f>AK11</f>
        <v>0</v>
      </c>
      <c r="H32" s="101">
        <f>AK12</f>
        <v>0</v>
      </c>
      <c r="I32" s="101"/>
      <c r="J32" s="3">
        <f>AK13</f>
        <v>0</v>
      </c>
      <c r="K32" s="3">
        <f>AK14</f>
        <v>0</v>
      </c>
      <c r="L32" s="3">
        <f>AK15</f>
        <v>0</v>
      </c>
      <c r="M32" s="3">
        <f>AK16</f>
        <v>0</v>
      </c>
      <c r="N32" s="101">
        <f>AK17</f>
        <v>0</v>
      </c>
      <c r="O32" s="101"/>
      <c r="T32" s="11" t="s">
        <v>70</v>
      </c>
      <c r="U32" s="10" t="s">
        <v>89</v>
      </c>
      <c r="V32" s="10" t="s">
        <v>90</v>
      </c>
      <c r="W32" s="78" t="s">
        <v>91</v>
      </c>
      <c r="X32" s="78" t="s">
        <v>92</v>
      </c>
      <c r="Y32" s="78" t="s">
        <v>93</v>
      </c>
      <c r="Z32" s="78" t="s">
        <v>94</v>
      </c>
      <c r="AA32" s="78"/>
      <c r="AB32" s="78"/>
      <c r="AC32" s="78"/>
      <c r="AD32" s="78"/>
      <c r="AE32" s="78"/>
      <c r="AF32" s="78"/>
      <c r="AG32" s="78" t="s">
        <v>10</v>
      </c>
      <c r="AH32" s="78"/>
      <c r="AI32" s="79">
        <v>42177</v>
      </c>
      <c r="AJ32" s="79"/>
      <c r="AK32" s="78"/>
      <c r="AL32" s="78">
        <v>5</v>
      </c>
      <c r="AM32" s="78"/>
      <c r="AN32" s="78"/>
      <c r="AO32" s="78"/>
      <c r="AP32" s="10"/>
      <c r="AQ32" s="10"/>
    </row>
    <row r="33" spans="1:43" ht="13" x14ac:dyDescent="0.3">
      <c r="A33" s="98" t="s">
        <v>95</v>
      </c>
      <c r="B33" s="98"/>
      <c r="C33" s="98"/>
      <c r="D33" s="88"/>
      <c r="G33" s="101"/>
      <c r="H33" s="101"/>
      <c r="I33" s="90"/>
      <c r="T33" s="10">
        <v>1</v>
      </c>
      <c r="U33" s="10">
        <f>IF(AND(B6&gt;0,G6&gt;0),0,IF(AND(G6&gt;0),0,F6+K6))</f>
        <v>48</v>
      </c>
      <c r="V33" s="10">
        <f>IF(AND(G6&gt;0,L6&gt;0),0,IF(AND(L6&gt;0),0,K6+P6))</f>
        <v>48</v>
      </c>
      <c r="W33" s="78">
        <f>IF(AND(L6&gt;0,Q6&gt;0),0,IF(AND(Q6&gt;0),0,P6+U6))</f>
        <v>48</v>
      </c>
      <c r="X33" s="78">
        <f>IF(AND(Q6&gt;0,V6&gt;0),0,IF(AND(V6&gt;0),0,U6+Z6))</f>
        <v>48</v>
      </c>
      <c r="Y33" s="78">
        <f>IF(AND(V6&gt;0,AA6&gt;0),0,IF(AND(AA6&gt;0),0,Z6+AE6))</f>
        <v>48</v>
      </c>
      <c r="Z33" s="78">
        <f>IF(AND(AA6&gt;0,AF6&gt;0),0,IF(AND(AF6&gt;0),0,AE6+AJ6))</f>
        <v>48</v>
      </c>
      <c r="AA33" s="78"/>
      <c r="AB33" s="78"/>
      <c r="AC33" s="78"/>
      <c r="AD33" s="78"/>
      <c r="AE33" s="78"/>
      <c r="AF33" s="78"/>
      <c r="AG33" s="78" t="s">
        <v>11</v>
      </c>
      <c r="AH33" s="78"/>
      <c r="AI33" s="79">
        <v>42178</v>
      </c>
      <c r="AJ33" s="79"/>
      <c r="AK33" s="78"/>
      <c r="AL33" s="78">
        <v>6</v>
      </c>
      <c r="AM33" s="78"/>
      <c r="AN33" s="78"/>
      <c r="AO33" s="78"/>
      <c r="AP33" s="10"/>
      <c r="AQ33" s="10"/>
    </row>
    <row r="34" spans="1:43" x14ac:dyDescent="0.25">
      <c r="A34" s="101" t="s">
        <v>96</v>
      </c>
      <c r="B34" s="101"/>
      <c r="C34" s="3">
        <f>(AK6+AK7+AK8+AK9+AK10+AK11+AK12+AK13+AK14+AK15+AK16+AK17)/M1</f>
        <v>0</v>
      </c>
      <c r="T34" s="10">
        <v>2</v>
      </c>
      <c r="U34" s="10">
        <f t="shared" ref="U34:U40" si="17">IF(AND(B7&gt;0,G7&gt;0),0,IF(AND(G7&gt;0),0,F7+K7))</f>
        <v>48</v>
      </c>
      <c r="V34" s="10">
        <f t="shared" ref="V34:V40" si="18">IF(AND(G7&gt;0,L7&gt;0),0,IF(AND(L7&gt;0),0,K7+P7))</f>
        <v>48</v>
      </c>
      <c r="W34" s="78">
        <f t="shared" ref="W34:W44" si="19">IF(AND(L7&gt;0,Q7&gt;0),0,IF(AND(Q7&gt;0),0,P7+U7))</f>
        <v>48</v>
      </c>
      <c r="X34" s="78">
        <f t="shared" ref="X34:X44" si="20">IF(AND(Q7&gt;0,V7&gt;0),0,IF(AND(V7&gt;0),0,U7+Z7))</f>
        <v>48</v>
      </c>
      <c r="Y34" s="78">
        <f t="shared" ref="Y34:Y44" si="21">IF(AND(V7&gt;0,AA7&gt;0),0,IF(AND(AA7&gt;0),0,Z7+AE7))</f>
        <v>48</v>
      </c>
      <c r="Z34" s="78">
        <f t="shared" ref="Z34:Z44" si="22">IF(AND(AA7&gt;0,AF7&gt;0),0,IF(AND(AF7&gt;0),0,AE7+AJ7))</f>
        <v>48</v>
      </c>
      <c r="AA34" s="78"/>
      <c r="AB34" s="78"/>
      <c r="AC34" s="78"/>
      <c r="AD34" s="78"/>
      <c r="AE34" s="78"/>
      <c r="AF34" s="78"/>
      <c r="AG34" s="78" t="s">
        <v>12</v>
      </c>
      <c r="AH34" s="78"/>
      <c r="AI34" s="79">
        <v>42179</v>
      </c>
      <c r="AJ34" s="79"/>
      <c r="AK34" s="78"/>
      <c r="AL34" s="78">
        <v>7</v>
      </c>
      <c r="AM34" s="78"/>
      <c r="AN34" s="78"/>
      <c r="AO34" s="78"/>
      <c r="AP34" s="10"/>
      <c r="AQ34" s="10"/>
    </row>
    <row r="35" spans="1:43" x14ac:dyDescent="0.25">
      <c r="T35" s="10">
        <v>3</v>
      </c>
      <c r="U35" s="10">
        <f t="shared" si="17"/>
        <v>48</v>
      </c>
      <c r="V35" s="10">
        <f t="shared" si="18"/>
        <v>48</v>
      </c>
      <c r="W35" s="78">
        <f t="shared" si="19"/>
        <v>48</v>
      </c>
      <c r="X35" s="78">
        <f t="shared" si="20"/>
        <v>48</v>
      </c>
      <c r="Y35" s="78">
        <f t="shared" si="21"/>
        <v>48</v>
      </c>
      <c r="Z35" s="78">
        <f t="shared" si="22"/>
        <v>48</v>
      </c>
      <c r="AA35" s="78"/>
      <c r="AB35" s="78"/>
      <c r="AC35" s="78"/>
      <c r="AD35" s="78"/>
      <c r="AE35" s="78"/>
      <c r="AF35" s="78"/>
      <c r="AG35" s="78" t="s">
        <v>13</v>
      </c>
      <c r="AH35" s="78"/>
      <c r="AI35" s="79">
        <v>42180</v>
      </c>
      <c r="AJ35" s="79"/>
      <c r="AK35" s="78"/>
      <c r="AL35" s="78">
        <v>8</v>
      </c>
      <c r="AM35" s="78"/>
      <c r="AN35" s="78"/>
      <c r="AO35" s="78"/>
      <c r="AP35" s="78"/>
      <c r="AQ35" s="10"/>
    </row>
    <row r="36" spans="1:43" ht="13" x14ac:dyDescent="0.3">
      <c r="A36" s="98" t="s">
        <v>97</v>
      </c>
      <c r="B36" s="98"/>
      <c r="C36" s="98"/>
      <c r="D36" s="98"/>
      <c r="E36" s="98"/>
      <c r="F36" s="88"/>
      <c r="T36" s="10">
        <v>4</v>
      </c>
      <c r="U36" s="10">
        <f t="shared" si="17"/>
        <v>48</v>
      </c>
      <c r="V36" s="10">
        <f t="shared" si="18"/>
        <v>48</v>
      </c>
      <c r="W36" s="78">
        <f t="shared" si="19"/>
        <v>48</v>
      </c>
      <c r="X36" s="78">
        <f t="shared" si="20"/>
        <v>48</v>
      </c>
      <c r="Y36" s="78">
        <f t="shared" si="21"/>
        <v>48</v>
      </c>
      <c r="Z36" s="78">
        <f t="shared" si="22"/>
        <v>48</v>
      </c>
      <c r="AA36" s="78"/>
      <c r="AB36" s="78"/>
      <c r="AC36" s="78"/>
      <c r="AD36" s="78"/>
      <c r="AE36" s="78"/>
      <c r="AF36" s="78"/>
      <c r="AG36" s="78" t="s">
        <v>14</v>
      </c>
      <c r="AH36" s="78"/>
      <c r="AI36" s="79">
        <v>42181</v>
      </c>
      <c r="AJ36" s="79"/>
      <c r="AK36" s="78"/>
      <c r="AL36" s="3">
        <v>9</v>
      </c>
      <c r="AM36" s="78"/>
      <c r="AN36" s="78"/>
      <c r="AO36" s="78"/>
      <c r="AP36" s="78"/>
      <c r="AQ36" s="10"/>
    </row>
    <row r="37" spans="1:43" x14ac:dyDescent="0.25">
      <c r="A37" s="99" t="e">
        <f>C34/E3</f>
        <v>#DIV/0!</v>
      </c>
      <c r="B37" s="99"/>
      <c r="C37" s="99"/>
      <c r="T37" s="10">
        <v>5</v>
      </c>
      <c r="U37" s="10">
        <f t="shared" si="17"/>
        <v>48</v>
      </c>
      <c r="V37" s="10">
        <f t="shared" si="18"/>
        <v>48</v>
      </c>
      <c r="W37" s="78">
        <f t="shared" si="19"/>
        <v>48</v>
      </c>
      <c r="X37" s="78">
        <f t="shared" si="20"/>
        <v>48</v>
      </c>
      <c r="Y37" s="78">
        <f t="shared" si="21"/>
        <v>48</v>
      </c>
      <c r="Z37" s="78">
        <f t="shared" si="22"/>
        <v>48</v>
      </c>
      <c r="AA37" s="78"/>
      <c r="AB37" s="78"/>
      <c r="AC37" s="78"/>
      <c r="AD37" s="78"/>
      <c r="AE37" s="78"/>
      <c r="AF37" s="78"/>
      <c r="AG37" s="78" t="s">
        <v>15</v>
      </c>
      <c r="AH37" s="78"/>
      <c r="AI37" s="79">
        <v>42182</v>
      </c>
      <c r="AJ37" s="79"/>
      <c r="AK37" s="78"/>
      <c r="AL37" s="3">
        <v>10</v>
      </c>
      <c r="AM37" s="78"/>
      <c r="AN37" s="78"/>
      <c r="AO37" s="78"/>
      <c r="AP37" s="78"/>
      <c r="AQ37" s="10"/>
    </row>
    <row r="38" spans="1:43" x14ac:dyDescent="0.25">
      <c r="T38" s="10">
        <v>6</v>
      </c>
      <c r="U38" s="10">
        <f t="shared" si="17"/>
        <v>48</v>
      </c>
      <c r="V38" s="10">
        <f t="shared" si="18"/>
        <v>48</v>
      </c>
      <c r="W38" s="78">
        <f t="shared" si="19"/>
        <v>48</v>
      </c>
      <c r="X38" s="78">
        <f t="shared" si="20"/>
        <v>48</v>
      </c>
      <c r="Y38" s="78">
        <f t="shared" si="21"/>
        <v>48</v>
      </c>
      <c r="Z38" s="78">
        <f t="shared" si="22"/>
        <v>48</v>
      </c>
      <c r="AA38" s="78"/>
      <c r="AB38" s="78"/>
      <c r="AC38" s="78"/>
      <c r="AD38" s="78"/>
      <c r="AE38" s="78"/>
      <c r="AF38" s="78"/>
      <c r="AG38" s="78" t="s">
        <v>16</v>
      </c>
      <c r="AH38" s="78"/>
      <c r="AI38" s="79">
        <v>42183</v>
      </c>
      <c r="AJ38" s="79"/>
      <c r="AK38" s="78"/>
      <c r="AL38" s="3">
        <v>11</v>
      </c>
      <c r="AM38" s="78"/>
      <c r="AN38" s="78"/>
      <c r="AO38" s="78"/>
      <c r="AP38" s="78"/>
      <c r="AQ38" s="10"/>
    </row>
    <row r="39" spans="1:43" x14ac:dyDescent="0.25">
      <c r="T39" s="10">
        <v>7</v>
      </c>
      <c r="U39" s="10">
        <f t="shared" si="17"/>
        <v>48</v>
      </c>
      <c r="V39" s="10">
        <f t="shared" si="18"/>
        <v>48</v>
      </c>
      <c r="W39" s="78">
        <f t="shared" si="19"/>
        <v>48</v>
      </c>
      <c r="X39" s="78">
        <f t="shared" si="20"/>
        <v>48</v>
      </c>
      <c r="Y39" s="78">
        <f t="shared" si="21"/>
        <v>48</v>
      </c>
      <c r="Z39" s="78">
        <f t="shared" si="22"/>
        <v>48</v>
      </c>
      <c r="AA39" s="78"/>
      <c r="AB39" s="78"/>
      <c r="AC39" s="78"/>
      <c r="AD39" s="78"/>
      <c r="AE39" s="78"/>
      <c r="AF39" s="78"/>
      <c r="AG39" s="100">
        <f>IF(E1=AG32,AI32,IF(E1=AG33,AI33,IF(E1=AG34,AI34,IF(E1=AG35,AI35,IF(E1=AG36,AI36,IF(E1=AG37,AI37,IF(E1=AG38,AI38,AI32)))))))</f>
        <v>42177</v>
      </c>
      <c r="AH39" s="100"/>
      <c r="AI39" s="100"/>
      <c r="AJ39" s="100"/>
      <c r="AK39" s="100"/>
      <c r="AL39" s="3">
        <v>12</v>
      </c>
      <c r="AM39" s="78"/>
      <c r="AN39" s="78"/>
      <c r="AO39" s="78"/>
      <c r="AP39" s="78"/>
      <c r="AQ39" s="10"/>
    </row>
    <row r="40" spans="1:43" ht="13" x14ac:dyDescent="0.3">
      <c r="A40" s="4" t="s">
        <v>98</v>
      </c>
      <c r="T40" s="10">
        <v>8</v>
      </c>
      <c r="U40" s="10">
        <f t="shared" si="17"/>
        <v>48</v>
      </c>
      <c r="V40" s="10">
        <f t="shared" si="18"/>
        <v>48</v>
      </c>
      <c r="W40" s="78">
        <f t="shared" si="19"/>
        <v>48</v>
      </c>
      <c r="X40" s="78">
        <f t="shared" si="20"/>
        <v>48</v>
      </c>
      <c r="Y40" s="78">
        <f t="shared" si="21"/>
        <v>48</v>
      </c>
      <c r="Z40" s="78">
        <f t="shared" si="22"/>
        <v>48</v>
      </c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10"/>
    </row>
    <row r="41" spans="1:43" x14ac:dyDescent="0.25">
      <c r="A41" s="3" t="s">
        <v>99</v>
      </c>
      <c r="T41" s="10"/>
      <c r="U41" s="10"/>
      <c r="V41" s="10"/>
      <c r="W41" s="78">
        <f t="shared" si="19"/>
        <v>48</v>
      </c>
      <c r="X41" s="78">
        <f t="shared" si="20"/>
        <v>48</v>
      </c>
      <c r="Y41" s="78">
        <f t="shared" si="21"/>
        <v>48</v>
      </c>
      <c r="Z41" s="78">
        <f t="shared" si="22"/>
        <v>48</v>
      </c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10"/>
    </row>
    <row r="42" spans="1:43" ht="13" x14ac:dyDescent="0.3">
      <c r="A42" s="3" t="s">
        <v>100</v>
      </c>
      <c r="O42" s="81">
        <v>0.29166666666666669</v>
      </c>
      <c r="P42" s="81">
        <v>0.33333333333333331</v>
      </c>
      <c r="Q42" s="3">
        <f>(P42-O42)*24</f>
        <v>0.99999999999999911</v>
      </c>
      <c r="T42" s="10"/>
      <c r="U42" s="10"/>
      <c r="V42" s="10"/>
      <c r="W42" s="78">
        <f t="shared" si="19"/>
        <v>48</v>
      </c>
      <c r="X42" s="78">
        <f t="shared" si="20"/>
        <v>48</v>
      </c>
      <c r="Y42" s="78">
        <f t="shared" si="21"/>
        <v>48</v>
      </c>
      <c r="Z42" s="78">
        <f t="shared" si="22"/>
        <v>48</v>
      </c>
      <c r="AA42" s="78"/>
      <c r="AB42" s="78"/>
      <c r="AC42" s="78"/>
      <c r="AD42" s="78"/>
      <c r="AE42" s="78"/>
      <c r="AF42" s="78"/>
      <c r="AG42" s="80" t="s">
        <v>101</v>
      </c>
      <c r="AH42" s="80"/>
      <c r="AI42" s="78"/>
      <c r="AJ42" s="78"/>
      <c r="AK42" s="78"/>
      <c r="AL42" s="80" t="s">
        <v>102</v>
      </c>
      <c r="AM42" s="78"/>
      <c r="AN42" s="78"/>
      <c r="AO42" s="78"/>
      <c r="AP42" s="78"/>
      <c r="AQ42" s="10"/>
    </row>
    <row r="43" spans="1:43" x14ac:dyDescent="0.25">
      <c r="T43" s="10"/>
      <c r="U43" s="10"/>
      <c r="V43" s="10"/>
      <c r="W43" s="78">
        <f t="shared" si="19"/>
        <v>48</v>
      </c>
      <c r="X43" s="78">
        <f t="shared" si="20"/>
        <v>48</v>
      </c>
      <c r="Y43" s="78">
        <f t="shared" si="21"/>
        <v>48</v>
      </c>
      <c r="Z43" s="78">
        <f t="shared" si="22"/>
        <v>48</v>
      </c>
      <c r="AA43" s="78"/>
      <c r="AB43" s="78"/>
      <c r="AC43" s="78"/>
      <c r="AD43" s="78"/>
      <c r="AE43" s="78"/>
      <c r="AF43" s="78"/>
      <c r="AG43" s="78">
        <v>33.6</v>
      </c>
      <c r="AH43" s="78"/>
      <c r="AI43" s="78"/>
      <c r="AJ43" s="78"/>
      <c r="AK43" s="78"/>
      <c r="AL43" s="78" t="s">
        <v>103</v>
      </c>
      <c r="AM43" s="78"/>
      <c r="AN43" s="78"/>
      <c r="AO43" s="78"/>
      <c r="AP43" s="78"/>
      <c r="AQ43" s="10"/>
    </row>
    <row r="44" spans="1:43" x14ac:dyDescent="0.25">
      <c r="A44" s="3" t="s">
        <v>104</v>
      </c>
      <c r="T44" s="10"/>
      <c r="U44" s="10"/>
      <c r="V44" s="10"/>
      <c r="W44" s="78">
        <f t="shared" si="19"/>
        <v>48</v>
      </c>
      <c r="X44" s="78">
        <f t="shared" si="20"/>
        <v>48</v>
      </c>
      <c r="Y44" s="78">
        <f t="shared" si="21"/>
        <v>48</v>
      </c>
      <c r="Z44" s="78">
        <f t="shared" si="22"/>
        <v>48</v>
      </c>
      <c r="AA44" s="78"/>
      <c r="AB44" s="78"/>
      <c r="AC44" s="78"/>
      <c r="AD44" s="78"/>
      <c r="AE44" s="78"/>
      <c r="AF44" s="78"/>
      <c r="AG44" s="78">
        <v>35.5</v>
      </c>
      <c r="AH44" s="78"/>
      <c r="AI44" s="78"/>
      <c r="AJ44" s="78"/>
      <c r="AK44" s="78"/>
      <c r="AL44" s="78" t="s">
        <v>105</v>
      </c>
      <c r="AM44" s="78"/>
      <c r="AN44" s="78"/>
      <c r="AO44" s="78"/>
      <c r="AP44" s="78"/>
      <c r="AQ44" s="10"/>
    </row>
    <row r="45" spans="1:43" x14ac:dyDescent="0.25">
      <c r="A45" s="1">
        <v>11</v>
      </c>
      <c r="B45" s="5">
        <f>COUNTIF($F$6:$F$13,"&lt;" &amp; A45)+COUNTIF($K$6:$K$13,"&lt;" &amp; A45)+COUNTIF($P$6:$P$13,"&lt;" &amp; A45)+COUNTIF($U$6:$U$13,"&lt;" &amp; A45)+COUNTIF($Z$6:$Z$13,"&lt;" &amp; A45)+COUNTIF($AE$6:$AE$13,"&lt;" &amp; A45)+COUNTIF($AJ$6:$AJ$13,"&lt;" &amp; A45)</f>
        <v>0</v>
      </c>
      <c r="T45" s="10"/>
      <c r="U45" s="10"/>
      <c r="V45" s="10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>
        <v>37.5</v>
      </c>
      <c r="AH45" s="78"/>
      <c r="AI45" s="78"/>
      <c r="AJ45" s="78"/>
      <c r="AK45" s="78"/>
      <c r="AL45" s="78"/>
      <c r="AM45" s="78"/>
      <c r="AN45" s="78"/>
      <c r="AO45" s="78"/>
      <c r="AP45" s="78"/>
      <c r="AQ45" s="10"/>
    </row>
    <row r="46" spans="1:43" x14ac:dyDescent="0.25">
      <c r="T46" s="10"/>
      <c r="U46" s="10"/>
      <c r="V46" s="10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78"/>
      <c r="AQ46" s="10"/>
    </row>
    <row r="47" spans="1:43" x14ac:dyDescent="0.25">
      <c r="T47" s="10"/>
      <c r="U47" s="10"/>
      <c r="V47" s="10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10"/>
    </row>
    <row r="48" spans="1:43" x14ac:dyDescent="0.25">
      <c r="T48" s="10"/>
      <c r="U48" s="10"/>
      <c r="V48" s="10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78"/>
      <c r="AO48" s="78"/>
      <c r="AP48" s="78"/>
      <c r="AQ48" s="10"/>
    </row>
    <row r="49" spans="1:43" ht="13" x14ac:dyDescent="0.3">
      <c r="A49" s="4" t="s">
        <v>106</v>
      </c>
      <c r="T49" s="10"/>
      <c r="U49" s="10"/>
      <c r="V49" s="10"/>
      <c r="W49" s="78"/>
      <c r="X49" s="78"/>
      <c r="Y49" s="78"/>
      <c r="Z49" s="78"/>
      <c r="AA49" s="78"/>
      <c r="AB49" s="80" t="s">
        <v>107</v>
      </c>
      <c r="AC49" s="80"/>
      <c r="AD49" s="78"/>
      <c r="AE49" s="78"/>
      <c r="AF49" s="78"/>
      <c r="AG49" s="78"/>
      <c r="AH49" s="78"/>
      <c r="AI49" s="78"/>
      <c r="AJ49" s="78"/>
      <c r="AK49" s="78"/>
      <c r="AL49" s="78"/>
      <c r="AM49" s="78"/>
      <c r="AN49" s="78"/>
      <c r="AO49" s="78"/>
      <c r="AP49" s="78"/>
      <c r="AQ49" s="10"/>
    </row>
    <row r="50" spans="1:43" x14ac:dyDescent="0.25">
      <c r="A50" s="3" t="s">
        <v>108</v>
      </c>
      <c r="T50" s="10"/>
      <c r="U50" s="10"/>
      <c r="V50" s="10"/>
      <c r="W50" s="78"/>
      <c r="X50" s="78"/>
      <c r="Y50" s="78"/>
      <c r="Z50" s="78"/>
      <c r="AA50" s="78"/>
      <c r="AB50" s="78" t="s">
        <v>109</v>
      </c>
      <c r="AC50" s="78"/>
      <c r="AD50" s="78"/>
      <c r="AE50" s="78"/>
      <c r="AF50" s="78"/>
      <c r="AG50" s="78"/>
      <c r="AH50" s="78"/>
      <c r="AI50" s="78"/>
      <c r="AJ50" s="78"/>
      <c r="AK50" s="78"/>
      <c r="AL50" s="78"/>
      <c r="AM50" s="78"/>
      <c r="AN50" s="78"/>
      <c r="AO50" s="78"/>
      <c r="AP50" s="78"/>
      <c r="AQ50" s="10"/>
    </row>
    <row r="51" spans="1:43" ht="13" x14ac:dyDescent="0.3">
      <c r="A51" s="4" t="s">
        <v>110</v>
      </c>
      <c r="T51" s="10"/>
      <c r="U51" s="10"/>
      <c r="V51" s="10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  <c r="AN51" s="78"/>
      <c r="AO51" s="78"/>
      <c r="AP51" s="78"/>
      <c r="AQ51" s="10"/>
    </row>
    <row r="52" spans="1:43" x14ac:dyDescent="0.25">
      <c r="A52" s="3" t="s">
        <v>111</v>
      </c>
      <c r="T52" s="10"/>
      <c r="U52" s="10"/>
      <c r="V52" s="10"/>
      <c r="W52" s="78"/>
      <c r="X52" s="78"/>
      <c r="Y52" s="78"/>
      <c r="Z52" s="78"/>
      <c r="AA52" s="78"/>
      <c r="AB52" s="78" t="s">
        <v>112</v>
      </c>
      <c r="AC52" s="78"/>
      <c r="AD52" s="78"/>
      <c r="AE52" s="78"/>
      <c r="AF52" s="78"/>
      <c r="AG52" s="78"/>
      <c r="AH52" s="78"/>
      <c r="AI52" s="78"/>
      <c r="AJ52" s="78"/>
      <c r="AK52" s="78"/>
      <c r="AL52" s="78"/>
      <c r="AM52" s="78"/>
      <c r="AN52" s="78"/>
      <c r="AO52" s="78"/>
      <c r="AP52" s="78"/>
      <c r="AQ52" s="10"/>
    </row>
    <row r="53" spans="1:43" x14ac:dyDescent="0.25">
      <c r="A53" s="3" t="s">
        <v>113</v>
      </c>
      <c r="T53" s="10"/>
      <c r="U53" s="10"/>
      <c r="V53" s="10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78"/>
      <c r="AO53" s="78"/>
      <c r="AP53" s="78"/>
      <c r="AQ53" s="10"/>
    </row>
    <row r="54" spans="1:43" x14ac:dyDescent="0.25">
      <c r="A54" s="3" t="s">
        <v>114</v>
      </c>
      <c r="T54" s="10"/>
      <c r="U54" s="10"/>
      <c r="V54" s="10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78"/>
      <c r="AL54" s="78"/>
      <c r="AM54" s="78"/>
      <c r="AN54" s="78"/>
      <c r="AO54" s="78"/>
      <c r="AP54" s="78"/>
      <c r="AQ54" s="10"/>
    </row>
    <row r="55" spans="1:43" x14ac:dyDescent="0.25">
      <c r="T55" s="10"/>
      <c r="U55" s="10"/>
      <c r="V55" s="10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10"/>
    </row>
    <row r="56" spans="1:43" ht="13" x14ac:dyDescent="0.3">
      <c r="A56" s="4" t="s">
        <v>115</v>
      </c>
      <c r="T56" s="10"/>
      <c r="U56" s="10"/>
      <c r="V56" s="10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78"/>
      <c r="AO56" s="78"/>
      <c r="AP56" s="78"/>
      <c r="AQ56" s="10"/>
    </row>
    <row r="57" spans="1:43" x14ac:dyDescent="0.25">
      <c r="A57" s="3" t="s">
        <v>116</v>
      </c>
      <c r="T57" s="10"/>
      <c r="U57" s="10"/>
      <c r="V57" s="10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/>
      <c r="AO57" s="78"/>
      <c r="AP57" s="78"/>
      <c r="AQ57" s="10"/>
    </row>
    <row r="58" spans="1:43" ht="13" x14ac:dyDescent="0.3">
      <c r="A58" s="4" t="s">
        <v>110</v>
      </c>
      <c r="T58" s="10"/>
      <c r="U58" s="10"/>
      <c r="V58" s="10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 t="s">
        <v>117</v>
      </c>
      <c r="AH58" s="78"/>
      <c r="AI58" s="78"/>
      <c r="AJ58" s="78"/>
      <c r="AK58" s="78"/>
      <c r="AL58" s="78"/>
      <c r="AM58" s="78"/>
      <c r="AN58" s="78"/>
      <c r="AO58" s="78"/>
      <c r="AP58" s="78"/>
      <c r="AQ58" s="10"/>
    </row>
    <row r="59" spans="1:43" x14ac:dyDescent="0.25">
      <c r="A59" s="3" t="s">
        <v>111</v>
      </c>
      <c r="T59" s="10"/>
      <c r="U59" s="10"/>
      <c r="V59" s="10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>
        <v>0</v>
      </c>
      <c r="AH59" s="78">
        <v>1</v>
      </c>
      <c r="AI59" s="78">
        <v>2</v>
      </c>
      <c r="AJ59" s="78">
        <v>3</v>
      </c>
      <c r="AK59" s="78">
        <v>4</v>
      </c>
      <c r="AL59" s="78">
        <v>5</v>
      </c>
      <c r="AM59" s="78">
        <v>6</v>
      </c>
      <c r="AN59" s="78"/>
      <c r="AO59" s="78"/>
      <c r="AP59" s="78"/>
      <c r="AQ59" s="10"/>
    </row>
    <row r="60" spans="1:43" x14ac:dyDescent="0.25">
      <c r="A60" s="3" t="s">
        <v>113</v>
      </c>
      <c r="T60" s="10"/>
      <c r="U60" s="10"/>
      <c r="V60" s="10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>
        <v>7</v>
      </c>
      <c r="AH60" s="78">
        <v>8</v>
      </c>
      <c r="AI60" s="78">
        <v>9</v>
      </c>
      <c r="AJ60" s="78">
        <v>10</v>
      </c>
      <c r="AK60" s="78">
        <v>11</v>
      </c>
      <c r="AL60" s="78">
        <v>12</v>
      </c>
      <c r="AM60" s="78">
        <v>13</v>
      </c>
      <c r="AN60" s="78"/>
      <c r="AO60" s="78"/>
      <c r="AP60" s="78"/>
      <c r="AQ60" s="10"/>
    </row>
    <row r="61" spans="1:43" x14ac:dyDescent="0.25">
      <c r="T61" s="10"/>
      <c r="U61" s="10"/>
      <c r="V61" s="10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>
        <v>14</v>
      </c>
      <c r="AH61" s="78">
        <v>15</v>
      </c>
      <c r="AI61" s="78">
        <v>16</v>
      </c>
      <c r="AJ61" s="78">
        <v>17</v>
      </c>
      <c r="AK61" s="78">
        <v>18</v>
      </c>
      <c r="AL61" s="78">
        <v>19</v>
      </c>
      <c r="AM61" s="78">
        <v>20</v>
      </c>
      <c r="AN61" s="78"/>
      <c r="AO61" s="78"/>
      <c r="AP61" s="78"/>
      <c r="AQ61" s="10"/>
    </row>
    <row r="62" spans="1:43" ht="13" x14ac:dyDescent="0.3">
      <c r="A62" s="4" t="s">
        <v>118</v>
      </c>
      <c r="T62" s="10"/>
      <c r="U62" s="10"/>
      <c r="V62" s="10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>
        <v>21</v>
      </c>
      <c r="AH62" s="78">
        <v>22</v>
      </c>
      <c r="AI62" s="78">
        <v>23</v>
      </c>
      <c r="AJ62" s="78">
        <v>24</v>
      </c>
      <c r="AK62" s="78">
        <v>25</v>
      </c>
      <c r="AL62" s="78">
        <v>26</v>
      </c>
      <c r="AM62" s="78">
        <v>27</v>
      </c>
      <c r="AN62" s="78"/>
      <c r="AO62" s="78"/>
      <c r="AP62" s="78"/>
      <c r="AQ62" s="10"/>
    </row>
    <row r="63" spans="1:43" x14ac:dyDescent="0.25">
      <c r="A63" s="3" t="s">
        <v>119</v>
      </c>
      <c r="T63" s="10"/>
      <c r="U63" s="10"/>
      <c r="V63" s="10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>
        <v>28</v>
      </c>
      <c r="AH63" s="78">
        <v>29</v>
      </c>
      <c r="AI63" s="78">
        <v>30</v>
      </c>
      <c r="AJ63" s="78">
        <v>31</v>
      </c>
      <c r="AK63" s="78">
        <v>32</v>
      </c>
      <c r="AL63" s="78">
        <v>33</v>
      </c>
      <c r="AM63" s="78">
        <v>34</v>
      </c>
      <c r="AN63" s="78"/>
      <c r="AO63" s="78"/>
      <c r="AP63" s="78"/>
      <c r="AQ63" s="10"/>
    </row>
    <row r="64" spans="1:43" x14ac:dyDescent="0.25">
      <c r="A64" s="3" t="s">
        <v>120</v>
      </c>
      <c r="T64" s="10"/>
      <c r="U64" s="10"/>
      <c r="V64" s="10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>
        <v>35</v>
      </c>
      <c r="AH64" s="78">
        <v>36</v>
      </c>
      <c r="AI64" s="78">
        <v>37</v>
      </c>
      <c r="AJ64" s="78">
        <v>38</v>
      </c>
      <c r="AK64" s="78">
        <v>39</v>
      </c>
      <c r="AL64" s="78">
        <v>40</v>
      </c>
      <c r="AM64" s="78">
        <v>41</v>
      </c>
      <c r="AN64" s="78"/>
      <c r="AO64" s="78"/>
      <c r="AP64" s="78"/>
      <c r="AQ64" s="10"/>
    </row>
    <row r="65" spans="1:43" x14ac:dyDescent="0.25">
      <c r="T65" s="10"/>
      <c r="U65" s="10"/>
      <c r="V65" s="10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>
        <v>42</v>
      </c>
      <c r="AH65" s="78">
        <v>43</v>
      </c>
      <c r="AI65" s="78">
        <v>44</v>
      </c>
      <c r="AJ65" s="78">
        <v>45</v>
      </c>
      <c r="AK65" s="78">
        <v>46</v>
      </c>
      <c r="AL65" s="78">
        <v>47</v>
      </c>
      <c r="AM65" s="78">
        <v>48</v>
      </c>
      <c r="AN65" s="78"/>
      <c r="AO65" s="78"/>
      <c r="AP65" s="78"/>
      <c r="AQ65" s="10"/>
    </row>
    <row r="66" spans="1:43" ht="13" x14ac:dyDescent="0.3">
      <c r="A66" s="3" t="s">
        <v>121</v>
      </c>
      <c r="B66" s="4"/>
      <c r="T66" s="10"/>
      <c r="U66" s="10"/>
      <c r="V66" s="10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>
        <v>49</v>
      </c>
      <c r="AH66" s="78">
        <v>50</v>
      </c>
      <c r="AI66" s="78">
        <v>51</v>
      </c>
      <c r="AJ66" s="78">
        <v>52</v>
      </c>
      <c r="AK66" s="78">
        <v>53</v>
      </c>
      <c r="AL66" s="78">
        <v>54</v>
      </c>
      <c r="AM66" s="78">
        <v>55</v>
      </c>
      <c r="AN66" s="78"/>
      <c r="AO66" s="78"/>
      <c r="AP66" s="78"/>
      <c r="AQ66" s="10"/>
    </row>
    <row r="67" spans="1:43" ht="13" x14ac:dyDescent="0.3">
      <c r="A67" s="1">
        <v>9</v>
      </c>
      <c r="B67" s="5">
        <f>COUNTIF($E$6:$E$13,"&gt;" &amp; A67)+COUNTIF($J$6:$J$13,"&gt;" &amp; A67)+COUNTIF($O$6:$O$13,"&gt;" &amp; A67)+COUNTIF($T$6:$T$13,"&gt;" &amp; A67)+COUNTIF($Y$6:$Y$13,"&gt;" &amp; A67)+COUNTIF($AD$6:$AD$13,"&gt;" &amp; A67)+COUNTIF($AI$6:$AI$13,"&gt;" &amp; A67)</f>
        <v>0</v>
      </c>
      <c r="C67" s="3" t="s">
        <v>122</v>
      </c>
      <c r="E67" s="3" t="s">
        <v>123</v>
      </c>
      <c r="H67" s="1" t="s">
        <v>124</v>
      </c>
      <c r="L67" s="3" t="s">
        <v>125</v>
      </c>
      <c r="T67" s="10"/>
      <c r="U67" s="10"/>
      <c r="V67" s="10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>
        <v>56</v>
      </c>
      <c r="AH67" s="78">
        <v>57</v>
      </c>
      <c r="AI67" s="78">
        <v>58</v>
      </c>
      <c r="AJ67" s="78">
        <v>59</v>
      </c>
      <c r="AK67" s="78">
        <v>60</v>
      </c>
      <c r="AL67" s="78">
        <v>61</v>
      </c>
      <c r="AM67" s="78">
        <v>62</v>
      </c>
      <c r="AN67" s="78"/>
      <c r="AO67" s="78"/>
      <c r="AP67" s="78"/>
      <c r="AQ67" s="10"/>
    </row>
    <row r="68" spans="1:43" x14ac:dyDescent="0.25">
      <c r="T68" s="10"/>
      <c r="U68" s="10"/>
      <c r="V68" s="10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>
        <v>63</v>
      </c>
      <c r="AH68" s="78">
        <v>64</v>
      </c>
      <c r="AI68" s="78">
        <v>65</v>
      </c>
      <c r="AJ68" s="78">
        <v>66</v>
      </c>
      <c r="AK68" s="78">
        <v>67</v>
      </c>
      <c r="AL68" s="78">
        <v>68</v>
      </c>
      <c r="AM68" s="78">
        <v>69</v>
      </c>
      <c r="AN68" s="78"/>
      <c r="AO68" s="78"/>
      <c r="AP68" s="78"/>
      <c r="AQ68" s="10"/>
    </row>
    <row r="69" spans="1:43" x14ac:dyDescent="0.25">
      <c r="A69" s="3" t="s">
        <v>126</v>
      </c>
      <c r="T69" s="10"/>
      <c r="U69" s="10"/>
      <c r="V69" s="10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>
        <v>70</v>
      </c>
      <c r="AH69" s="78">
        <v>71</v>
      </c>
      <c r="AI69" s="78">
        <v>72</v>
      </c>
      <c r="AJ69" s="78">
        <v>73</v>
      </c>
      <c r="AK69" s="78">
        <v>74</v>
      </c>
      <c r="AL69" s="78">
        <v>75</v>
      </c>
      <c r="AM69" s="78">
        <v>76</v>
      </c>
      <c r="AN69" s="78"/>
      <c r="AO69" s="78"/>
      <c r="AP69" s="78"/>
      <c r="AQ69" s="10"/>
    </row>
    <row r="70" spans="1:43" x14ac:dyDescent="0.25">
      <c r="A70" s="1">
        <v>20</v>
      </c>
      <c r="B70" s="5">
        <f>COUNTIF($AK$6:$AK$13,"&gt;" &amp; A70)</f>
        <v>0</v>
      </c>
      <c r="C70" s="3" t="s">
        <v>127</v>
      </c>
      <c r="E70" s="3" t="s">
        <v>128</v>
      </c>
      <c r="H70" s="1" t="s">
        <v>124</v>
      </c>
      <c r="T70" s="10"/>
      <c r="U70" s="10"/>
      <c r="V70" s="10"/>
      <c r="W70" s="78"/>
      <c r="X70" s="78"/>
      <c r="Y70" s="78"/>
      <c r="Z70" s="78"/>
      <c r="AA70" s="78"/>
      <c r="AB70" s="78"/>
      <c r="AC70" s="78"/>
      <c r="AD70" s="78"/>
      <c r="AE70" s="78"/>
      <c r="AF70" s="78"/>
      <c r="AG70" s="78">
        <v>77</v>
      </c>
      <c r="AH70" s="78">
        <v>78</v>
      </c>
      <c r="AI70" s="78">
        <v>79</v>
      </c>
      <c r="AJ70" s="78">
        <v>80</v>
      </c>
      <c r="AK70" s="78">
        <v>81</v>
      </c>
      <c r="AL70" s="78">
        <v>82</v>
      </c>
      <c r="AM70" s="78">
        <v>83</v>
      </c>
      <c r="AN70" s="78"/>
      <c r="AO70" s="78"/>
      <c r="AP70" s="78"/>
      <c r="AQ70" s="10"/>
    </row>
    <row r="71" spans="1:43" x14ac:dyDescent="0.25">
      <c r="W71" s="78"/>
      <c r="X71" s="78"/>
      <c r="Y71" s="78"/>
      <c r="Z71" s="78"/>
      <c r="AA71" s="78"/>
      <c r="AB71" s="78"/>
      <c r="AC71" s="78"/>
      <c r="AD71" s="78"/>
      <c r="AE71" s="78"/>
      <c r="AF71" s="78"/>
      <c r="AG71" s="78">
        <v>84</v>
      </c>
      <c r="AH71" s="78">
        <v>85</v>
      </c>
      <c r="AI71" s="78">
        <v>86</v>
      </c>
      <c r="AJ71" s="78">
        <v>87</v>
      </c>
      <c r="AK71" s="78">
        <v>88</v>
      </c>
      <c r="AL71" s="78">
        <v>89</v>
      </c>
      <c r="AM71" s="78">
        <v>90</v>
      </c>
      <c r="AN71" s="78"/>
      <c r="AO71" s="78"/>
      <c r="AP71" s="78"/>
    </row>
    <row r="72" spans="1:43" x14ac:dyDescent="0.25"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  <c r="AL72" s="78"/>
      <c r="AM72" s="78"/>
      <c r="AN72" s="78"/>
      <c r="AO72" s="78"/>
      <c r="AP72" s="78"/>
    </row>
    <row r="73" spans="1:43" x14ac:dyDescent="0.25">
      <c r="W73" s="78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8"/>
      <c r="AK73" s="78"/>
      <c r="AL73" s="78"/>
      <c r="AM73" s="78"/>
      <c r="AN73" s="78"/>
      <c r="AO73" s="78"/>
      <c r="AP73" s="78"/>
    </row>
    <row r="74" spans="1:43" x14ac:dyDescent="0.25"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78"/>
      <c r="AO74" s="78"/>
      <c r="AP74" s="78"/>
    </row>
    <row r="75" spans="1:43" x14ac:dyDescent="0.25"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  <c r="AK75" s="78"/>
      <c r="AL75" s="78"/>
      <c r="AM75" s="78"/>
      <c r="AN75" s="78"/>
      <c r="AO75" s="78"/>
      <c r="AP75" s="78"/>
    </row>
    <row r="76" spans="1:43" x14ac:dyDescent="0.25">
      <c r="W76" s="78"/>
      <c r="X76" s="78"/>
      <c r="Y76" s="78"/>
      <c r="Z76" s="78"/>
      <c r="AA76" s="78"/>
      <c r="AB76" s="78"/>
      <c r="AC76" s="78"/>
      <c r="AD76" s="78"/>
      <c r="AE76" s="78"/>
      <c r="AF76" s="78"/>
      <c r="AG76" s="78"/>
      <c r="AH76" s="78"/>
      <c r="AI76" s="78"/>
      <c r="AJ76" s="78"/>
      <c r="AK76" s="78"/>
      <c r="AL76" s="78"/>
      <c r="AM76" s="78"/>
      <c r="AN76" s="78"/>
      <c r="AO76" s="78"/>
      <c r="AP76" s="78"/>
    </row>
    <row r="77" spans="1:43" x14ac:dyDescent="0.25"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78"/>
      <c r="AK77" s="78"/>
      <c r="AL77" s="78"/>
      <c r="AM77" s="78"/>
      <c r="AN77" s="78"/>
      <c r="AO77" s="78"/>
      <c r="AP77" s="78"/>
    </row>
    <row r="78" spans="1:43" x14ac:dyDescent="0.25">
      <c r="W78" s="78"/>
      <c r="X78" s="78"/>
      <c r="Y78" s="78"/>
      <c r="Z78" s="78"/>
      <c r="AA78" s="78"/>
      <c r="AB78" s="78"/>
      <c r="AC78" s="78"/>
      <c r="AD78" s="78"/>
      <c r="AE78" s="78"/>
      <c r="AF78" s="78"/>
      <c r="AG78" s="78"/>
      <c r="AH78" s="78"/>
      <c r="AI78" s="78"/>
      <c r="AJ78" s="78"/>
      <c r="AK78" s="78"/>
      <c r="AL78" s="78"/>
      <c r="AM78" s="78"/>
      <c r="AN78" s="78"/>
      <c r="AO78" s="78"/>
      <c r="AP78" s="78"/>
    </row>
    <row r="79" spans="1:43" x14ac:dyDescent="0.25">
      <c r="W79" s="78"/>
      <c r="X79" s="78"/>
      <c r="Y79" s="78"/>
      <c r="Z79" s="78"/>
      <c r="AA79" s="78"/>
      <c r="AB79" s="78"/>
      <c r="AC79" s="78"/>
      <c r="AD79" s="78"/>
      <c r="AE79" s="78"/>
      <c r="AF79" s="78"/>
      <c r="AG79" s="78"/>
      <c r="AH79" s="78"/>
      <c r="AI79" s="78"/>
      <c r="AJ79" s="78"/>
      <c r="AK79" s="78"/>
      <c r="AL79" s="78"/>
      <c r="AM79" s="78"/>
      <c r="AN79" s="78"/>
      <c r="AO79" s="78"/>
      <c r="AP79" s="78"/>
    </row>
    <row r="80" spans="1:43" x14ac:dyDescent="0.25">
      <c r="W80" s="78"/>
      <c r="X80" s="78"/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  <c r="AJ80" s="78"/>
      <c r="AK80" s="78"/>
      <c r="AL80" s="78"/>
      <c r="AM80" s="78"/>
      <c r="AN80" s="78"/>
      <c r="AO80" s="78"/>
      <c r="AP80" s="78"/>
    </row>
    <row r="81" spans="1:42" x14ac:dyDescent="0.25"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  <c r="AJ81" s="78"/>
      <c r="AK81" s="78"/>
      <c r="AL81" s="78"/>
      <c r="AM81" s="78"/>
      <c r="AN81" s="78"/>
      <c r="AO81" s="78"/>
      <c r="AP81" s="78"/>
    </row>
    <row r="82" spans="1:42" x14ac:dyDescent="0.25"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8"/>
      <c r="AH82" s="78"/>
      <c r="AI82" s="78"/>
      <c r="AJ82" s="78"/>
      <c r="AK82" s="78"/>
      <c r="AL82" s="78"/>
      <c r="AM82" s="78"/>
      <c r="AN82" s="78"/>
      <c r="AO82" s="78"/>
      <c r="AP82" s="78"/>
    </row>
    <row r="83" spans="1:42" x14ac:dyDescent="0.25"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</row>
    <row r="84" spans="1:42" x14ac:dyDescent="0.25"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</row>
    <row r="85" spans="1:42" x14ac:dyDescent="0.25"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</row>
    <row r="86" spans="1:42" x14ac:dyDescent="0.25"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8"/>
      <c r="AO86" s="78"/>
      <c r="AP86" s="78"/>
    </row>
    <row r="87" spans="1:42" x14ac:dyDescent="0.25"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  <c r="AN87" s="78"/>
      <c r="AO87" s="78"/>
      <c r="AP87" s="78"/>
    </row>
    <row r="95" spans="1:42" ht="13" x14ac:dyDescent="0.3">
      <c r="A95" s="4"/>
    </row>
  </sheetData>
  <sheetProtection algorithmName="SHA-512" hashValue="R0RYSiT8YkkCVAykiATo+kyH6e/ubfkbXE2gITU0QJ5/TtmW0ALq8Q3O786b+EV19D0Zutnb3VZkQuKsIcRGPA==" saltValue="Mlty/qWI/gv3DE0F/MYFuA==" spinCount="100000" sheet="1" objects="1" scenarios="1"/>
  <mergeCells count="27">
    <mergeCell ref="A1:C1"/>
    <mergeCell ref="H1:L1"/>
    <mergeCell ref="A2:C2"/>
    <mergeCell ref="A3:C3"/>
    <mergeCell ref="B4:F4"/>
    <mergeCell ref="G4:J4"/>
    <mergeCell ref="L4:O4"/>
    <mergeCell ref="I2:J2"/>
    <mergeCell ref="Q4:T4"/>
    <mergeCell ref="V4:Y4"/>
    <mergeCell ref="AA4:AD4"/>
    <mergeCell ref="AF4:AI4"/>
    <mergeCell ref="AG39:AK39"/>
    <mergeCell ref="A28:C28"/>
    <mergeCell ref="A29:C29"/>
    <mergeCell ref="A30:C30"/>
    <mergeCell ref="D32:E32"/>
    <mergeCell ref="H32:I32"/>
    <mergeCell ref="A37:C37"/>
    <mergeCell ref="D31:E31"/>
    <mergeCell ref="H31:I31"/>
    <mergeCell ref="A36:E36"/>
    <mergeCell ref="N32:O32"/>
    <mergeCell ref="A33:C33"/>
    <mergeCell ref="G33:H33"/>
    <mergeCell ref="A34:B34"/>
    <mergeCell ref="N31:O31"/>
  </mergeCells>
  <conditionalFormatting sqref="A6:A17">
    <cfRule type="cellIs" dxfId="657" priority="363" operator="equal">
      <formula>0</formula>
    </cfRule>
  </conditionalFormatting>
  <conditionalFormatting sqref="A37">
    <cfRule type="cellIs" dxfId="656" priority="243" operator="notEqual">
      <formula>$E$2</formula>
    </cfRule>
    <cfRule type="cellIs" dxfId="655" priority="244" operator="equal">
      <formula>$E$2</formula>
    </cfRule>
  </conditionalFormatting>
  <conditionalFormatting sqref="A32:D32 F32:H32 C34">
    <cfRule type="cellIs" dxfId="654" priority="241" operator="notEqual">
      <formula>$E$3</formula>
    </cfRule>
    <cfRule type="cellIs" dxfId="653" priority="242" operator="equal">
      <formula>$E$3</formula>
    </cfRule>
  </conditionalFormatting>
  <conditionalFormatting sqref="B6:D17">
    <cfRule type="expression" dxfId="652" priority="112">
      <formula>$A6=0</formula>
    </cfRule>
  </conditionalFormatting>
  <conditionalFormatting sqref="E6:E17">
    <cfRule type="expression" dxfId="651" priority="116">
      <formula>AND($H$67="ja",E6&gt;$A$67)</formula>
    </cfRule>
    <cfRule type="cellIs" dxfId="650" priority="117" operator="greaterThanOrEqual">
      <formula>0</formula>
    </cfRule>
  </conditionalFormatting>
  <conditionalFormatting sqref="F6:F17">
    <cfRule type="cellIs" dxfId="649" priority="31" operator="lessThan">
      <formula>$A$45</formula>
    </cfRule>
    <cfRule type="cellIs" dxfId="648" priority="32" operator="equal">
      <formula>0</formula>
    </cfRule>
    <cfRule type="cellIs" dxfId="647" priority="33" operator="notEqual">
      <formula>0</formula>
    </cfRule>
  </conditionalFormatting>
  <conditionalFormatting sqref="G6:I17">
    <cfRule type="expression" dxfId="646" priority="52">
      <formula>$A6=0</formula>
    </cfRule>
  </conditionalFormatting>
  <conditionalFormatting sqref="J6:J17">
    <cfRule type="expression" dxfId="645" priority="104">
      <formula>AND($H$67="ja",J6&gt;$A$67)</formula>
    </cfRule>
    <cfRule type="cellIs" dxfId="644" priority="105" operator="greaterThanOrEqual">
      <formula>0</formula>
    </cfRule>
  </conditionalFormatting>
  <conditionalFormatting sqref="J32:N32">
    <cfRule type="cellIs" dxfId="643" priority="239" operator="notEqual">
      <formula>$E$3</formula>
    </cfRule>
    <cfRule type="cellIs" dxfId="642" priority="240" operator="equal">
      <formula>$E$3</formula>
    </cfRule>
  </conditionalFormatting>
  <conditionalFormatting sqref="K6:K17">
    <cfRule type="cellIs" dxfId="641" priority="28" operator="lessThan">
      <formula>$A$45</formula>
    </cfRule>
    <cfRule type="cellIs" dxfId="640" priority="29" operator="equal">
      <formula>0</formula>
    </cfRule>
    <cfRule type="cellIs" dxfId="639" priority="30" operator="notEqual">
      <formula>0</formula>
    </cfRule>
  </conditionalFormatting>
  <conditionalFormatting sqref="L6:N17">
    <cfRule type="expression" dxfId="638" priority="48">
      <formula>$A6=0</formula>
    </cfRule>
  </conditionalFormatting>
  <conditionalFormatting sqref="O6:O17">
    <cfRule type="cellIs" dxfId="637" priority="97" operator="greaterThanOrEqual">
      <formula>0</formula>
    </cfRule>
    <cfRule type="expression" dxfId="636" priority="96">
      <formula>AND($H$67="ja",O6&gt;$A$67)</formula>
    </cfRule>
  </conditionalFormatting>
  <conditionalFormatting sqref="P6:P17">
    <cfRule type="cellIs" dxfId="635" priority="22" operator="lessThan">
      <formula>$A$45</formula>
    </cfRule>
    <cfRule type="cellIs" dxfId="634" priority="23" operator="equal">
      <formula>0</formula>
    </cfRule>
    <cfRule type="cellIs" dxfId="633" priority="24" operator="notEqual">
      <formula>0</formula>
    </cfRule>
  </conditionalFormatting>
  <conditionalFormatting sqref="Q6:S17">
    <cfRule type="expression" dxfId="632" priority="47">
      <formula>$A6=0</formula>
    </cfRule>
  </conditionalFormatting>
  <conditionalFormatting sqref="T6:T17">
    <cfRule type="cellIs" dxfId="631" priority="89" operator="greaterThanOrEqual">
      <formula>0</formula>
    </cfRule>
    <cfRule type="expression" dxfId="630" priority="88">
      <formula>AND($H$67="ja",T6&gt;$A$67)</formula>
    </cfRule>
  </conditionalFormatting>
  <conditionalFormatting sqref="U6:U17">
    <cfRule type="cellIs" dxfId="629" priority="17" operator="equal">
      <formula>0</formula>
    </cfRule>
    <cfRule type="cellIs" dxfId="628" priority="16" operator="lessThan">
      <formula>$A$45</formula>
    </cfRule>
    <cfRule type="cellIs" dxfId="627" priority="18" operator="notEqual">
      <formula>0</formula>
    </cfRule>
  </conditionalFormatting>
  <conditionalFormatting sqref="V6:X17">
    <cfRule type="expression" dxfId="626" priority="46">
      <formula>$A6=0</formula>
    </cfRule>
  </conditionalFormatting>
  <conditionalFormatting sqref="Y6:Y17 AD6:AD17 AI6:AI17">
    <cfRule type="expression" dxfId="625" priority="59">
      <formula>AND($H$67="ja",Y6&gt;$A$67)</formula>
    </cfRule>
    <cfRule type="cellIs" dxfId="624" priority="60" operator="greaterThanOrEqual">
      <formula>0</formula>
    </cfRule>
  </conditionalFormatting>
  <conditionalFormatting sqref="Z6:Z17">
    <cfRule type="cellIs" dxfId="623" priority="11" operator="equal">
      <formula>0</formula>
    </cfRule>
    <cfRule type="cellIs" dxfId="622" priority="10" operator="lessThan">
      <formula>$A$45</formula>
    </cfRule>
    <cfRule type="cellIs" dxfId="621" priority="12" operator="notEqual">
      <formula>0</formula>
    </cfRule>
  </conditionalFormatting>
  <conditionalFormatting sqref="AA6:AC17">
    <cfRule type="expression" dxfId="620" priority="43">
      <formula>$A6=0</formula>
    </cfRule>
  </conditionalFormatting>
  <conditionalFormatting sqref="AE6:AE17">
    <cfRule type="cellIs" dxfId="619" priority="5" operator="equal">
      <formula>0</formula>
    </cfRule>
    <cfRule type="cellIs" dxfId="618" priority="4" operator="lessThan">
      <formula>$A$45</formula>
    </cfRule>
    <cfRule type="cellIs" dxfId="617" priority="6" operator="notEqual">
      <formula>0</formula>
    </cfRule>
  </conditionalFormatting>
  <conditionalFormatting sqref="AF6:AH17">
    <cfRule type="expression" dxfId="616" priority="34">
      <formula>$A6=0</formula>
    </cfRule>
  </conditionalFormatting>
  <conditionalFormatting sqref="AJ6:AJ17">
    <cfRule type="cellIs" dxfId="615" priority="3" operator="notEqual">
      <formula>0</formula>
    </cfRule>
    <cfRule type="cellIs" dxfId="614" priority="2" operator="equal">
      <formula>0</formula>
    </cfRule>
    <cfRule type="cellIs" dxfId="613" priority="1" operator="lessThan">
      <formula>$A$45</formula>
    </cfRule>
  </conditionalFormatting>
  <conditionalFormatting sqref="AK6:AK17">
    <cfRule type="expression" dxfId="612" priority="58">
      <formula>AND($H$70="ja",AK6&gt;$A$70)</formula>
    </cfRule>
    <cfRule type="cellIs" dxfId="611" priority="61" operator="greaterThanOrEqual">
      <formula>0</formula>
    </cfRule>
  </conditionalFormatting>
  <dataValidations count="1">
    <dataValidation type="list" allowBlank="1" showInputMessage="1" showErrorMessage="1" sqref="H67 H70" xr:uid="{00000000-0002-0000-0D00-000000000000}">
      <formula1>Ja_og_nei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7"/>
  <dimension ref="A1:AQ95"/>
  <sheetViews>
    <sheetView zoomScale="85" zoomScaleNormal="85" workbookViewId="0">
      <pane ySplit="24" topLeftCell="A25" activePane="bottomLeft" state="frozen"/>
      <selection pane="bottomLeft" activeCell="C14" sqref="C14"/>
    </sheetView>
  </sheetViews>
  <sheetFormatPr defaultColWidth="9.08984375" defaultRowHeight="12.5" x14ac:dyDescent="0.25"/>
  <cols>
    <col min="1" max="1" width="10.7265625" style="3" customWidth="1"/>
    <col min="2" max="2" width="7.6328125" style="3" customWidth="1"/>
    <col min="3" max="3" width="7.81640625" style="3" customWidth="1"/>
    <col min="4" max="4" width="4.36328125" style="3" bestFit="1" customWidth="1"/>
    <col min="5" max="6" width="10" style="3" customWidth="1"/>
    <col min="7" max="7" width="7" style="3" customWidth="1"/>
    <col min="8" max="8" width="7.6328125" style="3" customWidth="1"/>
    <col min="9" max="9" width="4.36328125" style="3" bestFit="1" customWidth="1"/>
    <col min="10" max="11" width="10" style="3" customWidth="1"/>
    <col min="12" max="12" width="7.26953125" style="3" customWidth="1"/>
    <col min="13" max="13" width="7.7265625" style="3" customWidth="1"/>
    <col min="14" max="14" width="4.36328125" style="3" bestFit="1" customWidth="1"/>
    <col min="15" max="15" width="10.08984375" style="3" bestFit="1" customWidth="1"/>
    <col min="16" max="16" width="10.08984375" style="3" customWidth="1"/>
    <col min="17" max="17" width="7.6328125" style="3" customWidth="1"/>
    <col min="18" max="18" width="7.7265625" style="3" customWidth="1"/>
    <col min="19" max="19" width="4.36328125" style="3" bestFit="1" customWidth="1"/>
    <col min="20" max="20" width="10.08984375" style="3" bestFit="1" customWidth="1"/>
    <col min="21" max="21" width="10.08984375" style="3" customWidth="1"/>
    <col min="22" max="22" width="8.36328125" style="3" customWidth="1"/>
    <col min="23" max="23" width="8.81640625" style="3" customWidth="1"/>
    <col min="24" max="24" width="4.36328125" style="3" bestFit="1" customWidth="1"/>
    <col min="25" max="26" width="10" style="3" customWidth="1"/>
    <col min="27" max="28" width="7.81640625" style="3" customWidth="1"/>
    <col min="29" max="29" width="4.36328125" style="3" bestFit="1" customWidth="1"/>
    <col min="30" max="31" width="9.7265625" style="3" customWidth="1"/>
    <col min="32" max="32" width="6.81640625" style="3" customWidth="1"/>
    <col min="33" max="33" width="7.6328125" style="3" customWidth="1"/>
    <col min="34" max="34" width="4.36328125" style="3" bestFit="1" customWidth="1"/>
    <col min="35" max="36" width="9.6328125" style="3" customWidth="1"/>
    <col min="37" max="37" width="15.6328125" style="3" bestFit="1" customWidth="1"/>
    <col min="38" max="16384" width="9.08984375" style="3"/>
  </cols>
  <sheetData>
    <row r="1" spans="1:39" ht="13" x14ac:dyDescent="0.3">
      <c r="A1" s="98" t="s">
        <v>66</v>
      </c>
      <c r="B1" s="98"/>
      <c r="C1" s="98"/>
      <c r="D1" s="88"/>
      <c r="E1" s="5" t="str">
        <f>Vaktplan!G38</f>
        <v>mandag</v>
      </c>
      <c r="H1" s="98" t="s">
        <v>67</v>
      </c>
      <c r="I1" s="98"/>
      <c r="J1" s="98"/>
      <c r="K1" s="98"/>
      <c r="L1" s="98"/>
      <c r="M1" s="5">
        <f>Vaktplan!AJ53</f>
        <v>12</v>
      </c>
    </row>
    <row r="2" spans="1:39" ht="13" x14ac:dyDescent="0.3">
      <c r="A2" s="98" t="s">
        <v>36</v>
      </c>
      <c r="B2" s="98"/>
      <c r="C2" s="98"/>
      <c r="D2" s="88"/>
      <c r="E2" s="8">
        <f>Vaktplan!AM53</f>
        <v>0</v>
      </c>
      <c r="I2" s="106"/>
      <c r="J2" s="106"/>
    </row>
    <row r="3" spans="1:39" ht="13" x14ac:dyDescent="0.3">
      <c r="A3" s="98" t="s">
        <v>68</v>
      </c>
      <c r="B3" s="98"/>
      <c r="C3" s="98"/>
      <c r="D3" s="88"/>
      <c r="E3" s="5">
        <f>Vaktplan!AQ53</f>
        <v>0</v>
      </c>
      <c r="F3" s="4" t="s">
        <v>69</v>
      </c>
    </row>
    <row r="4" spans="1:39" ht="13" x14ac:dyDescent="0.3">
      <c r="A4" s="89" t="s">
        <v>70</v>
      </c>
      <c r="B4" s="103" t="str">
        <f>TEXT(AG39,"DDDD")</f>
        <v>Monday</v>
      </c>
      <c r="C4" s="104"/>
      <c r="D4" s="104"/>
      <c r="E4" s="104"/>
      <c r="F4" s="105"/>
      <c r="G4" s="102" t="str">
        <f>TEXT($AG$39+1,"DDDD")</f>
        <v>Tuesday</v>
      </c>
      <c r="H4" s="102"/>
      <c r="I4" s="102"/>
      <c r="J4" s="102"/>
      <c r="K4" s="89"/>
      <c r="L4" s="102" t="str">
        <f>TEXT($AG$39+2,"DDDD")</f>
        <v>Wednesday</v>
      </c>
      <c r="M4" s="102"/>
      <c r="N4" s="102"/>
      <c r="O4" s="102"/>
      <c r="P4" s="89"/>
      <c r="Q4" s="102" t="str">
        <f>TEXT($AG$39+3,"DDDD")</f>
        <v>Thursday</v>
      </c>
      <c r="R4" s="102"/>
      <c r="S4" s="102"/>
      <c r="T4" s="102"/>
      <c r="U4" s="89"/>
      <c r="V4" s="102" t="str">
        <f>TEXT($AG$39+4,"DDDD")</f>
        <v>Friday</v>
      </c>
      <c r="W4" s="102"/>
      <c r="X4" s="102"/>
      <c r="Y4" s="102"/>
      <c r="Z4" s="89"/>
      <c r="AA4" s="102" t="str">
        <f>TEXT($AG$39+5,"DDDD")</f>
        <v>Saturday</v>
      </c>
      <c r="AB4" s="102"/>
      <c r="AC4" s="102"/>
      <c r="AD4" s="102"/>
      <c r="AE4" s="89"/>
      <c r="AF4" s="102" t="str">
        <f>TEXT($AG$39+6,"DDDD")</f>
        <v>Sunday</v>
      </c>
      <c r="AG4" s="102"/>
      <c r="AH4" s="102"/>
      <c r="AI4" s="102"/>
      <c r="AJ4" s="89"/>
      <c r="AK4" s="7" t="s">
        <v>71</v>
      </c>
      <c r="AL4" s="91"/>
    </row>
    <row r="5" spans="1:39" x14ac:dyDescent="0.25">
      <c r="A5" s="6"/>
      <c r="B5" s="6" t="s">
        <v>72</v>
      </c>
      <c r="C5" s="6" t="s">
        <v>73</v>
      </c>
      <c r="D5" s="6" t="s">
        <v>55</v>
      </c>
      <c r="E5" s="6" t="s">
        <v>74</v>
      </c>
      <c r="F5" s="6" t="s">
        <v>75</v>
      </c>
      <c r="G5" s="6" t="s">
        <v>72</v>
      </c>
      <c r="H5" s="6" t="s">
        <v>73</v>
      </c>
      <c r="I5" s="6" t="s">
        <v>55</v>
      </c>
      <c r="J5" s="6" t="s">
        <v>74</v>
      </c>
      <c r="K5" s="6" t="s">
        <v>75</v>
      </c>
      <c r="L5" s="6" t="s">
        <v>72</v>
      </c>
      <c r="M5" s="6" t="s">
        <v>73</v>
      </c>
      <c r="N5" s="6" t="s">
        <v>55</v>
      </c>
      <c r="O5" s="6" t="s">
        <v>74</v>
      </c>
      <c r="P5" s="6" t="s">
        <v>75</v>
      </c>
      <c r="Q5" s="6" t="s">
        <v>72</v>
      </c>
      <c r="R5" s="6" t="s">
        <v>73</v>
      </c>
      <c r="S5" s="6" t="s">
        <v>55</v>
      </c>
      <c r="T5" s="6" t="s">
        <v>74</v>
      </c>
      <c r="U5" s="6" t="s">
        <v>75</v>
      </c>
      <c r="V5" s="6" t="s">
        <v>72</v>
      </c>
      <c r="W5" s="6" t="s">
        <v>73</v>
      </c>
      <c r="X5" s="6" t="s">
        <v>55</v>
      </c>
      <c r="Y5" s="6" t="s">
        <v>74</v>
      </c>
      <c r="Z5" s="6" t="s">
        <v>75</v>
      </c>
      <c r="AA5" s="6" t="s">
        <v>72</v>
      </c>
      <c r="AB5" s="6" t="s">
        <v>73</v>
      </c>
      <c r="AC5" s="6" t="s">
        <v>55</v>
      </c>
      <c r="AD5" s="6" t="s">
        <v>74</v>
      </c>
      <c r="AE5" s="6" t="s">
        <v>75</v>
      </c>
      <c r="AF5" s="6" t="s">
        <v>72</v>
      </c>
      <c r="AG5" s="6" t="s">
        <v>73</v>
      </c>
      <c r="AH5" s="6" t="s">
        <v>55</v>
      </c>
      <c r="AI5" s="6" t="s">
        <v>74</v>
      </c>
      <c r="AJ5" s="6" t="s">
        <v>75</v>
      </c>
      <c r="AK5" s="6"/>
      <c r="AL5" s="91"/>
    </row>
    <row r="6" spans="1:39" ht="13" x14ac:dyDescent="0.25">
      <c r="A6" s="7">
        <f>IF(M1&gt;=1,1,0)</f>
        <v>1</v>
      </c>
      <c r="B6" s="77">
        <f>IFERROR(VLOOKUP(Vaktplan!$A$53,Vaktplan!$A$4:$CL$35,87-AH59,FALSE),0)</f>
        <v>0</v>
      </c>
      <c r="C6" s="77">
        <f>IFERROR(VLOOKUP(Vaktplan!$A$53,Vaktplan!$A$4:$CL$35,87-AG59,FALSE),0)</f>
        <v>0</v>
      </c>
      <c r="D6" s="9">
        <f>IFERROR(VLOOKUP(Vaktplan!$A$53,Vaktplan!$A$4:$CL$35,89-AG59,FALSE),0)</f>
        <v>0</v>
      </c>
      <c r="E6" s="9">
        <f>IF(AND(B6=0,C6=0),0,IF(B6&lt;C6,((C6-B6)*24)-D6,(((1-B6)+C6)*24)-D6))</f>
        <v>0</v>
      </c>
      <c r="F6" s="9">
        <f>IF(AND(C6=0,G6=0),24,IF(C6=0,12+(G6*24),IF(C6&lt;G6,((G6-C6)*24),IF(G6=0,(1-C6+0.5)*24,((1-C6)+G6)*24))))</f>
        <v>24</v>
      </c>
      <c r="G6" s="77">
        <f>IFERROR(VLOOKUP(Vaktplan!$A$53,Vaktplan!$B$4:$CL$35,86-AH59,FALSE),0)</f>
        <v>0</v>
      </c>
      <c r="H6" s="77">
        <f>IFERROR(VLOOKUP(Vaktplan!$A$53,Vaktplan!$B$4:$CL$35,86-AG59,FALSE),0)</f>
        <v>0</v>
      </c>
      <c r="I6" s="9">
        <f>IFERROR(VLOOKUP(Vaktplan!$A$53,Vaktplan!$B$4:$CL$35,89-$AH59,FALSE),0)</f>
        <v>0</v>
      </c>
      <c r="J6" s="9">
        <f>IF(AND(G6=0,H6=0),0,IF(G6&lt;H6,((H6-G6)*24)-I6,(((1-G6)+H6)*24)-I6))</f>
        <v>0</v>
      </c>
      <c r="K6" s="9">
        <f>IF(AND(H6=0,L6=0),24,IF(H6=0,12+(L6*24),IF(H6&lt;L6,((L6-H6)*24),IF(L6=0,(1-H6+0.5)*24,((1-H6)+L6)*24))))</f>
        <v>24</v>
      </c>
      <c r="L6" s="77">
        <f>IFERROR(VLOOKUP(Vaktplan!$A$53,Vaktplan!$C$4:$CL$35,86-AI59,FALSE),0)</f>
        <v>0</v>
      </c>
      <c r="M6" s="77">
        <f>IFERROR(VLOOKUP(Vaktplan!$A$53,Vaktplan!$C$4:$CL$35,86-AH59,FALSE),0)</f>
        <v>0</v>
      </c>
      <c r="N6" s="9">
        <f>IFERROR(VLOOKUP(Vaktplan!$A$53,Vaktplan!$C$4:$CL$35,89-$AI59,FALSE),0)</f>
        <v>0</v>
      </c>
      <c r="O6" s="9">
        <f>IF(AND(L6=0,M6=0),0,IF(L6&lt;M6,((M6-L6)*24)-N6,(((1-L6)+M6)*24)-N6))</f>
        <v>0</v>
      </c>
      <c r="P6" s="9">
        <f>IF(AND(M6=0,Q6=0),24,IF(M6=0,12+(Q6*24),IF(M6&lt;Q6,((Q6-M6)*24),IF(Q6=0,(1-M6+0.5)*24,((1-M6)+Q6)*24))))</f>
        <v>24</v>
      </c>
      <c r="Q6" s="77">
        <f>IFERROR(VLOOKUP(Vaktplan!$A$53,Vaktplan!$D$4:$CL$35,86-AJ59,FALSE),0)</f>
        <v>0</v>
      </c>
      <c r="R6" s="77">
        <f>IFERROR(VLOOKUP(Vaktplan!$A$53,Vaktplan!$D$4:$CL$35,86-AI59,FALSE),0)</f>
        <v>0</v>
      </c>
      <c r="S6" s="9">
        <f>IFERROR(VLOOKUP(Vaktplan!$A$53,Vaktplan!$D$4:$CL$35,89-$AJ59,FALSE),0)</f>
        <v>0</v>
      </c>
      <c r="T6" s="9">
        <f t="shared" ref="T6:T17" si="0">IF(AND(Q6=0,R6=0),0,IF(Q6&lt;R6,((R6-Q6)*24)-S6,(((1-Q6)+R6)*24)-S6))</f>
        <v>0</v>
      </c>
      <c r="U6" s="9">
        <f>IF(AND(R6=0,V6=0),24,IF(R6=0,12+(V6*24),IF(R6&lt;V6,((V6-R6)*24),IF(V6=0,(1-R6+0.5)*24,((1-R6)+V6)*24))))</f>
        <v>24</v>
      </c>
      <c r="V6" s="77">
        <f>IFERROR(VLOOKUP(Vaktplan!$A$53,Vaktplan!$E$4:$CL$35,86-AK59,FALSE),0)</f>
        <v>0</v>
      </c>
      <c r="W6" s="77">
        <f>IFERROR(VLOOKUP(Vaktplan!$A$53,Vaktplan!$E$4:$CL$35,86-AJ59,FALSE),0)</f>
        <v>0</v>
      </c>
      <c r="X6" s="9">
        <f>IFERROR(VLOOKUP(Vaktplan!$A$53,Vaktplan!$E$4:$CL$35,89-$AK59,FALSE),0)</f>
        <v>0</v>
      </c>
      <c r="Y6" s="9">
        <f>IF(AND(V6=0,W6=0),0,IF(V6&lt;W6,((W6-V6)*24)-X6,(((1-V6)+W6)*24)-X6))</f>
        <v>0</v>
      </c>
      <c r="Z6" s="9">
        <f>IF(AND(W6=0,AA6=0),24,IF(W6=0,12+(AA6*24),IF(W6&lt;AA6,((AA6-W6)*24),IF(AA6=0,(1-W6+0.5)*24,((1-W6)+AA6)*24))))</f>
        <v>24</v>
      </c>
      <c r="AA6" s="77">
        <f>IFERROR(VLOOKUP(Vaktplan!$A$53,Vaktplan!$F$4:$CL$35,86-AL59,FALSE),0)</f>
        <v>0</v>
      </c>
      <c r="AB6" s="77">
        <f>IFERROR(VLOOKUP(Vaktplan!$A$53,Vaktplan!$F$4:$CL$35,86-AK59,FALSE),0)</f>
        <v>0</v>
      </c>
      <c r="AC6" s="9">
        <f>IFERROR(VLOOKUP(Vaktplan!$A$53,Vaktplan!$F$4:$CL$35,89-$AL59,FALSE),0)</f>
        <v>0</v>
      </c>
      <c r="AD6" s="9">
        <f>IF(AND(AA6=0,AB6=0),0,IF(AA6&lt;AB6,((AB6-AA6)*24)-AC6,(((1-AA6)+AB6)*24)-AC6))</f>
        <v>0</v>
      </c>
      <c r="AE6" s="9">
        <f>IF(AND(AB6=0,AF6=0),24,IF(AB6=0,12+(AF6*24),IF(AB6&lt;AF6,((AF6-AB6)*24),IF(AF6=0,(1-AB6+0.5)*24,((1-AB6)+AF6)*24))))</f>
        <v>24</v>
      </c>
      <c r="AF6" s="77">
        <f>IFERROR(VLOOKUP(Vaktplan!$A$53,Vaktplan!$G$4:$CL$35,86-AM59,FALSE),0)</f>
        <v>0</v>
      </c>
      <c r="AG6" s="77">
        <f>IFERROR(VLOOKUP(Vaktplan!$A$53,Vaktplan!$G$4:$CL$35,86-AL59,FALSE),0)</f>
        <v>0</v>
      </c>
      <c r="AH6" s="9">
        <f>IFERROR(VLOOKUP(Vaktplan!$A$53,Vaktplan!$G$4:$CL$35,89-$AM59,FALSE),0)</f>
        <v>0</v>
      </c>
      <c r="AI6" s="9">
        <f>IF(AND(AF6=0,AG6=0),0,IF(AF6&lt;AG6,((AG6-AF6)*24)-AH6,(((1-AF6)+AG6)*24)-AH6))</f>
        <v>0</v>
      </c>
      <c r="AJ6" s="9">
        <f>IF($M$1=AL28,IF(AND(AG6=0,B6=0),24,IF(AG6=0,12+($B$6*24),IF(AG6&lt;$B$6,(($B$6-AG6)*24),IF($B$6=0,(1-AG6+1)*24,((1-AG6)+$B$6)*24)))),IF(AND(AG6=0,B7=0),24,IF(AG6=0,12+(B7*24),IF(AG6&lt;B7,((B7-AG6)*24),IF(B7=0,(1-AG6+1)*24,((1-AG6)+B7)*24)))))</f>
        <v>24</v>
      </c>
      <c r="AK6" s="9">
        <f t="shared" ref="AK6:AK17" si="1">E6+J6+O6+T6+Y6+AD6+AI6</f>
        <v>0</v>
      </c>
      <c r="AL6" s="92">
        <f>AJ6</f>
        <v>24</v>
      </c>
      <c r="AM6" s="10">
        <f>AK6</f>
        <v>0</v>
      </c>
    </row>
    <row r="7" spans="1:39" ht="13" x14ac:dyDescent="0.25">
      <c r="A7" s="7">
        <f>IF($M$1&gt;=2,2,0)</f>
        <v>2</v>
      </c>
      <c r="B7" s="77">
        <f>IFERROR(VLOOKUP(Vaktplan!$A$53,Vaktplan!$H$4:$CL$35,87-AH60,FALSE),0)</f>
        <v>0</v>
      </c>
      <c r="C7" s="77">
        <f>IFERROR(VLOOKUP(Vaktplan!$A$53,Vaktplan!$H$4:$CL$35,87-AG60,FALSE),0)</f>
        <v>0</v>
      </c>
      <c r="D7" s="9">
        <f>IFERROR(VLOOKUP(Vaktplan!$A$53,Vaktplan!$H$4:$CL$35,89-AG60,FALSE),0)</f>
        <v>0</v>
      </c>
      <c r="E7" s="9">
        <f>IF(AND(B7=0,C7=0),0,IF(B7&lt;C7,((C7-B7)*24)-D7,(((1-B7)+C7)*24)-D7))</f>
        <v>0</v>
      </c>
      <c r="F7" s="9">
        <f t="shared" ref="F7:F17" si="2">IF(AND(C7=0,G7=0),24,IF(C7=0,12+(G7*24),IF(C7&lt;G7,((G7-C7)*24),IF(G7=0,(1-C7+0.5)*24,((1-C7)+G7)*24))))</f>
        <v>24</v>
      </c>
      <c r="G7" s="77">
        <f>IFERROR(VLOOKUP(Vaktplan!$A$53,Vaktplan!$I$4:$CL$35,86-AH60,FALSE),0)</f>
        <v>0</v>
      </c>
      <c r="H7" s="77">
        <f>IFERROR(VLOOKUP(Vaktplan!$A$53,Vaktplan!$I$4:$CL$35,86-AG60,FALSE),0)</f>
        <v>0</v>
      </c>
      <c r="I7" s="9">
        <f>IFERROR(VLOOKUP(Vaktplan!$A$53,Vaktplan!$I$4:$CL$35,89-$AH60,FALSE),0)</f>
        <v>0</v>
      </c>
      <c r="J7" s="9">
        <f t="shared" ref="J7:J17" si="3">IF(AND(G7=0,H7=0),0,IF(G7&lt;H7,((H7-G7)*24)-I7,(((1-G7)+H7)*24)-I7))</f>
        <v>0</v>
      </c>
      <c r="K7" s="9">
        <f t="shared" ref="K7:K17" si="4">IF(AND(H7=0,L7=0),24,IF(H7=0,12+(L7*24),IF(H7&lt;L7,((L7-H7)*24),IF(L7=0,(1-H7+0.5)*24,((1-H7)+L7)*24))))</f>
        <v>24</v>
      </c>
      <c r="L7" s="77">
        <f>IFERROR(VLOOKUP(Vaktplan!$A$53,Vaktplan!$J$4:$CL$35,86-AI60,FALSE),0)</f>
        <v>0</v>
      </c>
      <c r="M7" s="77">
        <f>IFERROR(VLOOKUP(Vaktplan!$A$53,Vaktplan!$J$4:$CL$35,86-AH60,FALSE),0)</f>
        <v>0</v>
      </c>
      <c r="N7" s="9">
        <f>IFERROR(VLOOKUP(Vaktplan!$A$53,Vaktplan!$J$4:$CL$35,89-$AI60,FALSE),0)</f>
        <v>0</v>
      </c>
      <c r="O7" s="9">
        <f t="shared" ref="O7:O17" si="5">IF(AND(L7=0,M7=0),0,IF(L7&lt;M7,((M7-L7)*24)-N7,(((1-L7)+M7)*24)-N7))</f>
        <v>0</v>
      </c>
      <c r="P7" s="9">
        <f t="shared" ref="P7:P17" si="6">IF(AND(M7=0,Q7=0),24,IF(M7=0,12+(Q7*24),IF(M7&lt;Q7,((Q7-M7)*24),IF(Q7=0,(1-M7+0.5)*24,((1-M7)+Q7)*24))))</f>
        <v>24</v>
      </c>
      <c r="Q7" s="77">
        <f>IFERROR(VLOOKUP(Vaktplan!$A$53,Vaktplan!$K$4:$CL$35,86-AJ60,FALSE),0)</f>
        <v>0</v>
      </c>
      <c r="R7" s="77">
        <f>IFERROR(VLOOKUP(Vaktplan!$A$53,Vaktplan!$K$4:$CL$35,86-AI60,FALSE),0)</f>
        <v>0</v>
      </c>
      <c r="S7" s="9">
        <f>IFERROR(VLOOKUP(Vaktplan!$A$53,Vaktplan!$K$4:$CL$35,89-$AJ60,FALSE),0)</f>
        <v>0</v>
      </c>
      <c r="T7" s="9">
        <f t="shared" si="0"/>
        <v>0</v>
      </c>
      <c r="U7" s="9">
        <f t="shared" ref="U7:U17" si="7">IF(AND(R7=0,V7=0),24,IF(R7=0,12+(V7*24),IF(R7&lt;V7,((V7-R7)*24),IF(V7=0,(1-R7+0.5)*24,((1-R7)+V7)*24))))</f>
        <v>24</v>
      </c>
      <c r="V7" s="77">
        <f>IFERROR(VLOOKUP(Vaktplan!$A$53,Vaktplan!$L$4:$CL$35,86-AK60,FALSE),0)</f>
        <v>0</v>
      </c>
      <c r="W7" s="77">
        <f>IFERROR(VLOOKUP(Vaktplan!$A$53,Vaktplan!$L$4:$CL$35,86-AJ60,FALSE),0)</f>
        <v>0</v>
      </c>
      <c r="X7" s="9">
        <f>IFERROR(VLOOKUP(Vaktplan!$A$53,Vaktplan!$L$4:$CL$35,89-$AK60,FALSE),0)</f>
        <v>0</v>
      </c>
      <c r="Y7" s="9">
        <f t="shared" ref="Y7:Y13" si="8">IF(AND(V7=0,W7=0),0,IF(V7&lt;W7,((W7-V7)*24)-X7,(((1-V7)+W7)*24)-X7))</f>
        <v>0</v>
      </c>
      <c r="Z7" s="9">
        <f t="shared" ref="Z7:Z17" si="9">IF(AND(W7=0,AA7=0),24,IF(W7=0,12+(AA7*24),IF(W7&lt;AA7,((AA7-W7)*24),IF(AA7=0,(1-W7+0.5)*24,((1-W7)+AA7)*24))))</f>
        <v>24</v>
      </c>
      <c r="AA7" s="77">
        <f>IFERROR(VLOOKUP(Vaktplan!$A$53,Vaktplan!$M$4:$CL$35,86-AL60,FALSE),0)</f>
        <v>0</v>
      </c>
      <c r="AB7" s="77">
        <f>IFERROR(VLOOKUP(Vaktplan!$A$53,Vaktplan!$M$4:$CL$35,86-AK60,FALSE),0)</f>
        <v>0</v>
      </c>
      <c r="AC7" s="9">
        <f>IFERROR(VLOOKUP(Vaktplan!$A$53,Vaktplan!$M$4:$CL$35,89-$AL60,FALSE),0)</f>
        <v>0</v>
      </c>
      <c r="AD7" s="9">
        <f t="shared" ref="AD7:AD13" si="10">IF(AND(AA7=0,AB7=0),0,IF(AA7&lt;AB7,((AB7-AA7)*24)-AC7,(((1-AA7)+AB7)*24)-AC7))</f>
        <v>0</v>
      </c>
      <c r="AE7" s="9">
        <f t="shared" ref="AE7:AE17" si="11">IF(AND(AB7=0,AF7=0),24,IF(AB7=0,12+(AF7*24),IF(AB7&lt;AF7,((AF7-AB7)*24),IF(AF7=0,(1-AB7+0.5)*24,((1-AB7)+AF7)*24))))</f>
        <v>24</v>
      </c>
      <c r="AF7" s="77">
        <f>IFERROR(VLOOKUP(Vaktplan!$A$53,Vaktplan!$N$4:$CL$35,86-AM60,FALSE),0)</f>
        <v>0</v>
      </c>
      <c r="AG7" s="77">
        <f>IFERROR(VLOOKUP(Vaktplan!$A$53,Vaktplan!$N$4:$CL$35,86-AL60,FALSE),0)</f>
        <v>0</v>
      </c>
      <c r="AH7" s="9">
        <f>IFERROR(VLOOKUP(Vaktplan!$A$53,Vaktplan!$N$4:$CL$35,89-$AM60,FALSE),0)</f>
        <v>0</v>
      </c>
      <c r="AI7" s="9">
        <f t="shared" ref="AI7:AI13" si="12">IF(AND(AF7=0,AG7=0),0,IF(AF7&lt;AG7,((AG7-AF7)*24)-AH7,(((1-AF7)+AG7)*24)-AH7))</f>
        <v>0</v>
      </c>
      <c r="AJ7" s="9">
        <f t="shared" ref="AJ7:AJ17" si="13">IF($M$1=AL29,IF(AND(AG7=0,B7=0),24,IF(AG7=0,12+($B$6*24),IF(AG7&lt;$B$6,(($B$6-AG7)*24),IF($B$6=0,(1-AG7+1)*24,((1-AG7)+$B$6)*24)))),IF(AND(AG7=0,B8=0),24,IF(AG7=0,12+(B8*24),IF(AG7&lt;B8,((B8-AG7)*24),IF(B8=0,(1-AG7+1)*24,((1-AG7)+B8)*24)))))</f>
        <v>24</v>
      </c>
      <c r="AK7" s="9">
        <f t="shared" si="1"/>
        <v>0</v>
      </c>
      <c r="AL7" s="92">
        <f t="shared" ref="AL7:AL13" si="14">AJ7</f>
        <v>24</v>
      </c>
      <c r="AM7" s="10">
        <f t="shared" ref="AM7:AM13" si="15">AK7</f>
        <v>0</v>
      </c>
    </row>
    <row r="8" spans="1:39" ht="13" x14ac:dyDescent="0.25">
      <c r="A8" s="7">
        <f>IF($M$1&gt;=3,3,0)</f>
        <v>3</v>
      </c>
      <c r="B8" s="77">
        <f>IFERROR(VLOOKUP(Vaktplan!$A$53,Vaktplan!$O$4:$CL$35,87-AH61,FALSE),0)</f>
        <v>0</v>
      </c>
      <c r="C8" s="77">
        <f>IFERROR(VLOOKUP(Vaktplan!$A$53,Vaktplan!$O$4:$CL$35,87-AG61,FALSE),0)</f>
        <v>0</v>
      </c>
      <c r="D8" s="9">
        <f>IFERROR(VLOOKUP(Vaktplan!$A$53,Vaktplan!$O$4:$CL$35,89-AG61,FALSE),0)</f>
        <v>0</v>
      </c>
      <c r="E8" s="9">
        <f t="shared" ref="E8:E17" si="16">IF(AND(B8=0,C8=0),0,IF(B8&lt;C8,((C8-B8)*24)-D8,(((1-B8)+C8)*24)-D8))</f>
        <v>0</v>
      </c>
      <c r="F8" s="9">
        <f t="shared" si="2"/>
        <v>24</v>
      </c>
      <c r="G8" s="77">
        <f>IFERROR(VLOOKUP(Vaktplan!$A$53,Vaktplan!$P$4:$CL$35,86-AH61,FALSE),0)</f>
        <v>0</v>
      </c>
      <c r="H8" s="77">
        <f>IFERROR(VLOOKUP(Vaktplan!$A$53,Vaktplan!$P$4:$CL$35,86-AG61,FALSE),0)</f>
        <v>0</v>
      </c>
      <c r="I8" s="9">
        <f>IFERROR(VLOOKUP(Vaktplan!$A$53,Vaktplan!$P$4:$CL$35,89-$AH61,FALSE),0)</f>
        <v>0</v>
      </c>
      <c r="J8" s="9">
        <f>IF(AND(G8=0,H8=0),0,IF(G8&lt;H8,((H8-G8)*24)-I8,(((1-G8)+H8)*24)-I8))</f>
        <v>0</v>
      </c>
      <c r="K8" s="9">
        <f t="shared" si="4"/>
        <v>24</v>
      </c>
      <c r="L8" s="77">
        <f>IFERROR(VLOOKUP(Vaktplan!$A$53,Vaktplan!$Q$4:$CL$35,86-AI61,FALSE),0)</f>
        <v>0</v>
      </c>
      <c r="M8" s="77">
        <f>IFERROR(VLOOKUP(Vaktplan!$A$53,Vaktplan!$Q$4:$CL$35,86-AH61,FALSE),0)</f>
        <v>0</v>
      </c>
      <c r="N8" s="9">
        <f>IFERROR(VLOOKUP(Vaktplan!$A$53,Vaktplan!$Q$4:$CL$35,89-$AI61,FALSE),0)</f>
        <v>0</v>
      </c>
      <c r="O8" s="9">
        <f t="shared" si="5"/>
        <v>0</v>
      </c>
      <c r="P8" s="9">
        <f t="shared" si="6"/>
        <v>24</v>
      </c>
      <c r="Q8" s="77">
        <f>IFERROR(VLOOKUP(Vaktplan!$A$53,Vaktplan!$R$4:$CL$35,86-AJ61,FALSE),0)</f>
        <v>0</v>
      </c>
      <c r="R8" s="77">
        <f>IFERROR(VLOOKUP(Vaktplan!$A$53,Vaktplan!$R$4:$CL$35,86-AI61,FALSE),0)</f>
        <v>0</v>
      </c>
      <c r="S8" s="9">
        <f>IFERROR(VLOOKUP(Vaktplan!$A$53,Vaktplan!$R$4:$CL$35,89-$AJ61,FALSE),0)</f>
        <v>0</v>
      </c>
      <c r="T8" s="9">
        <f t="shared" si="0"/>
        <v>0</v>
      </c>
      <c r="U8" s="9">
        <f t="shared" si="7"/>
        <v>24</v>
      </c>
      <c r="V8" s="77">
        <f>IFERROR(VLOOKUP(Vaktplan!$A$53,Vaktplan!$S$4:$CL$35,86-AK61,FALSE),0)</f>
        <v>0</v>
      </c>
      <c r="W8" s="77">
        <f>IFERROR(VLOOKUP(Vaktplan!$A$53,Vaktplan!$S$4:$CL$35,86-AJ61,FALSE),0)</f>
        <v>0</v>
      </c>
      <c r="X8" s="9">
        <f>IFERROR(VLOOKUP(Vaktplan!$A$53,Vaktplan!$S$4:$CL$35,89-$AK61,FALSE),0)</f>
        <v>0</v>
      </c>
      <c r="Y8" s="9">
        <f t="shared" si="8"/>
        <v>0</v>
      </c>
      <c r="Z8" s="9">
        <f t="shared" si="9"/>
        <v>24</v>
      </c>
      <c r="AA8" s="77">
        <f>IFERROR(VLOOKUP(Vaktplan!$A$53,Vaktplan!$T$4:$CL$35,86-AL61,FALSE),0)</f>
        <v>0</v>
      </c>
      <c r="AB8" s="77">
        <f>IFERROR(VLOOKUP(Vaktplan!$A$53,Vaktplan!$T$4:$CL$35,86-AK61,FALSE),0)</f>
        <v>0</v>
      </c>
      <c r="AC8" s="9">
        <f>IFERROR(VLOOKUP(Vaktplan!$A$53,Vaktplan!$T$4:$CL$35,89-$AL61,FALSE),0)</f>
        <v>0</v>
      </c>
      <c r="AD8" s="9">
        <f t="shared" si="10"/>
        <v>0</v>
      </c>
      <c r="AE8" s="9">
        <f t="shared" si="11"/>
        <v>24</v>
      </c>
      <c r="AF8" s="77">
        <f>IFERROR(VLOOKUP(Vaktplan!$A$53,Vaktplan!$U$4:$CL$35,86-AM61,FALSE),0)</f>
        <v>0</v>
      </c>
      <c r="AG8" s="77">
        <f>IFERROR(VLOOKUP(Vaktplan!$A$53,Vaktplan!$U$4:$CL$35,86-AL61,FALSE),0)</f>
        <v>0</v>
      </c>
      <c r="AH8" s="9">
        <f>IFERROR(VLOOKUP(Vaktplan!$A$53,Vaktplan!$U$4:$CL$35,89-$AM61,FALSE),0)</f>
        <v>0</v>
      </c>
      <c r="AI8" s="9">
        <f t="shared" si="12"/>
        <v>0</v>
      </c>
      <c r="AJ8" s="9">
        <f t="shared" si="13"/>
        <v>24</v>
      </c>
      <c r="AK8" s="9">
        <f t="shared" si="1"/>
        <v>0</v>
      </c>
      <c r="AL8" s="92">
        <f t="shared" si="14"/>
        <v>24</v>
      </c>
      <c r="AM8" s="10">
        <f t="shared" si="15"/>
        <v>0</v>
      </c>
    </row>
    <row r="9" spans="1:39" ht="13" x14ac:dyDescent="0.25">
      <c r="A9" s="7">
        <f>IF($M$1&gt;=4,4,0)</f>
        <v>4</v>
      </c>
      <c r="B9" s="77">
        <f>IFERROR(VLOOKUP(Vaktplan!$A$53,Vaktplan!$V$4:$CL$35,87-AH62,FALSE),0)</f>
        <v>0</v>
      </c>
      <c r="C9" s="77">
        <f>IFERROR(VLOOKUP(Vaktplan!$A$53,Vaktplan!$V$4:$CL$35,87-AG62,FALSE),0)</f>
        <v>0</v>
      </c>
      <c r="D9" s="9">
        <f>IFERROR(VLOOKUP(Vaktplan!$A$53,Vaktplan!$V$4:$CL$35,89-AG62,FALSE),0)</f>
        <v>0</v>
      </c>
      <c r="E9" s="9">
        <f t="shared" si="16"/>
        <v>0</v>
      </c>
      <c r="F9" s="9">
        <f t="shared" si="2"/>
        <v>24</v>
      </c>
      <c r="G9" s="77">
        <f>IFERROR(VLOOKUP(Vaktplan!$A$53,Vaktplan!$W$4:$CL$35,86-AH62,FALSE),0)</f>
        <v>0</v>
      </c>
      <c r="H9" s="77">
        <f>IFERROR(VLOOKUP(Vaktplan!$A$53,Vaktplan!$W$4:$CL$35,86-AG62,FALSE),0)</f>
        <v>0</v>
      </c>
      <c r="I9" s="9">
        <f>IFERROR(VLOOKUP(Vaktplan!$A$53,Vaktplan!$W$4:$CL$35,89-$AH62,FALSE),0)</f>
        <v>0</v>
      </c>
      <c r="J9" s="9">
        <f t="shared" si="3"/>
        <v>0</v>
      </c>
      <c r="K9" s="9">
        <f t="shared" si="4"/>
        <v>24</v>
      </c>
      <c r="L9" s="77">
        <f>IFERROR(VLOOKUP(Vaktplan!$A$53,Vaktplan!$X$4:$CL$35,86-AI62,FALSE),0)</f>
        <v>0</v>
      </c>
      <c r="M9" s="77">
        <f>IFERROR(VLOOKUP(Vaktplan!$A$53,Vaktplan!$X$4:$CL$35,86-AH62,FALSE),0)</f>
        <v>0</v>
      </c>
      <c r="N9" s="9">
        <f>IFERROR(VLOOKUP(Vaktplan!$A$53,Vaktplan!$X$4:$CL$35,89-$AI62,FALSE),0)</f>
        <v>0</v>
      </c>
      <c r="O9" s="9">
        <f t="shared" si="5"/>
        <v>0</v>
      </c>
      <c r="P9" s="9">
        <f t="shared" si="6"/>
        <v>24</v>
      </c>
      <c r="Q9" s="77">
        <f>IFERROR(VLOOKUP(Vaktplan!$A$53,Vaktplan!$Y$4:$CL$35,86-AJ62,FALSE),0)</f>
        <v>0</v>
      </c>
      <c r="R9" s="77">
        <f>IFERROR(VLOOKUP(Vaktplan!$A$53,Vaktplan!$Y$4:$CL$35,86-AI62,FALSE),0)</f>
        <v>0</v>
      </c>
      <c r="S9" s="9">
        <f>IFERROR(VLOOKUP(Vaktplan!$A$53,Vaktplan!$Y$4:$CL$35,89-$AJ62,FALSE),0)</f>
        <v>0</v>
      </c>
      <c r="T9" s="9">
        <f t="shared" si="0"/>
        <v>0</v>
      </c>
      <c r="U9" s="9">
        <f t="shared" si="7"/>
        <v>24</v>
      </c>
      <c r="V9" s="77">
        <f>IFERROR(VLOOKUP(Vaktplan!$A$53,Vaktplan!$Z$4:$CL$35,86-AK62,FALSE),0)</f>
        <v>0</v>
      </c>
      <c r="W9" s="77">
        <f>IFERROR(VLOOKUP(Vaktplan!$A$53,Vaktplan!$Z$4:$CL$35,86-AJ62,FALSE),0)</f>
        <v>0</v>
      </c>
      <c r="X9" s="9">
        <f>IFERROR(VLOOKUP(Vaktplan!$A$53,Vaktplan!$Z$4:$CL$35,89-$AK62,FALSE),0)</f>
        <v>0</v>
      </c>
      <c r="Y9" s="9">
        <f t="shared" si="8"/>
        <v>0</v>
      </c>
      <c r="Z9" s="9">
        <f t="shared" si="9"/>
        <v>24</v>
      </c>
      <c r="AA9" s="77">
        <f>IFERROR(VLOOKUP(Vaktplan!$A$53,Vaktplan!$AA$4:$CL$35,86-AL62,FALSE),0)</f>
        <v>0</v>
      </c>
      <c r="AB9" s="77">
        <f>IFERROR(VLOOKUP(Vaktplan!$A$53,Vaktplan!$AA$4:$CL$35,86-AK62,FALSE),0)</f>
        <v>0</v>
      </c>
      <c r="AC9" s="9">
        <f>IFERROR(VLOOKUP(Vaktplan!$A$53,Vaktplan!$AA$4:$CL$35,89-$AL62,FALSE),0)</f>
        <v>0</v>
      </c>
      <c r="AD9" s="9">
        <f t="shared" si="10"/>
        <v>0</v>
      </c>
      <c r="AE9" s="9">
        <f t="shared" si="11"/>
        <v>24</v>
      </c>
      <c r="AF9" s="77">
        <f>IFERROR(VLOOKUP(Vaktplan!$A$53,Vaktplan!$AB$4:$CL$35,86-AM62,FALSE),0)</f>
        <v>0</v>
      </c>
      <c r="AG9" s="77">
        <f>IFERROR(VLOOKUP(Vaktplan!$A$53,Vaktplan!$AB$4:$CL$35,86-AL62,FALSE),0)</f>
        <v>0</v>
      </c>
      <c r="AH9" s="9">
        <f>IFERROR(VLOOKUP(Vaktplan!$A$53,Vaktplan!$AB$4:$CL$35,89-$AM62,FALSE),0)</f>
        <v>0</v>
      </c>
      <c r="AI9" s="9">
        <f t="shared" si="12"/>
        <v>0</v>
      </c>
      <c r="AJ9" s="9">
        <f t="shared" si="13"/>
        <v>24</v>
      </c>
      <c r="AK9" s="9">
        <f t="shared" si="1"/>
        <v>0</v>
      </c>
      <c r="AL9" s="92">
        <f t="shared" si="14"/>
        <v>24</v>
      </c>
      <c r="AM9" s="10">
        <f t="shared" si="15"/>
        <v>0</v>
      </c>
    </row>
    <row r="10" spans="1:39" ht="13" x14ac:dyDescent="0.25">
      <c r="A10" s="7">
        <f>IF($M$1&gt;=5,5,0)</f>
        <v>5</v>
      </c>
      <c r="B10" s="77">
        <f>IFERROR(VLOOKUP(Vaktplan!$A$53,Vaktplan!$AC$4:$CL$35,87-AH63,FALSE),0)</f>
        <v>0</v>
      </c>
      <c r="C10" s="77">
        <f>IFERROR(VLOOKUP(Vaktplan!$A$53,Vaktplan!$AC$4:$CL$35,87-AG63,FALSE),0)</f>
        <v>0</v>
      </c>
      <c r="D10" s="9">
        <f>IFERROR(VLOOKUP(Vaktplan!$A$53,Vaktplan!$AC$4:$CL$35,89-AG63,FALSE),0)</f>
        <v>0</v>
      </c>
      <c r="E10" s="9">
        <f t="shared" si="16"/>
        <v>0</v>
      </c>
      <c r="F10" s="9">
        <f t="shared" si="2"/>
        <v>24</v>
      </c>
      <c r="G10" s="77">
        <f>IFERROR(VLOOKUP(Vaktplan!$A$53,Vaktplan!$AD$4:$CL$35,86-AH63,FALSE),0)</f>
        <v>0</v>
      </c>
      <c r="H10" s="77">
        <f>IFERROR(VLOOKUP(Vaktplan!$A$53,Vaktplan!$AD$4:$CL$35,86-AG63,FALSE),0)</f>
        <v>0</v>
      </c>
      <c r="I10" s="9">
        <f>IFERROR(VLOOKUP(Vaktplan!$A$53,Vaktplan!$AD$4:$CL$35,89-$AH63,FALSE),0)</f>
        <v>0</v>
      </c>
      <c r="J10" s="9">
        <f t="shared" si="3"/>
        <v>0</v>
      </c>
      <c r="K10" s="9">
        <f t="shared" si="4"/>
        <v>24</v>
      </c>
      <c r="L10" s="77">
        <f>IFERROR(VLOOKUP(Vaktplan!$A$53,Vaktplan!$AE$4:$CL$35,86-AI63,FALSE),0)</f>
        <v>0</v>
      </c>
      <c r="M10" s="77">
        <f>IFERROR(VLOOKUP(Vaktplan!$A$53,Vaktplan!$AE$4:$CL$35,86-AH63,FALSE),0)</f>
        <v>0</v>
      </c>
      <c r="N10" s="9">
        <f>IFERROR(VLOOKUP(Vaktplan!$A$53,Vaktplan!$AE$4:$CL$35,89-$AI63,FALSE),0)</f>
        <v>0</v>
      </c>
      <c r="O10" s="9">
        <f t="shared" si="5"/>
        <v>0</v>
      </c>
      <c r="P10" s="9">
        <f t="shared" si="6"/>
        <v>24</v>
      </c>
      <c r="Q10" s="77">
        <f>IFERROR(VLOOKUP(Vaktplan!$A$53,Vaktplan!$AF$4:$CL$35,86-AJ63,FALSE),0)</f>
        <v>0</v>
      </c>
      <c r="R10" s="77">
        <f>IFERROR(VLOOKUP(Vaktplan!$A$53,Vaktplan!$AF$4:$CL$35,86-AI63,FALSE),0)</f>
        <v>0</v>
      </c>
      <c r="S10" s="9">
        <f>IFERROR(VLOOKUP(Vaktplan!$A$53,Vaktplan!$AF$4:$CL$35,89-$AJ63,FALSE),0)</f>
        <v>0</v>
      </c>
      <c r="T10" s="9">
        <f t="shared" si="0"/>
        <v>0</v>
      </c>
      <c r="U10" s="9">
        <f t="shared" si="7"/>
        <v>24</v>
      </c>
      <c r="V10" s="77">
        <f>IFERROR(VLOOKUP(Vaktplan!$A$53,Vaktplan!$AG$4:$CL$35,86-AK63,FALSE),0)</f>
        <v>0</v>
      </c>
      <c r="W10" s="77">
        <f>IFERROR(VLOOKUP(Vaktplan!$A$53,Vaktplan!$AG$4:$CL$35,86-AJ63,FALSE),0)</f>
        <v>0</v>
      </c>
      <c r="X10" s="9">
        <f>IFERROR(VLOOKUP(Vaktplan!$A$53,Vaktplan!$AG$4:$CL$35,89-$AK63,FALSE),0)</f>
        <v>0</v>
      </c>
      <c r="Y10" s="9">
        <f t="shared" si="8"/>
        <v>0</v>
      </c>
      <c r="Z10" s="9">
        <f t="shared" si="9"/>
        <v>24</v>
      </c>
      <c r="AA10" s="77">
        <f>IFERROR(VLOOKUP(Vaktplan!$A$53,Vaktplan!$AH$4:$CL$35,86-AL63,FALSE),0)</f>
        <v>0</v>
      </c>
      <c r="AB10" s="77">
        <f>IFERROR(VLOOKUP(Vaktplan!$A$53,Vaktplan!$AH$4:$CL$35,86-AK63,FALSE),0)</f>
        <v>0</v>
      </c>
      <c r="AC10" s="9">
        <f>IFERROR(VLOOKUP(Vaktplan!$A$53,Vaktplan!$AH$4:$CL$35,89-$AL63,FALSE),0)</f>
        <v>0</v>
      </c>
      <c r="AD10" s="9">
        <f t="shared" si="10"/>
        <v>0</v>
      </c>
      <c r="AE10" s="9">
        <f t="shared" si="11"/>
        <v>24</v>
      </c>
      <c r="AF10" s="77">
        <f>IFERROR(VLOOKUP(Vaktplan!$A$53,Vaktplan!$AI$4:$CL$35,86-AM63,FALSE),0)</f>
        <v>0</v>
      </c>
      <c r="AG10" s="77">
        <f>IFERROR(VLOOKUP(Vaktplan!$A$53,Vaktplan!$AI$4:$CL$35,86-AL63,FALSE),0)</f>
        <v>0</v>
      </c>
      <c r="AH10" s="9">
        <f>IFERROR(VLOOKUP(Vaktplan!$A$53,Vaktplan!$AI$4:$CL$35,89-$AM63,FALSE),0)</f>
        <v>0</v>
      </c>
      <c r="AI10" s="9">
        <f t="shared" si="12"/>
        <v>0</v>
      </c>
      <c r="AJ10" s="9">
        <f t="shared" si="13"/>
        <v>24</v>
      </c>
      <c r="AK10" s="9">
        <f t="shared" si="1"/>
        <v>0</v>
      </c>
      <c r="AL10" s="92">
        <f t="shared" si="14"/>
        <v>24</v>
      </c>
      <c r="AM10" s="10">
        <f t="shared" si="15"/>
        <v>0</v>
      </c>
    </row>
    <row r="11" spans="1:39" ht="13" x14ac:dyDescent="0.25">
      <c r="A11" s="7">
        <f>IF($M$1&gt;=6,6,0)</f>
        <v>6</v>
      </c>
      <c r="B11" s="77">
        <f>IFERROR(VLOOKUP(Vaktplan!$A$53,Vaktplan!$AJ$4:$CL$35,87-AH64,FALSE),0)</f>
        <v>0</v>
      </c>
      <c r="C11" s="77">
        <f>IFERROR(VLOOKUP(Vaktplan!$A$53,Vaktplan!$AJ$4:$CL$35,87-AG64,FALSE),0)</f>
        <v>0</v>
      </c>
      <c r="D11" s="9">
        <f>IFERROR(VLOOKUP(Vaktplan!$A$53,Vaktplan!$AJ$4:$CL$35,89-AG64,FALSE),0)</f>
        <v>0</v>
      </c>
      <c r="E11" s="9">
        <f t="shared" si="16"/>
        <v>0</v>
      </c>
      <c r="F11" s="9">
        <f t="shared" si="2"/>
        <v>24</v>
      </c>
      <c r="G11" s="77">
        <f>IFERROR(VLOOKUP(Vaktplan!$A$53,Vaktplan!$AK$4:$CL$35,86-AH64,FALSE),0)</f>
        <v>0</v>
      </c>
      <c r="H11" s="77">
        <f>IFERROR(VLOOKUP(Vaktplan!$A$53,Vaktplan!$AK$4:$CL$35,86-AG64,FALSE),0)</f>
        <v>0</v>
      </c>
      <c r="I11" s="9">
        <f>IFERROR(VLOOKUP(Vaktplan!$A$53,Vaktplan!$AK$4:$CL$35,89-$AH64,FALSE),0)</f>
        <v>0</v>
      </c>
      <c r="J11" s="9">
        <f t="shared" si="3"/>
        <v>0</v>
      </c>
      <c r="K11" s="9">
        <f t="shared" si="4"/>
        <v>24</v>
      </c>
      <c r="L11" s="77">
        <f>IFERROR(VLOOKUP(Vaktplan!$A$53,Vaktplan!$AL$4:$CL$35,86-AI64,FALSE),0)</f>
        <v>0</v>
      </c>
      <c r="M11" s="77">
        <f>IFERROR(VLOOKUP(Vaktplan!$A$53,Vaktplan!$AL$4:$CL$35,86-AH64,FALSE),0)</f>
        <v>0</v>
      </c>
      <c r="N11" s="9">
        <f>IFERROR(VLOOKUP(Vaktplan!$A$53,Vaktplan!$AL$4:$CL$35,89-$AI64,FALSE),0)</f>
        <v>0</v>
      </c>
      <c r="O11" s="9">
        <f t="shared" si="5"/>
        <v>0</v>
      </c>
      <c r="P11" s="9">
        <f t="shared" si="6"/>
        <v>24</v>
      </c>
      <c r="Q11" s="77">
        <f>IFERROR(VLOOKUP(Vaktplan!$A$53,Vaktplan!$AM$4:$CL$35,86-AJ64,FALSE),0)</f>
        <v>0</v>
      </c>
      <c r="R11" s="77">
        <f>IFERROR(VLOOKUP(Vaktplan!$A$53,Vaktplan!$AM$4:$CL$35,86-AI64,FALSE),0)</f>
        <v>0</v>
      </c>
      <c r="S11" s="9">
        <f>IFERROR(VLOOKUP(Vaktplan!$A$53,Vaktplan!$AM$4:$CL$35,89-$AJ64,FALSE),0)</f>
        <v>0</v>
      </c>
      <c r="T11" s="9">
        <f t="shared" si="0"/>
        <v>0</v>
      </c>
      <c r="U11" s="9">
        <f t="shared" si="7"/>
        <v>24</v>
      </c>
      <c r="V11" s="77">
        <f>IFERROR(VLOOKUP(Vaktplan!$A$53,Vaktplan!$AN$4:$CL$35,86-AK64,FALSE),0)</f>
        <v>0</v>
      </c>
      <c r="W11" s="77">
        <f>IFERROR(VLOOKUP(Vaktplan!$A$53,Vaktplan!$AN$4:$CL$35,86-AJ64,FALSE),0)</f>
        <v>0</v>
      </c>
      <c r="X11" s="9">
        <f>IFERROR(VLOOKUP(Vaktplan!$A$53,Vaktplan!$AN$4:$CL$35,89-$AK64,FALSE),0)</f>
        <v>0</v>
      </c>
      <c r="Y11" s="9">
        <f t="shared" si="8"/>
        <v>0</v>
      </c>
      <c r="Z11" s="9">
        <f t="shared" si="9"/>
        <v>24</v>
      </c>
      <c r="AA11" s="77">
        <f>IFERROR(VLOOKUP(Vaktplan!$A$53,Vaktplan!$AO$4:$CL$35,86-AL64,FALSE),0)</f>
        <v>0</v>
      </c>
      <c r="AB11" s="77">
        <f>IFERROR(VLOOKUP(Vaktplan!$A$53,Vaktplan!$AO$4:$CL$35,86-AK64,FALSE),0)</f>
        <v>0</v>
      </c>
      <c r="AC11" s="9">
        <f>IFERROR(VLOOKUP(Vaktplan!$A$53,Vaktplan!$AO$4:$CL$35,89-$AL64,FALSE),0)</f>
        <v>0</v>
      </c>
      <c r="AD11" s="9">
        <f t="shared" si="10"/>
        <v>0</v>
      </c>
      <c r="AE11" s="9">
        <f t="shared" si="11"/>
        <v>24</v>
      </c>
      <c r="AF11" s="77">
        <f>IFERROR(VLOOKUP(Vaktplan!$A$53,Vaktplan!$AP$4:$CL$35,86-AM64,FALSE),0)</f>
        <v>0</v>
      </c>
      <c r="AG11" s="77">
        <f>IFERROR(VLOOKUP(Vaktplan!$A$53,Vaktplan!$AP$4:$CL$35,86-AL64,FALSE),0)</f>
        <v>0</v>
      </c>
      <c r="AH11" s="9">
        <f>IFERROR(VLOOKUP(Vaktplan!$A$53,Vaktplan!$AP$4:$CL$35,89-$AM64,FALSE),0)</f>
        <v>0</v>
      </c>
      <c r="AI11" s="9">
        <f t="shared" si="12"/>
        <v>0</v>
      </c>
      <c r="AJ11" s="9">
        <f t="shared" si="13"/>
        <v>24</v>
      </c>
      <c r="AK11" s="9">
        <f t="shared" si="1"/>
        <v>0</v>
      </c>
      <c r="AL11" s="92">
        <f t="shared" si="14"/>
        <v>24</v>
      </c>
      <c r="AM11" s="10">
        <f t="shared" si="15"/>
        <v>0</v>
      </c>
    </row>
    <row r="12" spans="1:39" ht="13" x14ac:dyDescent="0.25">
      <c r="A12" s="7">
        <f>IF($M$1&gt;=7,7,0)</f>
        <v>7</v>
      </c>
      <c r="B12" s="77">
        <f>IFERROR(VLOOKUP(Vaktplan!$A$53,Vaktplan!$AQ$4:$CL$35,87-AH65,FALSE),0)</f>
        <v>0</v>
      </c>
      <c r="C12" s="77">
        <f>IFERROR(VLOOKUP(Vaktplan!$A$53,Vaktplan!$AQ$4:$CL$35,87-AG65,FALSE),0)</f>
        <v>0</v>
      </c>
      <c r="D12" s="9">
        <f>IFERROR(VLOOKUP(Vaktplan!$A$53,Vaktplan!$AQ$4:$CL$35,89-AG65,FALSE),0)</f>
        <v>0</v>
      </c>
      <c r="E12" s="9">
        <f t="shared" si="16"/>
        <v>0</v>
      </c>
      <c r="F12" s="9">
        <f t="shared" si="2"/>
        <v>24</v>
      </c>
      <c r="G12" s="77">
        <f>IFERROR(VLOOKUP(Vaktplan!$A$53,Vaktplan!$AR$4:$CL$35,86-AH65,FALSE),0)</f>
        <v>0</v>
      </c>
      <c r="H12" s="77">
        <f>IFERROR(VLOOKUP(Vaktplan!$A$53,Vaktplan!$AR$4:$CL$35,86-AG65,FALSE),0)</f>
        <v>0</v>
      </c>
      <c r="I12" s="9">
        <f>IFERROR(VLOOKUP(Vaktplan!$A$53,Vaktplan!$AR$4:$CL$35,89-$AH65,FALSE),0)</f>
        <v>0</v>
      </c>
      <c r="J12" s="9">
        <f t="shared" si="3"/>
        <v>0</v>
      </c>
      <c r="K12" s="9">
        <f t="shared" si="4"/>
        <v>24</v>
      </c>
      <c r="L12" s="77">
        <f>IFERROR(VLOOKUP(Vaktplan!$A$53,Vaktplan!$AS$4:$CL$35,86-AI65,FALSE),0)</f>
        <v>0</v>
      </c>
      <c r="M12" s="77">
        <f>IFERROR(VLOOKUP(Vaktplan!$A$53,Vaktplan!$AS$4:$CL$35,86-AH65,FALSE),0)</f>
        <v>0</v>
      </c>
      <c r="N12" s="9">
        <f>IFERROR(VLOOKUP(Vaktplan!$A$53,Vaktplan!$AS$4:$CL$35,89-$AI65,FALSE),0)</f>
        <v>0</v>
      </c>
      <c r="O12" s="9">
        <f t="shared" si="5"/>
        <v>0</v>
      </c>
      <c r="P12" s="9">
        <f t="shared" si="6"/>
        <v>24</v>
      </c>
      <c r="Q12" s="77">
        <f>IFERROR(VLOOKUP(Vaktplan!$A$53,Vaktplan!$AT$4:$CL$35,86-AJ65,FALSE),0)</f>
        <v>0</v>
      </c>
      <c r="R12" s="77">
        <f>IFERROR(VLOOKUP(Vaktplan!$A$53,Vaktplan!$AT$4:$CL$35,86-AI65,FALSE),0)</f>
        <v>0</v>
      </c>
      <c r="S12" s="9">
        <f>IFERROR(VLOOKUP(Vaktplan!$A$53,Vaktplan!$AT$4:$CL$35,89-$AJ65,FALSE),0)</f>
        <v>0</v>
      </c>
      <c r="T12" s="9">
        <f t="shared" si="0"/>
        <v>0</v>
      </c>
      <c r="U12" s="9">
        <f t="shared" si="7"/>
        <v>24</v>
      </c>
      <c r="V12" s="77">
        <f>IFERROR(VLOOKUP(Vaktplan!$A$53,Vaktplan!$AU$4:$CL$35,86-AK65,FALSE),0)</f>
        <v>0</v>
      </c>
      <c r="W12" s="77">
        <f>IFERROR(VLOOKUP(Vaktplan!$A$53,Vaktplan!$AU$4:$CL$35,86-AJ65,FALSE),0)</f>
        <v>0</v>
      </c>
      <c r="X12" s="9">
        <f>IFERROR(VLOOKUP(Vaktplan!$A$53,Vaktplan!$AU$4:$CL$35,89-$AK65,FALSE),0)</f>
        <v>0</v>
      </c>
      <c r="Y12" s="9">
        <f t="shared" si="8"/>
        <v>0</v>
      </c>
      <c r="Z12" s="9">
        <f t="shared" si="9"/>
        <v>24</v>
      </c>
      <c r="AA12" s="77">
        <f>IFERROR(VLOOKUP(Vaktplan!$A$53,Vaktplan!$AV$4:$CL$35,86-AL65,FALSE),0)</f>
        <v>0</v>
      </c>
      <c r="AB12" s="77">
        <f>IFERROR(VLOOKUP(Vaktplan!$A$53,Vaktplan!$AV$4:$CL$35,86-AK65,FALSE),0)</f>
        <v>0</v>
      </c>
      <c r="AC12" s="9">
        <f>IFERROR(VLOOKUP(Vaktplan!$A$53,Vaktplan!$AV$4:$CL$35,89-$AL65,FALSE),0)</f>
        <v>0</v>
      </c>
      <c r="AD12" s="9">
        <f t="shared" si="10"/>
        <v>0</v>
      </c>
      <c r="AE12" s="9">
        <f t="shared" si="11"/>
        <v>24</v>
      </c>
      <c r="AF12" s="77">
        <f>IFERROR(VLOOKUP(Vaktplan!$A$53,Vaktplan!$AW$4:$CL$35,86-AM65,FALSE),0)</f>
        <v>0</v>
      </c>
      <c r="AG12" s="77">
        <f>IFERROR(VLOOKUP(Vaktplan!$A$53,Vaktplan!$AW$4:$CL$35,86-AL65,FALSE),0)</f>
        <v>0</v>
      </c>
      <c r="AH12" s="9">
        <f>IFERROR(VLOOKUP(Vaktplan!$A$53,Vaktplan!$AW$4:$CL$35,89-$AM65,FALSE),0)</f>
        <v>0</v>
      </c>
      <c r="AI12" s="9">
        <f t="shared" si="12"/>
        <v>0</v>
      </c>
      <c r="AJ12" s="9">
        <f t="shared" si="13"/>
        <v>24</v>
      </c>
      <c r="AK12" s="9">
        <f t="shared" si="1"/>
        <v>0</v>
      </c>
      <c r="AL12" s="92">
        <f t="shared" si="14"/>
        <v>24</v>
      </c>
      <c r="AM12" s="10">
        <f t="shared" si="15"/>
        <v>0</v>
      </c>
    </row>
    <row r="13" spans="1:39" ht="13" x14ac:dyDescent="0.25">
      <c r="A13" s="7">
        <f>IF($M$1&gt;=8,8,0)</f>
        <v>8</v>
      </c>
      <c r="B13" s="77">
        <f>IFERROR(VLOOKUP(Vaktplan!$A$53,Vaktplan!$AX$4:$CL$35,87-AH66,FALSE),0)</f>
        <v>0</v>
      </c>
      <c r="C13" s="77">
        <f>IFERROR(VLOOKUP(Vaktplan!$A$53,Vaktplan!$AX$4:$CL$35,87-AG66,FALSE),0)</f>
        <v>0</v>
      </c>
      <c r="D13" s="9">
        <f>IFERROR(VLOOKUP(Vaktplan!$A$53,Vaktplan!$AX$4:$CL$35,89-AG66,FALSE),0)</f>
        <v>0</v>
      </c>
      <c r="E13" s="9">
        <f t="shared" si="16"/>
        <v>0</v>
      </c>
      <c r="F13" s="9">
        <f t="shared" si="2"/>
        <v>24</v>
      </c>
      <c r="G13" s="77">
        <f>IFERROR(VLOOKUP(Vaktplan!$A$53,Vaktplan!$AY$4:$CL$35,86-AH66,FALSE),0)</f>
        <v>0</v>
      </c>
      <c r="H13" s="77">
        <f>IFERROR(VLOOKUP(Vaktplan!$A$53,Vaktplan!$AY$4:$CL$35,86-AG66,FALSE),0)</f>
        <v>0</v>
      </c>
      <c r="I13" s="9">
        <f>IFERROR(VLOOKUP(Vaktplan!$A$53,Vaktplan!$AY$4:$CL$35,89-$AH66,FALSE),0)</f>
        <v>0</v>
      </c>
      <c r="J13" s="9">
        <f t="shared" si="3"/>
        <v>0</v>
      </c>
      <c r="K13" s="9">
        <f t="shared" si="4"/>
        <v>24</v>
      </c>
      <c r="L13" s="77">
        <f>IFERROR(VLOOKUP(Vaktplan!$A$53,Vaktplan!$AZ$4:$CL$35,86-AI66,FALSE),0)</f>
        <v>0</v>
      </c>
      <c r="M13" s="77">
        <f>IFERROR(VLOOKUP(Vaktplan!$A$53,Vaktplan!$AZ$4:$CL$35,86-AH66,FALSE),0)</f>
        <v>0</v>
      </c>
      <c r="N13" s="9">
        <f>IFERROR(VLOOKUP(Vaktplan!$A$53,Vaktplan!$AZ$4:$CL$35,89-$AI66,FALSE),0)</f>
        <v>0</v>
      </c>
      <c r="O13" s="9">
        <f t="shared" si="5"/>
        <v>0</v>
      </c>
      <c r="P13" s="9">
        <f t="shared" si="6"/>
        <v>24</v>
      </c>
      <c r="Q13" s="77">
        <f>IFERROR(VLOOKUP(Vaktplan!$A$53,Vaktplan!$BA$4:$CL$35,86-AJ66,FALSE),0)</f>
        <v>0</v>
      </c>
      <c r="R13" s="77">
        <f>IFERROR(VLOOKUP(Vaktplan!$A$53,Vaktplan!$BA$4:$CL$35,86-AI66,FALSE),0)</f>
        <v>0</v>
      </c>
      <c r="S13" s="9">
        <f>IFERROR(VLOOKUP(Vaktplan!$A$53,Vaktplan!$BA$4:$CL$35,89-$AJ66,FALSE),0)</f>
        <v>0</v>
      </c>
      <c r="T13" s="9">
        <f t="shared" si="0"/>
        <v>0</v>
      </c>
      <c r="U13" s="9">
        <f t="shared" si="7"/>
        <v>24</v>
      </c>
      <c r="V13" s="77">
        <f>IFERROR(VLOOKUP(Vaktplan!$A$53,Vaktplan!$BB$4:$CL$35,86-AK66,FALSE),0)</f>
        <v>0</v>
      </c>
      <c r="W13" s="77">
        <f>IFERROR(VLOOKUP(Vaktplan!$A$53,Vaktplan!$BB$4:$CL$35,86-AJ66,FALSE),0)</f>
        <v>0</v>
      </c>
      <c r="X13" s="9">
        <f>IFERROR(VLOOKUP(Vaktplan!$A$53,Vaktplan!$BB$4:$CL$35,89-$AK66,FALSE),0)</f>
        <v>0</v>
      </c>
      <c r="Y13" s="9">
        <f t="shared" si="8"/>
        <v>0</v>
      </c>
      <c r="Z13" s="9">
        <f t="shared" si="9"/>
        <v>24</v>
      </c>
      <c r="AA13" s="77">
        <f>IFERROR(VLOOKUP(Vaktplan!$A$53,Vaktplan!$BC$4:$CL$35,86-AL66,FALSE),0)</f>
        <v>0</v>
      </c>
      <c r="AB13" s="77">
        <f>IFERROR(VLOOKUP(Vaktplan!$A$53,Vaktplan!$BC$4:$CL$35,86-AK66,FALSE),0)</f>
        <v>0</v>
      </c>
      <c r="AC13" s="9">
        <f>IFERROR(VLOOKUP(Vaktplan!$A$53,Vaktplan!$BC$4:$CL$35,89-$AL66,FALSE),0)</f>
        <v>0</v>
      </c>
      <c r="AD13" s="9">
        <f t="shared" si="10"/>
        <v>0</v>
      </c>
      <c r="AE13" s="9">
        <f t="shared" si="11"/>
        <v>24</v>
      </c>
      <c r="AF13" s="77">
        <f>IFERROR(VLOOKUP(Vaktplan!$A$53,Vaktplan!$BD$4:$CL$35,86-AM66,FALSE),0)</f>
        <v>0</v>
      </c>
      <c r="AG13" s="77">
        <f>IFERROR(VLOOKUP(Vaktplan!$A$53,Vaktplan!$BD$4:$CL$35,86-AL66,FALSE),0)</f>
        <v>0</v>
      </c>
      <c r="AH13" s="9">
        <f>IFERROR(VLOOKUP(Vaktplan!$A$53,Vaktplan!$BD$4:$CL$35,89-$AM66,FALSE),0)</f>
        <v>0</v>
      </c>
      <c r="AI13" s="9">
        <f t="shared" si="12"/>
        <v>0</v>
      </c>
      <c r="AJ13" s="9">
        <f t="shared" si="13"/>
        <v>24</v>
      </c>
      <c r="AK13" s="9">
        <f t="shared" si="1"/>
        <v>0</v>
      </c>
      <c r="AL13" s="92">
        <f t="shared" si="14"/>
        <v>24</v>
      </c>
      <c r="AM13" s="10">
        <f t="shared" si="15"/>
        <v>0</v>
      </c>
    </row>
    <row r="14" spans="1:39" ht="13" x14ac:dyDescent="0.25">
      <c r="A14" s="7">
        <v>9</v>
      </c>
      <c r="B14" s="77">
        <f>IFERROR(VLOOKUP(Vaktplan!$A$53,Vaktplan!$BE$4:$CL$35,87-AH67,FALSE),0)</f>
        <v>0</v>
      </c>
      <c r="C14" s="77">
        <f>IFERROR(VLOOKUP(Vaktplan!$A$53,Vaktplan!$BE$4:$CL$35,87-AG67,FALSE),0)</f>
        <v>0</v>
      </c>
      <c r="D14" s="9">
        <f>IFERROR(VLOOKUP(Vaktplan!$A$53,Vaktplan!$BE$4:$CL$35,89-AG67,FALSE),0)</f>
        <v>0</v>
      </c>
      <c r="E14" s="9">
        <f t="shared" si="16"/>
        <v>0</v>
      </c>
      <c r="F14" s="9">
        <f t="shared" si="2"/>
        <v>24</v>
      </c>
      <c r="G14" s="77">
        <f>IFERROR(VLOOKUP(Vaktplan!$A$53,Vaktplan!$BF$4:$CL$35,86-AH67,FALSE),0)</f>
        <v>0</v>
      </c>
      <c r="H14" s="77">
        <f>IFERROR(VLOOKUP(Vaktplan!$A$53,Vaktplan!$BF$4:$CL$35,86-AG67,FALSE),0)</f>
        <v>0</v>
      </c>
      <c r="I14" s="9">
        <f>IFERROR(VLOOKUP(Vaktplan!$A$53,Vaktplan!$BF$4:$CL$35,89-$AH67,FALSE),0)</f>
        <v>0</v>
      </c>
      <c r="J14" s="9">
        <f t="shared" si="3"/>
        <v>0</v>
      </c>
      <c r="K14" s="9">
        <f t="shared" si="4"/>
        <v>24</v>
      </c>
      <c r="L14" s="77">
        <f>IFERROR(VLOOKUP(Vaktplan!$A$53,Vaktplan!$BG$4:$CL$35,86-AI67,FALSE),0)</f>
        <v>0</v>
      </c>
      <c r="M14" s="77">
        <f>IFERROR(VLOOKUP(Vaktplan!$A$53,Vaktplan!$BG$4:$CL$35,86-AH67,FALSE),0)</f>
        <v>0</v>
      </c>
      <c r="N14" s="9">
        <f>IFERROR(VLOOKUP(Vaktplan!$A$53,Vaktplan!$BG$4:$CL$35,89-$AI67,FALSE),0)</f>
        <v>0</v>
      </c>
      <c r="O14" s="9">
        <f t="shared" si="5"/>
        <v>0</v>
      </c>
      <c r="P14" s="9">
        <f t="shared" si="6"/>
        <v>24</v>
      </c>
      <c r="Q14" s="77">
        <f>IFERROR(VLOOKUP(Vaktplan!$A$53,Vaktplan!$BH$4:$CL$35,86-AJ67,FALSE),0)</f>
        <v>0</v>
      </c>
      <c r="R14" s="77">
        <f>IFERROR(VLOOKUP(Vaktplan!$A$53,Vaktplan!$BH$4:$CL$35,86-AI67,FALSE),0)</f>
        <v>0</v>
      </c>
      <c r="S14" s="9">
        <f>IFERROR(VLOOKUP(Vaktplan!$A$53,Vaktplan!$BH$4:$CL$35,89-$AJ67,FALSE),0)</f>
        <v>0</v>
      </c>
      <c r="T14" s="9">
        <f t="shared" si="0"/>
        <v>0</v>
      </c>
      <c r="U14" s="9">
        <f t="shared" si="7"/>
        <v>24</v>
      </c>
      <c r="V14" s="77">
        <f>IFERROR(VLOOKUP(Vaktplan!$A$53,Vaktplan!$BI$4:$CL$35,86-AK67,FALSE),0)</f>
        <v>0</v>
      </c>
      <c r="W14" s="77">
        <f>IFERROR(VLOOKUP(Vaktplan!$A$53,Vaktplan!$BI$4:$CL$35,86-AJ67,FALSE),0)</f>
        <v>0</v>
      </c>
      <c r="X14" s="9">
        <f>IFERROR(VLOOKUP(Vaktplan!$A$53,Vaktplan!$BI$4:$CL$35,89-$AK67,FALSE),0)</f>
        <v>0</v>
      </c>
      <c r="Y14" s="9">
        <f>IF(AND(V14=0,W14=0),0,IF(V14&lt;W14,((W14-V14)*24)-X14,(((1-V14)+W14)*24)-X14))</f>
        <v>0</v>
      </c>
      <c r="Z14" s="9">
        <f t="shared" si="9"/>
        <v>24</v>
      </c>
      <c r="AA14" s="77">
        <f>IFERROR(VLOOKUP(Vaktplan!$A$53,Vaktplan!$BJ$4:$CL$35,86-AL67,FALSE),0)</f>
        <v>0</v>
      </c>
      <c r="AB14" s="77">
        <f>IFERROR(VLOOKUP(Vaktplan!$A$53,Vaktplan!$BJ$4:$CL$35,86-AK67,FALSE),0)</f>
        <v>0</v>
      </c>
      <c r="AC14" s="9">
        <f>IFERROR(VLOOKUP(Vaktplan!$A$53,Vaktplan!$BJ$4:$CL$35,89-$AL67,FALSE),0)</f>
        <v>0</v>
      </c>
      <c r="AD14" s="9">
        <f>IF(AND(AA14=0,AB14=0),0,IF(AA14&lt;AB14,((AB14-AA14)*24)-AC14,(((1-AA14)+AB14)*24)-AC14))</f>
        <v>0</v>
      </c>
      <c r="AE14" s="9">
        <f t="shared" si="11"/>
        <v>24</v>
      </c>
      <c r="AF14" s="77">
        <f>IFERROR(VLOOKUP(Vaktplan!$A$53,Vaktplan!$BK$4:$CL$35,86-AM67,FALSE),0)</f>
        <v>0</v>
      </c>
      <c r="AG14" s="77">
        <f>IFERROR(VLOOKUP(Vaktplan!$A$53,Vaktplan!$BK$4:$CL$35,86-AL67,FALSE),0)</f>
        <v>0</v>
      </c>
      <c r="AH14" s="9">
        <f>IFERROR(VLOOKUP(Vaktplan!$A$53,Vaktplan!$BK$4:$CL$35,89-$AM67,FALSE),0)</f>
        <v>0</v>
      </c>
      <c r="AI14" s="9">
        <f>IF(AND(AF14=0,AG14=0),0,IF(AF14&lt;AG14,((AG14-AF14)*24)-AH14,(((1-AF14)+AG14)*24)-AH14))</f>
        <v>0</v>
      </c>
      <c r="AJ14" s="9">
        <f t="shared" si="13"/>
        <v>24</v>
      </c>
      <c r="AK14" s="9">
        <f t="shared" si="1"/>
        <v>0</v>
      </c>
      <c r="AL14" s="92"/>
      <c r="AM14" s="10"/>
    </row>
    <row r="15" spans="1:39" ht="13" x14ac:dyDescent="0.25">
      <c r="A15" s="7">
        <v>10</v>
      </c>
      <c r="B15" s="77">
        <f>IFERROR(VLOOKUP(Vaktplan!$A$53,Vaktplan!$BL$4:$CL$35,87-AH68,FALSE),0)</f>
        <v>0</v>
      </c>
      <c r="C15" s="77">
        <f>IFERROR(VLOOKUP(Vaktplan!$A$53,Vaktplan!$BL$4:$CL$35,87-AG68,FALSE),0)</f>
        <v>0</v>
      </c>
      <c r="D15" s="9">
        <f>IFERROR(VLOOKUP(Vaktplan!$A$53,Vaktplan!$BL$4:$CL$35,89-AG68,FALSE),0)</f>
        <v>0</v>
      </c>
      <c r="E15" s="9">
        <f t="shared" si="16"/>
        <v>0</v>
      </c>
      <c r="F15" s="9">
        <f t="shared" si="2"/>
        <v>24</v>
      </c>
      <c r="G15" s="77">
        <f>IFERROR(VLOOKUP(Vaktplan!$A$53,Vaktplan!$BM$4:$CL$35,86-AH68,FALSE),0)</f>
        <v>0</v>
      </c>
      <c r="H15" s="77">
        <f>IFERROR(VLOOKUP(Vaktplan!$A$53,Vaktplan!$BM$4:$CL$35,86-AG68,FALSE),0)</f>
        <v>0</v>
      </c>
      <c r="I15" s="9">
        <f>IFERROR(VLOOKUP(Vaktplan!$A$53,Vaktplan!$BM$4:$CL$35,89-$AH68,FALSE),0)</f>
        <v>0</v>
      </c>
      <c r="J15" s="9">
        <f t="shared" si="3"/>
        <v>0</v>
      </c>
      <c r="K15" s="9">
        <f t="shared" si="4"/>
        <v>24</v>
      </c>
      <c r="L15" s="77">
        <f>IFERROR(VLOOKUP(Vaktplan!$A$53,Vaktplan!$BN$4:$CL$35,86-AI68,FALSE),0)</f>
        <v>0</v>
      </c>
      <c r="M15" s="77">
        <f>IFERROR(VLOOKUP(Vaktplan!$A$53,Vaktplan!$BN$4:$CL$35,86-AH68,FALSE),0)</f>
        <v>0</v>
      </c>
      <c r="N15" s="9">
        <f>IFERROR(VLOOKUP(Vaktplan!$A$53,Vaktplan!$BN$4:$CL$35,89-$AI68,FALSE),0)</f>
        <v>0</v>
      </c>
      <c r="O15" s="9">
        <f t="shared" si="5"/>
        <v>0</v>
      </c>
      <c r="P15" s="9">
        <f t="shared" si="6"/>
        <v>24</v>
      </c>
      <c r="Q15" s="77">
        <f>IFERROR(VLOOKUP(Vaktplan!$A$53,Vaktplan!$BO$4:$CL$35,86-AJ68,FALSE),0)</f>
        <v>0</v>
      </c>
      <c r="R15" s="77">
        <f>IFERROR(VLOOKUP(Vaktplan!$A$53,Vaktplan!$BO$4:$CL$35,86-AI68,FALSE),0)</f>
        <v>0</v>
      </c>
      <c r="S15" s="9">
        <f>IFERROR(VLOOKUP(Vaktplan!$A$53,Vaktplan!$BO$4:$CL$35,89-$AJ68,FALSE),0)</f>
        <v>0</v>
      </c>
      <c r="T15" s="9">
        <f t="shared" si="0"/>
        <v>0</v>
      </c>
      <c r="U15" s="9">
        <f t="shared" si="7"/>
        <v>24</v>
      </c>
      <c r="V15" s="77">
        <f>IFERROR(VLOOKUP(Vaktplan!$A$53,Vaktplan!$BP$4:$CL$35,86-AK68,FALSE),0)</f>
        <v>0</v>
      </c>
      <c r="W15" s="77">
        <f>IFERROR(VLOOKUP(Vaktplan!$A$53,Vaktplan!$BP$4:$CL$35,86-AJ68,FALSE),0)</f>
        <v>0</v>
      </c>
      <c r="X15" s="9">
        <f>IFERROR(VLOOKUP(Vaktplan!$A$53,Vaktplan!$BP$4:$CL$35,89-$AK68,FALSE),0)</f>
        <v>0</v>
      </c>
      <c r="Y15" s="9">
        <f>IF(AND(V15=0,W15=0),0,IF(V15&lt;W15,((W15-V15)*24)-X15,(((1-V15)+W15)*24)-X15))</f>
        <v>0</v>
      </c>
      <c r="Z15" s="9">
        <f t="shared" si="9"/>
        <v>24</v>
      </c>
      <c r="AA15" s="77">
        <f>IFERROR(VLOOKUP(Vaktplan!$A$53,Vaktplan!$BQ$4:$CL$35,86-AL68,FALSE),0)</f>
        <v>0</v>
      </c>
      <c r="AB15" s="77">
        <f>IFERROR(VLOOKUP(Vaktplan!$A$53,Vaktplan!$BQ$4:$CL$35,86-AK68,FALSE),0)</f>
        <v>0</v>
      </c>
      <c r="AC15" s="9">
        <f>IFERROR(VLOOKUP(Vaktplan!$A$53,Vaktplan!$BQ$4:$CL$35,89-$AL68,FALSE),0)</f>
        <v>0</v>
      </c>
      <c r="AD15" s="9">
        <f>IF(AND(AA15=0,AB15=0),0,IF(AA15&lt;AB15,((AB15-AA15)*24)-AC15,(((1-AA15)+AB15)*24)-AC15))</f>
        <v>0</v>
      </c>
      <c r="AE15" s="9">
        <f t="shared" si="11"/>
        <v>24</v>
      </c>
      <c r="AF15" s="77">
        <f>IFERROR(VLOOKUP(Vaktplan!$A$53,Vaktplan!$BR$4:$CL$35,86-AM68,FALSE),0)</f>
        <v>0</v>
      </c>
      <c r="AG15" s="77">
        <f>IFERROR(VLOOKUP(Vaktplan!$A$53,Vaktplan!$BR$4:$CL$35,86-AL68,FALSE),0)</f>
        <v>0</v>
      </c>
      <c r="AH15" s="9">
        <f>IFERROR(VLOOKUP(Vaktplan!$A$53,Vaktplan!$BR$4:$CL$35,89-$AM68,FALSE),0)</f>
        <v>0</v>
      </c>
      <c r="AI15" s="9">
        <f>IF(AND(AF15=0,AG15=0),0,IF(AF15&lt;AG15,((AG15-AF15)*24)-AH15,(((1-AF15)+AG15)*24)-AH15))</f>
        <v>0</v>
      </c>
      <c r="AJ15" s="9">
        <f t="shared" si="13"/>
        <v>24</v>
      </c>
      <c r="AK15" s="9">
        <f t="shared" si="1"/>
        <v>0</v>
      </c>
      <c r="AL15" s="92"/>
      <c r="AM15" s="10"/>
    </row>
    <row r="16" spans="1:39" ht="13" x14ac:dyDescent="0.25">
      <c r="A16" s="7">
        <v>11</v>
      </c>
      <c r="B16" s="77">
        <f>IFERROR(VLOOKUP(Vaktplan!$A$53,Vaktplan!$BS$4:$CL$35,87-AH69,FALSE),0)</f>
        <v>0</v>
      </c>
      <c r="C16" s="77">
        <f>IFERROR(VLOOKUP(Vaktplan!$A$53,Vaktplan!$BS$4:$CL$35,87-AG69,FALSE),0)</f>
        <v>0</v>
      </c>
      <c r="D16" s="9">
        <f>IFERROR(VLOOKUP(Vaktplan!$A$53,Vaktplan!$BS$4:$CL$35,89-AG69,FALSE),0)</f>
        <v>0</v>
      </c>
      <c r="E16" s="9">
        <f t="shared" si="16"/>
        <v>0</v>
      </c>
      <c r="F16" s="9">
        <f t="shared" si="2"/>
        <v>24</v>
      </c>
      <c r="G16" s="77">
        <f>IFERROR(VLOOKUP(Vaktplan!$A$53,Vaktplan!$BT$4:$CL$35,86-AH69,FALSE),0)</f>
        <v>0</v>
      </c>
      <c r="H16" s="77">
        <f>IFERROR(VLOOKUP(Vaktplan!$A$53,Vaktplan!$BT$4:$CL$35,86-AG69,FALSE),0)</f>
        <v>0</v>
      </c>
      <c r="I16" s="9">
        <f>IFERROR(VLOOKUP(Vaktplan!$A$53,Vaktplan!$BT$4:$CL$35,89-$AH69,FALSE),0)</f>
        <v>0</v>
      </c>
      <c r="J16" s="9">
        <f t="shared" si="3"/>
        <v>0</v>
      </c>
      <c r="K16" s="9">
        <f t="shared" si="4"/>
        <v>24</v>
      </c>
      <c r="L16" s="77">
        <f>IFERROR(VLOOKUP(Vaktplan!$A$53,Vaktplan!$BU$4:$CL$35,86-AI69,FALSE),0)</f>
        <v>0</v>
      </c>
      <c r="M16" s="77">
        <f>IFERROR(VLOOKUP(Vaktplan!$A$53,Vaktplan!$BU$4:$CL$35,86-AH69,FALSE),0)</f>
        <v>0</v>
      </c>
      <c r="N16" s="9">
        <f>IFERROR(VLOOKUP(Vaktplan!$A$53,Vaktplan!$BU$4:$CL$35,89-$AI69,FALSE),0)</f>
        <v>0</v>
      </c>
      <c r="O16" s="9">
        <f t="shared" si="5"/>
        <v>0</v>
      </c>
      <c r="P16" s="9">
        <f t="shared" si="6"/>
        <v>24</v>
      </c>
      <c r="Q16" s="77">
        <f>IFERROR(VLOOKUP(Vaktplan!$A$53,Vaktplan!$BV$4:$CL$35,86-AJ69,FALSE),0)</f>
        <v>0</v>
      </c>
      <c r="R16" s="77">
        <f>IFERROR(VLOOKUP(Vaktplan!$A$53,Vaktplan!$BV$4:$CL$35,86-AI69,FALSE),0)</f>
        <v>0</v>
      </c>
      <c r="S16" s="9">
        <f>IFERROR(VLOOKUP(Vaktplan!$A$53,Vaktplan!$BV$4:$CL$35,89-$AJ69,FALSE),0)</f>
        <v>0</v>
      </c>
      <c r="T16" s="9">
        <f t="shared" si="0"/>
        <v>0</v>
      </c>
      <c r="U16" s="9">
        <f t="shared" si="7"/>
        <v>24</v>
      </c>
      <c r="V16" s="77">
        <f>IFERROR(VLOOKUP(Vaktplan!$A$53,Vaktplan!$BW$4:$CL$35,86-AK69,FALSE),0)</f>
        <v>0</v>
      </c>
      <c r="W16" s="77">
        <f>IFERROR(VLOOKUP(Vaktplan!$A$53,Vaktplan!$BW$4:$CL$35,86-AJ69,FALSE),0)</f>
        <v>0</v>
      </c>
      <c r="X16" s="9">
        <f>IFERROR(VLOOKUP(Vaktplan!$A$53,Vaktplan!$BW$4:$CL$35,89-$AK69,FALSE),0)</f>
        <v>0</v>
      </c>
      <c r="Y16" s="9">
        <f>IF(AND(V16=0,W16=0),0,IF(V16&lt;W16,((W16-V16)*24)-X16,(((1-V16)+W16)*24)-X16))</f>
        <v>0</v>
      </c>
      <c r="Z16" s="9">
        <f t="shared" si="9"/>
        <v>24</v>
      </c>
      <c r="AA16" s="77">
        <f>IFERROR(VLOOKUP(Vaktplan!$A$53,Vaktplan!$BX$4:$CL$35,86-AL69,FALSE),0)</f>
        <v>0</v>
      </c>
      <c r="AB16" s="77">
        <f>IFERROR(VLOOKUP(Vaktplan!$A$53,Vaktplan!$BX$4:$CL$35,86-AK69,FALSE),0)</f>
        <v>0</v>
      </c>
      <c r="AC16" s="9">
        <f>IFERROR(VLOOKUP(Vaktplan!$A$53,Vaktplan!$BX$4:$CL$35,89-$AL69,FALSE),0)</f>
        <v>0</v>
      </c>
      <c r="AD16" s="9">
        <f>IF(AND(AA16=0,AB16=0),0,IF(AA16&lt;AB16,((AB16-AA16)*24)-AC16,(((1-AA16)+AB16)*24)-AC16))</f>
        <v>0</v>
      </c>
      <c r="AE16" s="9">
        <f t="shared" si="11"/>
        <v>24</v>
      </c>
      <c r="AF16" s="77">
        <f>IFERROR(VLOOKUP(Vaktplan!$A$53,Vaktplan!$BY$4:$CL$35,86-AM69,FALSE),0)</f>
        <v>0</v>
      </c>
      <c r="AG16" s="77">
        <f>IFERROR(VLOOKUP(Vaktplan!$A$53,Vaktplan!$BY$4:$CL$35,86-AL69,FALSE),0)</f>
        <v>0</v>
      </c>
      <c r="AH16" s="9">
        <f>IFERROR(VLOOKUP(Vaktplan!$A$53,Vaktplan!$BY$4:$CL$35,89-$AM69,FALSE),0)</f>
        <v>0</v>
      </c>
      <c r="AI16" s="9">
        <f>IF(AND(AF16=0,AG16=0),0,IF(AF16&lt;AG16,((AG16-AF16)*24)-AH16,(((1-AF16)+AG16)*24)-AH16))</f>
        <v>0</v>
      </c>
      <c r="AJ16" s="9">
        <f t="shared" si="13"/>
        <v>24</v>
      </c>
      <c r="AK16" s="9">
        <f t="shared" si="1"/>
        <v>0</v>
      </c>
      <c r="AL16" s="92"/>
      <c r="AM16" s="10"/>
    </row>
    <row r="17" spans="1:43" ht="13" x14ac:dyDescent="0.25">
      <c r="A17" s="7">
        <v>12</v>
      </c>
      <c r="B17" s="77">
        <f>IFERROR(VLOOKUP(Vaktplan!$A$53,Vaktplan!$BZ$4:$CL$35,87-AH70,FALSE),0)</f>
        <v>0</v>
      </c>
      <c r="C17" s="77">
        <f>IFERROR(VLOOKUP(Vaktplan!$A$53,Vaktplan!$BZ$4:$CL$35,87-AG70,FALSE),0)</f>
        <v>0</v>
      </c>
      <c r="D17" s="9">
        <f>IFERROR(VLOOKUP(Vaktplan!$A$53,Vaktplan!$BZ$4:$CL$35,89-AG70,FALSE),0)</f>
        <v>0</v>
      </c>
      <c r="E17" s="9">
        <f t="shared" si="16"/>
        <v>0</v>
      </c>
      <c r="F17" s="9">
        <f t="shared" si="2"/>
        <v>24</v>
      </c>
      <c r="G17" s="77">
        <f>IFERROR(VLOOKUP(Vaktplan!$A$53,Vaktplan!$CA$4:$CL$35,86-AH70,FALSE),0)</f>
        <v>0</v>
      </c>
      <c r="H17" s="77">
        <f>IFERROR(VLOOKUP(Vaktplan!$A$53,Vaktplan!$CA$4:$CL$35,86-AG70,FALSE),0)</f>
        <v>0</v>
      </c>
      <c r="I17" s="9">
        <f>IFERROR(VLOOKUP(Vaktplan!$A$53,Vaktplan!$CA$4:$CL$35,89-$AH70,FALSE),0)</f>
        <v>0</v>
      </c>
      <c r="J17" s="9">
        <f t="shared" si="3"/>
        <v>0</v>
      </c>
      <c r="K17" s="9">
        <f t="shared" si="4"/>
        <v>24</v>
      </c>
      <c r="L17" s="77">
        <f>IFERROR(VLOOKUP(Vaktplan!$A$53,Vaktplan!$CB$4:$CL$35,86-AI70,FALSE),0)</f>
        <v>0</v>
      </c>
      <c r="M17" s="77">
        <f>IFERROR(VLOOKUP(Vaktplan!$A$53,Vaktplan!$CB$4:$CL$35,86-AH70,FALSE),0)</f>
        <v>0</v>
      </c>
      <c r="N17" s="9">
        <f>IFERROR(VLOOKUP(Vaktplan!$A$53,Vaktplan!$CB$4:$CL$35,89-$AI70,FALSE),0)</f>
        <v>0</v>
      </c>
      <c r="O17" s="9">
        <f t="shared" si="5"/>
        <v>0</v>
      </c>
      <c r="P17" s="9">
        <f t="shared" si="6"/>
        <v>24</v>
      </c>
      <c r="Q17" s="77">
        <f>IFERROR(VLOOKUP(Vaktplan!$A$53,Vaktplan!$CC$4:$CL$35,86-AJ70,FALSE),0)</f>
        <v>0</v>
      </c>
      <c r="R17" s="77">
        <f>IFERROR(VLOOKUP(Vaktplan!$A$53,Vaktplan!$CC$4:$CL$35,86-AI70,FALSE),0)</f>
        <v>0</v>
      </c>
      <c r="S17" s="9">
        <f>IFERROR(VLOOKUP(Vaktplan!$A$53,Vaktplan!$CC$4:$CL$35,89-$AJ70,FALSE),0)</f>
        <v>0</v>
      </c>
      <c r="T17" s="9">
        <f t="shared" si="0"/>
        <v>0</v>
      </c>
      <c r="U17" s="9">
        <f t="shared" si="7"/>
        <v>24</v>
      </c>
      <c r="V17" s="77">
        <f>IFERROR(VLOOKUP(Vaktplan!$A$53,Vaktplan!$CD$4:$CL$35,86-AK70,FALSE),0)</f>
        <v>0</v>
      </c>
      <c r="W17" s="77">
        <f>IFERROR(VLOOKUP(Vaktplan!$A$53,Vaktplan!$CD$4:$CL$35,86-AJ70,FALSE),0)</f>
        <v>0</v>
      </c>
      <c r="X17" s="9">
        <f>IFERROR(VLOOKUP(Vaktplan!$A$53,Vaktplan!$CD$4:$CL$35,89-$AK70,FALSE),0)</f>
        <v>0</v>
      </c>
      <c r="Y17" s="9">
        <f>IF(AND(V17=0,W17=0),0,IF(V17&lt;W17,((W17-V17)*24)-X17,(((1-V17)+W17)*24)-X17))</f>
        <v>0</v>
      </c>
      <c r="Z17" s="9">
        <f t="shared" si="9"/>
        <v>24</v>
      </c>
      <c r="AA17" s="77">
        <f>IFERROR(VLOOKUP(Vaktplan!$A$53,Vaktplan!$CE$4:$CL$35,86-AL70,FALSE),0)</f>
        <v>0</v>
      </c>
      <c r="AB17" s="77">
        <f>IFERROR(VLOOKUP(Vaktplan!$A$53,Vaktplan!$CE$4:$CL$35,86-AK70,FALSE),0)</f>
        <v>0</v>
      </c>
      <c r="AC17" s="9">
        <f>IFERROR(VLOOKUP(Vaktplan!$A$53,Vaktplan!$CE$4:$FCE$35,89-$AL70,FALSE),0)</f>
        <v>0</v>
      </c>
      <c r="AD17" s="9">
        <f>IF(AND(AA17=0,AB17=0),0,IF(AA17&lt;AB17,((AB17-AA17)*24)-AC17,(((1-AA17)+AB17)*24)-AC17))</f>
        <v>0</v>
      </c>
      <c r="AE17" s="9">
        <f t="shared" si="11"/>
        <v>24</v>
      </c>
      <c r="AF17" s="77">
        <f>IFERROR(VLOOKUP(Vaktplan!$A$53,Vaktplan!$CF$4:$CL$35,86-AM70,FALSE),0)</f>
        <v>0</v>
      </c>
      <c r="AG17" s="77">
        <f>IFERROR(VLOOKUP(Vaktplan!$A$53,Vaktplan!$CF$4:$CL$35,86-AL70,FALSE),0)</f>
        <v>0</v>
      </c>
      <c r="AH17" s="9">
        <f>IFERROR(VLOOKUP(Vaktplan!$A$53,Vaktplan!$CF$4:$CL$35,89-$AM70,FALSE),0)</f>
        <v>0</v>
      </c>
      <c r="AI17" s="9">
        <f>IF(AND(AF17=0,AG17=0),0,IF(AF17&lt;AG17,((AG17-AF17)*24)-AH17,(((1-AF17)+AG17)*24)-AH17))</f>
        <v>0</v>
      </c>
      <c r="AJ17" s="9">
        <f t="shared" si="13"/>
        <v>24</v>
      </c>
      <c r="AK17" s="9">
        <f t="shared" si="1"/>
        <v>0</v>
      </c>
      <c r="AL17" s="92"/>
      <c r="AM17" s="10"/>
    </row>
    <row r="19" spans="1:43" ht="13" x14ac:dyDescent="0.3">
      <c r="A19" s="4" t="s">
        <v>76</v>
      </c>
    </row>
    <row r="20" spans="1:43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3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3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3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3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6" spans="1:43" ht="13" x14ac:dyDescent="0.3">
      <c r="A26" s="4" t="s">
        <v>77</v>
      </c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</row>
    <row r="27" spans="1:43" ht="13" x14ac:dyDescent="0.3">
      <c r="A27" s="3" t="s">
        <v>78</v>
      </c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80" t="s">
        <v>79</v>
      </c>
      <c r="AM27" s="78"/>
      <c r="AN27" s="78"/>
      <c r="AO27" s="78"/>
    </row>
    <row r="28" spans="1:43" ht="13" x14ac:dyDescent="0.3">
      <c r="A28" s="98" t="s">
        <v>36</v>
      </c>
      <c r="B28" s="98"/>
      <c r="C28" s="98"/>
      <c r="D28" s="88"/>
      <c r="E28" s="8">
        <f>E2</f>
        <v>0</v>
      </c>
      <c r="F28" s="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>
        <v>1</v>
      </c>
      <c r="AM28" s="78"/>
      <c r="AN28" s="78"/>
      <c r="AO28" s="78"/>
    </row>
    <row r="29" spans="1:43" ht="13" x14ac:dyDescent="0.3">
      <c r="A29" s="98" t="s">
        <v>80</v>
      </c>
      <c r="B29" s="98"/>
      <c r="C29" s="98"/>
      <c r="D29" s="88"/>
      <c r="E29" s="5">
        <f>E3</f>
        <v>0</v>
      </c>
      <c r="F29" s="5"/>
      <c r="T29" s="10"/>
      <c r="U29" s="10"/>
      <c r="V29" s="10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80" t="s">
        <v>81</v>
      </c>
      <c r="AH29" s="80"/>
      <c r="AI29" s="78"/>
      <c r="AJ29" s="78"/>
      <c r="AK29" s="78"/>
      <c r="AL29" s="78">
        <v>2</v>
      </c>
      <c r="AM29" s="78"/>
      <c r="AN29" s="78"/>
      <c r="AO29" s="78"/>
      <c r="AP29" s="10"/>
      <c r="AQ29" s="10"/>
    </row>
    <row r="30" spans="1:43" ht="13" x14ac:dyDescent="0.3">
      <c r="A30" s="98" t="s">
        <v>82</v>
      </c>
      <c r="B30" s="98"/>
      <c r="C30" s="98"/>
      <c r="D30" s="88"/>
      <c r="T30" s="10"/>
      <c r="U30" s="10"/>
      <c r="V30" s="10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>
        <v>3</v>
      </c>
      <c r="AM30" s="78"/>
      <c r="AN30" s="78"/>
      <c r="AO30" s="78"/>
      <c r="AP30" s="10"/>
      <c r="AQ30" s="10"/>
    </row>
    <row r="31" spans="1:43" ht="13" x14ac:dyDescent="0.3">
      <c r="A31" s="4" t="s">
        <v>83</v>
      </c>
      <c r="B31" s="4" t="s">
        <v>84</v>
      </c>
      <c r="C31" s="4" t="s">
        <v>85</v>
      </c>
      <c r="D31" s="98" t="s">
        <v>86</v>
      </c>
      <c r="E31" s="98"/>
      <c r="F31" s="4" t="s">
        <v>87</v>
      </c>
      <c r="G31" s="4" t="s">
        <v>88</v>
      </c>
      <c r="H31" s="98" t="s">
        <v>27</v>
      </c>
      <c r="I31" s="98"/>
      <c r="J31" s="4" t="s">
        <v>28</v>
      </c>
      <c r="K31" s="4" t="s">
        <v>29</v>
      </c>
      <c r="L31" s="4" t="s">
        <v>30</v>
      </c>
      <c r="M31" s="4" t="s">
        <v>31</v>
      </c>
      <c r="N31" s="98" t="s">
        <v>32</v>
      </c>
      <c r="O31" s="98"/>
      <c r="T31" s="10"/>
      <c r="U31" s="10"/>
      <c r="V31" s="10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80" t="s">
        <v>9</v>
      </c>
      <c r="AH31" s="80"/>
      <c r="AI31" s="78"/>
      <c r="AJ31" s="78"/>
      <c r="AK31" s="78"/>
      <c r="AL31" s="78">
        <v>4</v>
      </c>
      <c r="AM31" s="78"/>
      <c r="AN31" s="78"/>
      <c r="AO31" s="78"/>
      <c r="AP31" s="10"/>
      <c r="AQ31" s="10"/>
    </row>
    <row r="32" spans="1:43" ht="13" x14ac:dyDescent="0.3">
      <c r="A32" s="3">
        <f>AK6</f>
        <v>0</v>
      </c>
      <c r="B32" s="3">
        <f>AK7</f>
        <v>0</v>
      </c>
      <c r="C32" s="3">
        <f>AK8</f>
        <v>0</v>
      </c>
      <c r="D32" s="101">
        <f>AK9</f>
        <v>0</v>
      </c>
      <c r="E32" s="101"/>
      <c r="F32" s="3">
        <f>AK10</f>
        <v>0</v>
      </c>
      <c r="G32" s="3">
        <f>AK11</f>
        <v>0</v>
      </c>
      <c r="H32" s="101">
        <f>AK12</f>
        <v>0</v>
      </c>
      <c r="I32" s="101"/>
      <c r="J32" s="3">
        <f>AK13</f>
        <v>0</v>
      </c>
      <c r="K32" s="3">
        <f>AK14</f>
        <v>0</v>
      </c>
      <c r="L32" s="3">
        <f>AK15</f>
        <v>0</v>
      </c>
      <c r="M32" s="3">
        <f>AK16</f>
        <v>0</v>
      </c>
      <c r="N32" s="101">
        <f>AK17</f>
        <v>0</v>
      </c>
      <c r="O32" s="101"/>
      <c r="T32" s="11" t="s">
        <v>70</v>
      </c>
      <c r="U32" s="10" t="s">
        <v>89</v>
      </c>
      <c r="V32" s="10" t="s">
        <v>90</v>
      </c>
      <c r="W32" s="78" t="s">
        <v>91</v>
      </c>
      <c r="X32" s="78" t="s">
        <v>92</v>
      </c>
      <c r="Y32" s="78" t="s">
        <v>93</v>
      </c>
      <c r="Z32" s="78" t="s">
        <v>94</v>
      </c>
      <c r="AA32" s="78"/>
      <c r="AB32" s="78"/>
      <c r="AC32" s="78"/>
      <c r="AD32" s="78"/>
      <c r="AE32" s="78"/>
      <c r="AF32" s="78"/>
      <c r="AG32" s="78" t="s">
        <v>10</v>
      </c>
      <c r="AH32" s="78"/>
      <c r="AI32" s="79">
        <v>42177</v>
      </c>
      <c r="AJ32" s="79"/>
      <c r="AK32" s="78"/>
      <c r="AL32" s="78">
        <v>5</v>
      </c>
      <c r="AM32" s="78"/>
      <c r="AN32" s="78"/>
      <c r="AO32" s="78"/>
      <c r="AP32" s="10"/>
      <c r="AQ32" s="10"/>
    </row>
    <row r="33" spans="1:43" ht="13" x14ac:dyDescent="0.3">
      <c r="A33" s="98" t="s">
        <v>95</v>
      </c>
      <c r="B33" s="98"/>
      <c r="C33" s="98"/>
      <c r="D33" s="88"/>
      <c r="G33" s="101"/>
      <c r="H33" s="101"/>
      <c r="I33" s="90"/>
      <c r="T33" s="10">
        <v>1</v>
      </c>
      <c r="U33" s="10">
        <f>IF(AND(B6&gt;0,G6&gt;0),0,IF(AND(G6&gt;0),0,F6+K6))</f>
        <v>48</v>
      </c>
      <c r="V33" s="10">
        <f>IF(AND(G6&gt;0,L6&gt;0),0,IF(AND(L6&gt;0),0,K6+P6))</f>
        <v>48</v>
      </c>
      <c r="W33" s="78">
        <f>IF(AND(L6&gt;0,Q6&gt;0),0,IF(AND(Q6&gt;0),0,P6+U6))</f>
        <v>48</v>
      </c>
      <c r="X33" s="78">
        <f>IF(AND(Q6&gt;0,V6&gt;0),0,IF(AND(V6&gt;0),0,U6+Z6))</f>
        <v>48</v>
      </c>
      <c r="Y33" s="78">
        <f>IF(AND(V6&gt;0,AA6&gt;0),0,IF(AND(AA6&gt;0),0,Z6+AE6))</f>
        <v>48</v>
      </c>
      <c r="Z33" s="78">
        <f>IF(AND(AA6&gt;0,AF6&gt;0),0,IF(AND(AF6&gt;0),0,AE6+AJ6))</f>
        <v>48</v>
      </c>
      <c r="AA33" s="78"/>
      <c r="AB33" s="78"/>
      <c r="AC33" s="78"/>
      <c r="AD33" s="78"/>
      <c r="AE33" s="78"/>
      <c r="AF33" s="78"/>
      <c r="AG33" s="78" t="s">
        <v>11</v>
      </c>
      <c r="AH33" s="78"/>
      <c r="AI33" s="79">
        <v>42178</v>
      </c>
      <c r="AJ33" s="79"/>
      <c r="AK33" s="78"/>
      <c r="AL33" s="78">
        <v>6</v>
      </c>
      <c r="AM33" s="78"/>
      <c r="AN33" s="78"/>
      <c r="AO33" s="78"/>
      <c r="AP33" s="10"/>
      <c r="AQ33" s="10"/>
    </row>
    <row r="34" spans="1:43" x14ac:dyDescent="0.25">
      <c r="A34" s="101" t="s">
        <v>96</v>
      </c>
      <c r="B34" s="101"/>
      <c r="C34" s="3">
        <f>(AK6+AK7+AK8+AK9+AK10+AK11+AK12+AK13+AK14+AK15+AK16+AK17)/M1</f>
        <v>0</v>
      </c>
      <c r="T34" s="10">
        <v>2</v>
      </c>
      <c r="U34" s="10">
        <f t="shared" ref="U34:U40" si="17">IF(AND(B7&gt;0,G7&gt;0),0,IF(AND(G7&gt;0),0,F7+K7))</f>
        <v>48</v>
      </c>
      <c r="V34" s="10">
        <f t="shared" ref="V34:V40" si="18">IF(AND(G7&gt;0,L7&gt;0),0,IF(AND(L7&gt;0),0,K7+P7))</f>
        <v>48</v>
      </c>
      <c r="W34" s="78">
        <f t="shared" ref="W34:W44" si="19">IF(AND(L7&gt;0,Q7&gt;0),0,IF(AND(Q7&gt;0),0,P7+U7))</f>
        <v>48</v>
      </c>
      <c r="X34" s="78">
        <f t="shared" ref="X34:X44" si="20">IF(AND(Q7&gt;0,V7&gt;0),0,IF(AND(V7&gt;0),0,U7+Z7))</f>
        <v>48</v>
      </c>
      <c r="Y34" s="78">
        <f t="shared" ref="Y34:Y44" si="21">IF(AND(V7&gt;0,AA7&gt;0),0,IF(AND(AA7&gt;0),0,Z7+AE7))</f>
        <v>48</v>
      </c>
      <c r="Z34" s="78">
        <f t="shared" ref="Z34:Z44" si="22">IF(AND(AA7&gt;0,AF7&gt;0),0,IF(AND(AF7&gt;0),0,AE7+AJ7))</f>
        <v>48</v>
      </c>
      <c r="AA34" s="78"/>
      <c r="AB34" s="78"/>
      <c r="AC34" s="78"/>
      <c r="AD34" s="78"/>
      <c r="AE34" s="78"/>
      <c r="AF34" s="78"/>
      <c r="AG34" s="78" t="s">
        <v>12</v>
      </c>
      <c r="AH34" s="78"/>
      <c r="AI34" s="79">
        <v>42179</v>
      </c>
      <c r="AJ34" s="79"/>
      <c r="AK34" s="78"/>
      <c r="AL34" s="78">
        <v>7</v>
      </c>
      <c r="AM34" s="78"/>
      <c r="AN34" s="78"/>
      <c r="AO34" s="78"/>
      <c r="AP34" s="10"/>
      <c r="AQ34" s="10"/>
    </row>
    <row r="35" spans="1:43" x14ac:dyDescent="0.25">
      <c r="T35" s="10">
        <v>3</v>
      </c>
      <c r="U35" s="10">
        <f t="shared" si="17"/>
        <v>48</v>
      </c>
      <c r="V35" s="10">
        <f t="shared" si="18"/>
        <v>48</v>
      </c>
      <c r="W35" s="78">
        <f t="shared" si="19"/>
        <v>48</v>
      </c>
      <c r="X35" s="78">
        <f t="shared" si="20"/>
        <v>48</v>
      </c>
      <c r="Y35" s="78">
        <f t="shared" si="21"/>
        <v>48</v>
      </c>
      <c r="Z35" s="78">
        <f t="shared" si="22"/>
        <v>48</v>
      </c>
      <c r="AA35" s="78"/>
      <c r="AB35" s="78"/>
      <c r="AC35" s="78"/>
      <c r="AD35" s="78"/>
      <c r="AE35" s="78"/>
      <c r="AF35" s="78"/>
      <c r="AG35" s="78" t="s">
        <v>13</v>
      </c>
      <c r="AH35" s="78"/>
      <c r="AI35" s="79">
        <v>42180</v>
      </c>
      <c r="AJ35" s="79"/>
      <c r="AK35" s="78"/>
      <c r="AL35" s="78">
        <v>8</v>
      </c>
      <c r="AM35" s="78"/>
      <c r="AN35" s="78"/>
      <c r="AO35" s="78"/>
      <c r="AP35" s="78"/>
      <c r="AQ35" s="10"/>
    </row>
    <row r="36" spans="1:43" ht="13" x14ac:dyDescent="0.3">
      <c r="A36" s="98" t="s">
        <v>97</v>
      </c>
      <c r="B36" s="98"/>
      <c r="C36" s="98"/>
      <c r="D36" s="98"/>
      <c r="E36" s="98"/>
      <c r="F36" s="88"/>
      <c r="T36" s="10">
        <v>4</v>
      </c>
      <c r="U36" s="10">
        <f t="shared" si="17"/>
        <v>48</v>
      </c>
      <c r="V36" s="10">
        <f t="shared" si="18"/>
        <v>48</v>
      </c>
      <c r="W36" s="78">
        <f t="shared" si="19"/>
        <v>48</v>
      </c>
      <c r="X36" s="78">
        <f t="shared" si="20"/>
        <v>48</v>
      </c>
      <c r="Y36" s="78">
        <f t="shared" si="21"/>
        <v>48</v>
      </c>
      <c r="Z36" s="78">
        <f t="shared" si="22"/>
        <v>48</v>
      </c>
      <c r="AA36" s="78"/>
      <c r="AB36" s="78"/>
      <c r="AC36" s="78"/>
      <c r="AD36" s="78"/>
      <c r="AE36" s="78"/>
      <c r="AF36" s="78"/>
      <c r="AG36" s="78" t="s">
        <v>14</v>
      </c>
      <c r="AH36" s="78"/>
      <c r="AI36" s="79">
        <v>42181</v>
      </c>
      <c r="AJ36" s="79"/>
      <c r="AK36" s="78"/>
      <c r="AL36" s="3">
        <v>9</v>
      </c>
      <c r="AM36" s="78"/>
      <c r="AN36" s="78"/>
      <c r="AO36" s="78"/>
      <c r="AP36" s="78"/>
      <c r="AQ36" s="10"/>
    </row>
    <row r="37" spans="1:43" x14ac:dyDescent="0.25">
      <c r="A37" s="99" t="e">
        <f>C34/E3</f>
        <v>#DIV/0!</v>
      </c>
      <c r="B37" s="99"/>
      <c r="C37" s="99"/>
      <c r="T37" s="10">
        <v>5</v>
      </c>
      <c r="U37" s="10">
        <f t="shared" si="17"/>
        <v>48</v>
      </c>
      <c r="V37" s="10">
        <f t="shared" si="18"/>
        <v>48</v>
      </c>
      <c r="W37" s="78">
        <f t="shared" si="19"/>
        <v>48</v>
      </c>
      <c r="X37" s="78">
        <f t="shared" si="20"/>
        <v>48</v>
      </c>
      <c r="Y37" s="78">
        <f t="shared" si="21"/>
        <v>48</v>
      </c>
      <c r="Z37" s="78">
        <f t="shared" si="22"/>
        <v>48</v>
      </c>
      <c r="AA37" s="78"/>
      <c r="AB37" s="78"/>
      <c r="AC37" s="78"/>
      <c r="AD37" s="78"/>
      <c r="AE37" s="78"/>
      <c r="AF37" s="78"/>
      <c r="AG37" s="78" t="s">
        <v>15</v>
      </c>
      <c r="AH37" s="78"/>
      <c r="AI37" s="79">
        <v>42182</v>
      </c>
      <c r="AJ37" s="79"/>
      <c r="AK37" s="78"/>
      <c r="AL37" s="3">
        <v>10</v>
      </c>
      <c r="AM37" s="78"/>
      <c r="AN37" s="78"/>
      <c r="AO37" s="78"/>
      <c r="AP37" s="78"/>
      <c r="AQ37" s="10"/>
    </row>
    <row r="38" spans="1:43" x14ac:dyDescent="0.25">
      <c r="T38" s="10">
        <v>6</v>
      </c>
      <c r="U38" s="10">
        <f t="shared" si="17"/>
        <v>48</v>
      </c>
      <c r="V38" s="10">
        <f t="shared" si="18"/>
        <v>48</v>
      </c>
      <c r="W38" s="78">
        <f t="shared" si="19"/>
        <v>48</v>
      </c>
      <c r="X38" s="78">
        <f t="shared" si="20"/>
        <v>48</v>
      </c>
      <c r="Y38" s="78">
        <f t="shared" si="21"/>
        <v>48</v>
      </c>
      <c r="Z38" s="78">
        <f t="shared" si="22"/>
        <v>48</v>
      </c>
      <c r="AA38" s="78"/>
      <c r="AB38" s="78"/>
      <c r="AC38" s="78"/>
      <c r="AD38" s="78"/>
      <c r="AE38" s="78"/>
      <c r="AF38" s="78"/>
      <c r="AG38" s="78" t="s">
        <v>16</v>
      </c>
      <c r="AH38" s="78"/>
      <c r="AI38" s="79">
        <v>42183</v>
      </c>
      <c r="AJ38" s="79"/>
      <c r="AK38" s="78"/>
      <c r="AL38" s="3">
        <v>11</v>
      </c>
      <c r="AM38" s="78"/>
      <c r="AN38" s="78"/>
      <c r="AO38" s="78"/>
      <c r="AP38" s="78"/>
      <c r="AQ38" s="10"/>
    </row>
    <row r="39" spans="1:43" x14ac:dyDescent="0.25">
      <c r="T39" s="10">
        <v>7</v>
      </c>
      <c r="U39" s="10">
        <f t="shared" si="17"/>
        <v>48</v>
      </c>
      <c r="V39" s="10">
        <f t="shared" si="18"/>
        <v>48</v>
      </c>
      <c r="W39" s="78">
        <f t="shared" si="19"/>
        <v>48</v>
      </c>
      <c r="X39" s="78">
        <f t="shared" si="20"/>
        <v>48</v>
      </c>
      <c r="Y39" s="78">
        <f t="shared" si="21"/>
        <v>48</v>
      </c>
      <c r="Z39" s="78">
        <f t="shared" si="22"/>
        <v>48</v>
      </c>
      <c r="AA39" s="78"/>
      <c r="AB39" s="78"/>
      <c r="AC39" s="78"/>
      <c r="AD39" s="78"/>
      <c r="AE39" s="78"/>
      <c r="AF39" s="78"/>
      <c r="AG39" s="100">
        <f>IF(E1=AG32,AI32,IF(E1=AG33,AI33,IF(E1=AG34,AI34,IF(E1=AG35,AI35,IF(E1=AG36,AI36,IF(E1=AG37,AI37,IF(E1=AG38,AI38,AI32)))))))</f>
        <v>42177</v>
      </c>
      <c r="AH39" s="100"/>
      <c r="AI39" s="100"/>
      <c r="AJ39" s="100"/>
      <c r="AK39" s="100"/>
      <c r="AL39" s="3">
        <v>12</v>
      </c>
      <c r="AM39" s="78"/>
      <c r="AN39" s="78"/>
      <c r="AO39" s="78"/>
      <c r="AP39" s="78"/>
      <c r="AQ39" s="10"/>
    </row>
    <row r="40" spans="1:43" ht="13" x14ac:dyDescent="0.3">
      <c r="A40" s="4" t="s">
        <v>98</v>
      </c>
      <c r="T40" s="10">
        <v>8</v>
      </c>
      <c r="U40" s="10">
        <f t="shared" si="17"/>
        <v>48</v>
      </c>
      <c r="V40" s="10">
        <f t="shared" si="18"/>
        <v>48</v>
      </c>
      <c r="W40" s="78">
        <f t="shared" si="19"/>
        <v>48</v>
      </c>
      <c r="X40" s="78">
        <f t="shared" si="20"/>
        <v>48</v>
      </c>
      <c r="Y40" s="78">
        <f t="shared" si="21"/>
        <v>48</v>
      </c>
      <c r="Z40" s="78">
        <f t="shared" si="22"/>
        <v>48</v>
      </c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10"/>
    </row>
    <row r="41" spans="1:43" x14ac:dyDescent="0.25">
      <c r="A41" s="3" t="s">
        <v>99</v>
      </c>
      <c r="T41" s="10"/>
      <c r="U41" s="10"/>
      <c r="V41" s="10"/>
      <c r="W41" s="78">
        <f t="shared" si="19"/>
        <v>48</v>
      </c>
      <c r="X41" s="78">
        <f t="shared" si="20"/>
        <v>48</v>
      </c>
      <c r="Y41" s="78">
        <f t="shared" si="21"/>
        <v>48</v>
      </c>
      <c r="Z41" s="78">
        <f t="shared" si="22"/>
        <v>48</v>
      </c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10"/>
    </row>
    <row r="42" spans="1:43" ht="13" x14ac:dyDescent="0.3">
      <c r="A42" s="3" t="s">
        <v>100</v>
      </c>
      <c r="O42" s="81">
        <v>0.29166666666666669</v>
      </c>
      <c r="P42" s="81">
        <v>0.33333333333333331</v>
      </c>
      <c r="Q42" s="3">
        <f>(P42-O42)*24</f>
        <v>0.99999999999999911</v>
      </c>
      <c r="T42" s="10"/>
      <c r="U42" s="10"/>
      <c r="V42" s="10"/>
      <c r="W42" s="78">
        <f t="shared" si="19"/>
        <v>48</v>
      </c>
      <c r="X42" s="78">
        <f t="shared" si="20"/>
        <v>48</v>
      </c>
      <c r="Y42" s="78">
        <f t="shared" si="21"/>
        <v>48</v>
      </c>
      <c r="Z42" s="78">
        <f t="shared" si="22"/>
        <v>48</v>
      </c>
      <c r="AA42" s="78"/>
      <c r="AB42" s="78"/>
      <c r="AC42" s="78"/>
      <c r="AD42" s="78"/>
      <c r="AE42" s="78"/>
      <c r="AF42" s="78"/>
      <c r="AG42" s="80" t="s">
        <v>101</v>
      </c>
      <c r="AH42" s="80"/>
      <c r="AI42" s="78"/>
      <c r="AJ42" s="78"/>
      <c r="AK42" s="78"/>
      <c r="AL42" s="80" t="s">
        <v>102</v>
      </c>
      <c r="AM42" s="78"/>
      <c r="AN42" s="78"/>
      <c r="AO42" s="78"/>
      <c r="AP42" s="78"/>
      <c r="AQ42" s="10"/>
    </row>
    <row r="43" spans="1:43" x14ac:dyDescent="0.25">
      <c r="T43" s="10"/>
      <c r="U43" s="10"/>
      <c r="V43" s="10"/>
      <c r="W43" s="78">
        <f t="shared" si="19"/>
        <v>48</v>
      </c>
      <c r="X43" s="78">
        <f t="shared" si="20"/>
        <v>48</v>
      </c>
      <c r="Y43" s="78">
        <f t="shared" si="21"/>
        <v>48</v>
      </c>
      <c r="Z43" s="78">
        <f t="shared" si="22"/>
        <v>48</v>
      </c>
      <c r="AA43" s="78"/>
      <c r="AB43" s="78"/>
      <c r="AC43" s="78"/>
      <c r="AD43" s="78"/>
      <c r="AE43" s="78"/>
      <c r="AF43" s="78"/>
      <c r="AG43" s="78">
        <v>33.6</v>
      </c>
      <c r="AH43" s="78"/>
      <c r="AI43" s="78"/>
      <c r="AJ43" s="78"/>
      <c r="AK43" s="78"/>
      <c r="AL43" s="78" t="s">
        <v>103</v>
      </c>
      <c r="AM43" s="78"/>
      <c r="AN43" s="78"/>
      <c r="AO43" s="78"/>
      <c r="AP43" s="78"/>
      <c r="AQ43" s="10"/>
    </row>
    <row r="44" spans="1:43" x14ac:dyDescent="0.25">
      <c r="A44" s="3" t="s">
        <v>104</v>
      </c>
      <c r="T44" s="10"/>
      <c r="U44" s="10"/>
      <c r="V44" s="10"/>
      <c r="W44" s="78">
        <f t="shared" si="19"/>
        <v>48</v>
      </c>
      <c r="X44" s="78">
        <f t="shared" si="20"/>
        <v>48</v>
      </c>
      <c r="Y44" s="78">
        <f t="shared" si="21"/>
        <v>48</v>
      </c>
      <c r="Z44" s="78">
        <f t="shared" si="22"/>
        <v>48</v>
      </c>
      <c r="AA44" s="78"/>
      <c r="AB44" s="78"/>
      <c r="AC44" s="78"/>
      <c r="AD44" s="78"/>
      <c r="AE44" s="78"/>
      <c r="AF44" s="78"/>
      <c r="AG44" s="78">
        <v>35.5</v>
      </c>
      <c r="AH44" s="78"/>
      <c r="AI44" s="78"/>
      <c r="AJ44" s="78"/>
      <c r="AK44" s="78"/>
      <c r="AL44" s="78" t="s">
        <v>105</v>
      </c>
      <c r="AM44" s="78"/>
      <c r="AN44" s="78"/>
      <c r="AO44" s="78"/>
      <c r="AP44" s="78"/>
      <c r="AQ44" s="10"/>
    </row>
    <row r="45" spans="1:43" x14ac:dyDescent="0.25">
      <c r="A45" s="1">
        <v>11</v>
      </c>
      <c r="B45" s="5">
        <f>COUNTIF($F$6:$F$13,"&lt;" &amp; A45)+COUNTIF($K$6:$K$13,"&lt;" &amp; A45)+COUNTIF($P$6:$P$13,"&lt;" &amp; A45)+COUNTIF($U$6:$U$13,"&lt;" &amp; A45)+COUNTIF($Z$6:$Z$13,"&lt;" &amp; A45)+COUNTIF($AE$6:$AE$13,"&lt;" &amp; A45)+COUNTIF($AJ$6:$AJ$13,"&lt;" &amp; A45)</f>
        <v>0</v>
      </c>
      <c r="T45" s="10"/>
      <c r="U45" s="10"/>
      <c r="V45" s="10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>
        <v>37.5</v>
      </c>
      <c r="AH45" s="78"/>
      <c r="AI45" s="78"/>
      <c r="AJ45" s="78"/>
      <c r="AK45" s="78"/>
      <c r="AL45" s="78"/>
      <c r="AM45" s="78"/>
      <c r="AN45" s="78"/>
      <c r="AO45" s="78"/>
      <c r="AP45" s="78"/>
      <c r="AQ45" s="10"/>
    </row>
    <row r="46" spans="1:43" x14ac:dyDescent="0.25">
      <c r="T46" s="10"/>
      <c r="U46" s="10"/>
      <c r="V46" s="10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78"/>
      <c r="AQ46" s="10"/>
    </row>
    <row r="47" spans="1:43" x14ac:dyDescent="0.25">
      <c r="T47" s="10"/>
      <c r="U47" s="10"/>
      <c r="V47" s="10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10"/>
    </row>
    <row r="48" spans="1:43" x14ac:dyDescent="0.25">
      <c r="T48" s="10"/>
      <c r="U48" s="10"/>
      <c r="V48" s="10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78"/>
      <c r="AO48" s="78"/>
      <c r="AP48" s="78"/>
      <c r="AQ48" s="10"/>
    </row>
    <row r="49" spans="1:43" ht="13" x14ac:dyDescent="0.3">
      <c r="A49" s="4" t="s">
        <v>106</v>
      </c>
      <c r="T49" s="10"/>
      <c r="U49" s="10"/>
      <c r="V49" s="10"/>
      <c r="W49" s="78"/>
      <c r="X49" s="78"/>
      <c r="Y49" s="78"/>
      <c r="Z49" s="78"/>
      <c r="AA49" s="78"/>
      <c r="AB49" s="80" t="s">
        <v>107</v>
      </c>
      <c r="AC49" s="80"/>
      <c r="AD49" s="78"/>
      <c r="AE49" s="78"/>
      <c r="AF49" s="78"/>
      <c r="AG49" s="78"/>
      <c r="AH49" s="78"/>
      <c r="AI49" s="78"/>
      <c r="AJ49" s="78"/>
      <c r="AK49" s="78"/>
      <c r="AL49" s="78"/>
      <c r="AM49" s="78"/>
      <c r="AN49" s="78"/>
      <c r="AO49" s="78"/>
      <c r="AP49" s="78"/>
      <c r="AQ49" s="10"/>
    </row>
    <row r="50" spans="1:43" x14ac:dyDescent="0.25">
      <c r="A50" s="3" t="s">
        <v>108</v>
      </c>
      <c r="T50" s="10"/>
      <c r="U50" s="10"/>
      <c r="V50" s="10"/>
      <c r="W50" s="78"/>
      <c r="X50" s="78"/>
      <c r="Y50" s="78"/>
      <c r="Z50" s="78"/>
      <c r="AA50" s="78"/>
      <c r="AB50" s="78" t="s">
        <v>109</v>
      </c>
      <c r="AC50" s="78"/>
      <c r="AD50" s="78"/>
      <c r="AE50" s="78"/>
      <c r="AF50" s="78"/>
      <c r="AG50" s="78"/>
      <c r="AH50" s="78"/>
      <c r="AI50" s="78"/>
      <c r="AJ50" s="78"/>
      <c r="AK50" s="78"/>
      <c r="AL50" s="78"/>
      <c r="AM50" s="78"/>
      <c r="AN50" s="78"/>
      <c r="AO50" s="78"/>
      <c r="AP50" s="78"/>
      <c r="AQ50" s="10"/>
    </row>
    <row r="51" spans="1:43" ht="13" x14ac:dyDescent="0.3">
      <c r="A51" s="4" t="s">
        <v>110</v>
      </c>
      <c r="T51" s="10"/>
      <c r="U51" s="10"/>
      <c r="V51" s="10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  <c r="AN51" s="78"/>
      <c r="AO51" s="78"/>
      <c r="AP51" s="78"/>
      <c r="AQ51" s="10"/>
    </row>
    <row r="52" spans="1:43" x14ac:dyDescent="0.25">
      <c r="A52" s="3" t="s">
        <v>111</v>
      </c>
      <c r="T52" s="10"/>
      <c r="U52" s="10"/>
      <c r="V52" s="10"/>
      <c r="W52" s="78"/>
      <c r="X52" s="78"/>
      <c r="Y52" s="78"/>
      <c r="Z52" s="78"/>
      <c r="AA52" s="78"/>
      <c r="AB52" s="78" t="s">
        <v>112</v>
      </c>
      <c r="AC52" s="78"/>
      <c r="AD52" s="78"/>
      <c r="AE52" s="78"/>
      <c r="AF52" s="78"/>
      <c r="AG52" s="78"/>
      <c r="AH52" s="78"/>
      <c r="AI52" s="78"/>
      <c r="AJ52" s="78"/>
      <c r="AK52" s="78"/>
      <c r="AL52" s="78"/>
      <c r="AM52" s="78"/>
      <c r="AN52" s="78"/>
      <c r="AO52" s="78"/>
      <c r="AP52" s="78"/>
      <c r="AQ52" s="10"/>
    </row>
    <row r="53" spans="1:43" x14ac:dyDescent="0.25">
      <c r="A53" s="3" t="s">
        <v>113</v>
      </c>
      <c r="T53" s="10"/>
      <c r="U53" s="10"/>
      <c r="V53" s="10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78"/>
      <c r="AO53" s="78"/>
      <c r="AP53" s="78"/>
      <c r="AQ53" s="10"/>
    </row>
    <row r="54" spans="1:43" x14ac:dyDescent="0.25">
      <c r="A54" s="3" t="s">
        <v>114</v>
      </c>
      <c r="T54" s="10"/>
      <c r="U54" s="10"/>
      <c r="V54" s="10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78"/>
      <c r="AL54" s="78"/>
      <c r="AM54" s="78"/>
      <c r="AN54" s="78"/>
      <c r="AO54" s="78"/>
      <c r="AP54" s="78"/>
      <c r="AQ54" s="10"/>
    </row>
    <row r="55" spans="1:43" x14ac:dyDescent="0.25">
      <c r="T55" s="10"/>
      <c r="U55" s="10"/>
      <c r="V55" s="10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10"/>
    </row>
    <row r="56" spans="1:43" ht="13" x14ac:dyDescent="0.3">
      <c r="A56" s="4" t="s">
        <v>115</v>
      </c>
      <c r="T56" s="10"/>
      <c r="U56" s="10"/>
      <c r="V56" s="10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78"/>
      <c r="AO56" s="78"/>
      <c r="AP56" s="78"/>
      <c r="AQ56" s="10"/>
    </row>
    <row r="57" spans="1:43" x14ac:dyDescent="0.25">
      <c r="A57" s="3" t="s">
        <v>116</v>
      </c>
      <c r="T57" s="10"/>
      <c r="U57" s="10"/>
      <c r="V57" s="10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/>
      <c r="AO57" s="78"/>
      <c r="AP57" s="78"/>
      <c r="AQ57" s="10"/>
    </row>
    <row r="58" spans="1:43" ht="13" x14ac:dyDescent="0.3">
      <c r="A58" s="4" t="s">
        <v>110</v>
      </c>
      <c r="T58" s="10"/>
      <c r="U58" s="10"/>
      <c r="V58" s="10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 t="s">
        <v>117</v>
      </c>
      <c r="AH58" s="78"/>
      <c r="AI58" s="78"/>
      <c r="AJ58" s="78"/>
      <c r="AK58" s="78"/>
      <c r="AL58" s="78"/>
      <c r="AM58" s="78"/>
      <c r="AN58" s="78"/>
      <c r="AO58" s="78"/>
      <c r="AP58" s="78"/>
      <c r="AQ58" s="10"/>
    </row>
    <row r="59" spans="1:43" x14ac:dyDescent="0.25">
      <c r="A59" s="3" t="s">
        <v>111</v>
      </c>
      <c r="T59" s="10"/>
      <c r="U59" s="10"/>
      <c r="V59" s="10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>
        <v>0</v>
      </c>
      <c r="AH59" s="78">
        <v>1</v>
      </c>
      <c r="AI59" s="78">
        <v>2</v>
      </c>
      <c r="AJ59" s="78">
        <v>3</v>
      </c>
      <c r="AK59" s="78">
        <v>4</v>
      </c>
      <c r="AL59" s="78">
        <v>5</v>
      </c>
      <c r="AM59" s="78">
        <v>6</v>
      </c>
      <c r="AN59" s="78"/>
      <c r="AO59" s="78"/>
      <c r="AP59" s="78"/>
      <c r="AQ59" s="10"/>
    </row>
    <row r="60" spans="1:43" x14ac:dyDescent="0.25">
      <c r="A60" s="3" t="s">
        <v>113</v>
      </c>
      <c r="T60" s="10"/>
      <c r="U60" s="10"/>
      <c r="V60" s="10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>
        <v>7</v>
      </c>
      <c r="AH60" s="78">
        <v>8</v>
      </c>
      <c r="AI60" s="78">
        <v>9</v>
      </c>
      <c r="AJ60" s="78">
        <v>10</v>
      </c>
      <c r="AK60" s="78">
        <v>11</v>
      </c>
      <c r="AL60" s="78">
        <v>12</v>
      </c>
      <c r="AM60" s="78">
        <v>13</v>
      </c>
      <c r="AN60" s="78"/>
      <c r="AO60" s="78"/>
      <c r="AP60" s="78"/>
      <c r="AQ60" s="10"/>
    </row>
    <row r="61" spans="1:43" x14ac:dyDescent="0.25">
      <c r="T61" s="10"/>
      <c r="U61" s="10"/>
      <c r="V61" s="10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>
        <v>14</v>
      </c>
      <c r="AH61" s="78">
        <v>15</v>
      </c>
      <c r="AI61" s="78">
        <v>16</v>
      </c>
      <c r="AJ61" s="78">
        <v>17</v>
      </c>
      <c r="AK61" s="78">
        <v>18</v>
      </c>
      <c r="AL61" s="78">
        <v>19</v>
      </c>
      <c r="AM61" s="78">
        <v>20</v>
      </c>
      <c r="AN61" s="78"/>
      <c r="AO61" s="78"/>
      <c r="AP61" s="78"/>
      <c r="AQ61" s="10"/>
    </row>
    <row r="62" spans="1:43" ht="13" x14ac:dyDescent="0.3">
      <c r="A62" s="4" t="s">
        <v>118</v>
      </c>
      <c r="T62" s="10"/>
      <c r="U62" s="10"/>
      <c r="V62" s="10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>
        <v>21</v>
      </c>
      <c r="AH62" s="78">
        <v>22</v>
      </c>
      <c r="AI62" s="78">
        <v>23</v>
      </c>
      <c r="AJ62" s="78">
        <v>24</v>
      </c>
      <c r="AK62" s="78">
        <v>25</v>
      </c>
      <c r="AL62" s="78">
        <v>26</v>
      </c>
      <c r="AM62" s="78">
        <v>27</v>
      </c>
      <c r="AN62" s="78"/>
      <c r="AO62" s="78"/>
      <c r="AP62" s="78"/>
      <c r="AQ62" s="10"/>
    </row>
    <row r="63" spans="1:43" x14ac:dyDescent="0.25">
      <c r="A63" s="3" t="s">
        <v>119</v>
      </c>
      <c r="T63" s="10"/>
      <c r="U63" s="10"/>
      <c r="V63" s="10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>
        <v>28</v>
      </c>
      <c r="AH63" s="78">
        <v>29</v>
      </c>
      <c r="AI63" s="78">
        <v>30</v>
      </c>
      <c r="AJ63" s="78">
        <v>31</v>
      </c>
      <c r="AK63" s="78">
        <v>32</v>
      </c>
      <c r="AL63" s="78">
        <v>33</v>
      </c>
      <c r="AM63" s="78">
        <v>34</v>
      </c>
      <c r="AN63" s="78"/>
      <c r="AO63" s="78"/>
      <c r="AP63" s="78"/>
      <c r="AQ63" s="10"/>
    </row>
    <row r="64" spans="1:43" x14ac:dyDescent="0.25">
      <c r="A64" s="3" t="s">
        <v>120</v>
      </c>
      <c r="T64" s="10"/>
      <c r="U64" s="10"/>
      <c r="V64" s="10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>
        <v>35</v>
      </c>
      <c r="AH64" s="78">
        <v>36</v>
      </c>
      <c r="AI64" s="78">
        <v>37</v>
      </c>
      <c r="AJ64" s="78">
        <v>38</v>
      </c>
      <c r="AK64" s="78">
        <v>39</v>
      </c>
      <c r="AL64" s="78">
        <v>40</v>
      </c>
      <c r="AM64" s="78">
        <v>41</v>
      </c>
      <c r="AN64" s="78"/>
      <c r="AO64" s="78"/>
      <c r="AP64" s="78"/>
      <c r="AQ64" s="10"/>
    </row>
    <row r="65" spans="1:43" x14ac:dyDescent="0.25">
      <c r="T65" s="10"/>
      <c r="U65" s="10"/>
      <c r="V65" s="10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>
        <v>42</v>
      </c>
      <c r="AH65" s="78">
        <v>43</v>
      </c>
      <c r="AI65" s="78">
        <v>44</v>
      </c>
      <c r="AJ65" s="78">
        <v>45</v>
      </c>
      <c r="AK65" s="78">
        <v>46</v>
      </c>
      <c r="AL65" s="78">
        <v>47</v>
      </c>
      <c r="AM65" s="78">
        <v>48</v>
      </c>
      <c r="AN65" s="78"/>
      <c r="AO65" s="78"/>
      <c r="AP65" s="78"/>
      <c r="AQ65" s="10"/>
    </row>
    <row r="66" spans="1:43" ht="13" x14ac:dyDescent="0.3">
      <c r="A66" s="3" t="s">
        <v>121</v>
      </c>
      <c r="B66" s="4"/>
      <c r="T66" s="10"/>
      <c r="U66" s="10"/>
      <c r="V66" s="10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>
        <v>49</v>
      </c>
      <c r="AH66" s="78">
        <v>50</v>
      </c>
      <c r="AI66" s="78">
        <v>51</v>
      </c>
      <c r="AJ66" s="78">
        <v>52</v>
      </c>
      <c r="AK66" s="78">
        <v>53</v>
      </c>
      <c r="AL66" s="78">
        <v>54</v>
      </c>
      <c r="AM66" s="78">
        <v>55</v>
      </c>
      <c r="AN66" s="78"/>
      <c r="AO66" s="78"/>
      <c r="AP66" s="78"/>
      <c r="AQ66" s="10"/>
    </row>
    <row r="67" spans="1:43" ht="13" x14ac:dyDescent="0.3">
      <c r="A67" s="1">
        <v>9</v>
      </c>
      <c r="B67" s="5">
        <f>COUNTIF($E$6:$E$13,"&gt;" &amp; A67)+COUNTIF($J$6:$J$13,"&gt;" &amp; A67)+COUNTIF($O$6:$O$13,"&gt;" &amp; A67)+COUNTIF($T$6:$T$13,"&gt;" &amp; A67)+COUNTIF($Y$6:$Y$13,"&gt;" &amp; A67)+COUNTIF($AD$6:$AD$13,"&gt;" &amp; A67)+COUNTIF($AI$6:$AI$13,"&gt;" &amp; A67)</f>
        <v>0</v>
      </c>
      <c r="C67" s="3" t="s">
        <v>122</v>
      </c>
      <c r="E67" s="3" t="s">
        <v>123</v>
      </c>
      <c r="H67" s="1" t="s">
        <v>124</v>
      </c>
      <c r="L67" s="3" t="s">
        <v>125</v>
      </c>
      <c r="T67" s="10"/>
      <c r="U67" s="10"/>
      <c r="V67" s="10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>
        <v>56</v>
      </c>
      <c r="AH67" s="78">
        <v>57</v>
      </c>
      <c r="AI67" s="78">
        <v>58</v>
      </c>
      <c r="AJ67" s="78">
        <v>59</v>
      </c>
      <c r="AK67" s="78">
        <v>60</v>
      </c>
      <c r="AL67" s="78">
        <v>61</v>
      </c>
      <c r="AM67" s="78">
        <v>62</v>
      </c>
      <c r="AN67" s="78"/>
      <c r="AO67" s="78"/>
      <c r="AP67" s="78"/>
      <c r="AQ67" s="10"/>
    </row>
    <row r="68" spans="1:43" x14ac:dyDescent="0.25">
      <c r="T68" s="10"/>
      <c r="U68" s="10"/>
      <c r="V68" s="10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>
        <v>63</v>
      </c>
      <c r="AH68" s="78">
        <v>64</v>
      </c>
      <c r="AI68" s="78">
        <v>65</v>
      </c>
      <c r="AJ68" s="78">
        <v>66</v>
      </c>
      <c r="AK68" s="78">
        <v>67</v>
      </c>
      <c r="AL68" s="78">
        <v>68</v>
      </c>
      <c r="AM68" s="78">
        <v>69</v>
      </c>
      <c r="AN68" s="78"/>
      <c r="AO68" s="78"/>
      <c r="AP68" s="78"/>
      <c r="AQ68" s="10"/>
    </row>
    <row r="69" spans="1:43" x14ac:dyDescent="0.25">
      <c r="A69" s="3" t="s">
        <v>126</v>
      </c>
      <c r="T69" s="10"/>
      <c r="U69" s="10"/>
      <c r="V69" s="10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>
        <v>70</v>
      </c>
      <c r="AH69" s="78">
        <v>71</v>
      </c>
      <c r="AI69" s="78">
        <v>72</v>
      </c>
      <c r="AJ69" s="78">
        <v>73</v>
      </c>
      <c r="AK69" s="78">
        <v>74</v>
      </c>
      <c r="AL69" s="78">
        <v>75</v>
      </c>
      <c r="AM69" s="78">
        <v>76</v>
      </c>
      <c r="AN69" s="78"/>
      <c r="AO69" s="78"/>
      <c r="AP69" s="78"/>
      <c r="AQ69" s="10"/>
    </row>
    <row r="70" spans="1:43" x14ac:dyDescent="0.25">
      <c r="A70" s="1">
        <v>20</v>
      </c>
      <c r="B70" s="5">
        <f>COUNTIF($AK$6:$AK$13,"&gt;" &amp; A70)</f>
        <v>0</v>
      </c>
      <c r="C70" s="3" t="s">
        <v>127</v>
      </c>
      <c r="E70" s="3" t="s">
        <v>128</v>
      </c>
      <c r="H70" s="1" t="s">
        <v>124</v>
      </c>
      <c r="T70" s="10"/>
      <c r="U70" s="10"/>
      <c r="V70" s="10"/>
      <c r="W70" s="78"/>
      <c r="X70" s="78"/>
      <c r="Y70" s="78"/>
      <c r="Z70" s="78"/>
      <c r="AA70" s="78"/>
      <c r="AB70" s="78"/>
      <c r="AC70" s="78"/>
      <c r="AD70" s="78"/>
      <c r="AE70" s="78"/>
      <c r="AF70" s="78"/>
      <c r="AG70" s="78">
        <v>77</v>
      </c>
      <c r="AH70" s="78">
        <v>78</v>
      </c>
      <c r="AI70" s="78">
        <v>79</v>
      </c>
      <c r="AJ70" s="78">
        <v>80</v>
      </c>
      <c r="AK70" s="78">
        <v>81</v>
      </c>
      <c r="AL70" s="78">
        <v>82</v>
      </c>
      <c r="AM70" s="78">
        <v>83</v>
      </c>
      <c r="AN70" s="78"/>
      <c r="AO70" s="78"/>
      <c r="AP70" s="78"/>
      <c r="AQ70" s="10"/>
    </row>
    <row r="71" spans="1:43" x14ac:dyDescent="0.25">
      <c r="W71" s="78"/>
      <c r="X71" s="78"/>
      <c r="Y71" s="78"/>
      <c r="Z71" s="78"/>
      <c r="AA71" s="78"/>
      <c r="AB71" s="78"/>
      <c r="AC71" s="78"/>
      <c r="AD71" s="78"/>
      <c r="AE71" s="78"/>
      <c r="AF71" s="78"/>
      <c r="AG71" s="78">
        <v>84</v>
      </c>
      <c r="AH71" s="78">
        <v>85</v>
      </c>
      <c r="AI71" s="78">
        <v>86</v>
      </c>
      <c r="AJ71" s="78">
        <v>87</v>
      </c>
      <c r="AK71" s="78">
        <v>88</v>
      </c>
      <c r="AL71" s="78">
        <v>89</v>
      </c>
      <c r="AM71" s="78">
        <v>90</v>
      </c>
      <c r="AN71" s="78"/>
      <c r="AO71" s="78"/>
      <c r="AP71" s="78"/>
    </row>
    <row r="72" spans="1:43" x14ac:dyDescent="0.25"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  <c r="AL72" s="78"/>
      <c r="AM72" s="78"/>
      <c r="AN72" s="78"/>
      <c r="AO72" s="78"/>
      <c r="AP72" s="78"/>
    </row>
    <row r="73" spans="1:43" x14ac:dyDescent="0.25">
      <c r="W73" s="78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8"/>
      <c r="AK73" s="78"/>
      <c r="AL73" s="78"/>
      <c r="AM73" s="78"/>
      <c r="AN73" s="78"/>
      <c r="AO73" s="78"/>
      <c r="AP73" s="78"/>
    </row>
    <row r="74" spans="1:43" x14ac:dyDescent="0.25"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78"/>
      <c r="AO74" s="78"/>
      <c r="AP74" s="78"/>
    </row>
    <row r="75" spans="1:43" x14ac:dyDescent="0.25"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  <c r="AK75" s="78"/>
      <c r="AL75" s="78"/>
      <c r="AM75" s="78"/>
      <c r="AN75" s="78"/>
      <c r="AO75" s="78"/>
      <c r="AP75" s="78"/>
    </row>
    <row r="76" spans="1:43" x14ac:dyDescent="0.25">
      <c r="W76" s="78"/>
      <c r="X76" s="78"/>
      <c r="Y76" s="78"/>
      <c r="Z76" s="78"/>
      <c r="AA76" s="78"/>
      <c r="AB76" s="78"/>
      <c r="AC76" s="78"/>
      <c r="AD76" s="78"/>
      <c r="AE76" s="78"/>
      <c r="AF76" s="78"/>
      <c r="AG76" s="78"/>
      <c r="AH76" s="78"/>
      <c r="AI76" s="78"/>
      <c r="AJ76" s="78"/>
      <c r="AK76" s="78"/>
      <c r="AL76" s="78"/>
      <c r="AM76" s="78"/>
      <c r="AN76" s="78"/>
      <c r="AO76" s="78"/>
      <c r="AP76" s="78"/>
    </row>
    <row r="77" spans="1:43" x14ac:dyDescent="0.25"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78"/>
      <c r="AK77" s="78"/>
      <c r="AL77" s="78"/>
      <c r="AM77" s="78"/>
      <c r="AN77" s="78"/>
      <c r="AO77" s="78"/>
      <c r="AP77" s="78"/>
    </row>
    <row r="78" spans="1:43" x14ac:dyDescent="0.25">
      <c r="W78" s="78"/>
      <c r="X78" s="78"/>
      <c r="Y78" s="78"/>
      <c r="Z78" s="78"/>
      <c r="AA78" s="78"/>
      <c r="AB78" s="78"/>
      <c r="AC78" s="78"/>
      <c r="AD78" s="78"/>
      <c r="AE78" s="78"/>
      <c r="AF78" s="78"/>
      <c r="AG78" s="78"/>
      <c r="AH78" s="78"/>
      <c r="AI78" s="78"/>
      <c r="AJ78" s="78"/>
      <c r="AK78" s="78"/>
      <c r="AL78" s="78"/>
      <c r="AM78" s="78"/>
      <c r="AN78" s="78"/>
      <c r="AO78" s="78"/>
      <c r="AP78" s="78"/>
    </row>
    <row r="79" spans="1:43" x14ac:dyDescent="0.25">
      <c r="W79" s="78"/>
      <c r="X79" s="78"/>
      <c r="Y79" s="78"/>
      <c r="Z79" s="78"/>
      <c r="AA79" s="78"/>
      <c r="AB79" s="78"/>
      <c r="AC79" s="78"/>
      <c r="AD79" s="78"/>
      <c r="AE79" s="78"/>
      <c r="AF79" s="78"/>
      <c r="AG79" s="78"/>
      <c r="AH79" s="78"/>
      <c r="AI79" s="78"/>
      <c r="AJ79" s="78"/>
      <c r="AK79" s="78"/>
      <c r="AL79" s="78"/>
      <c r="AM79" s="78"/>
      <c r="AN79" s="78"/>
      <c r="AO79" s="78"/>
      <c r="AP79" s="78"/>
    </row>
    <row r="80" spans="1:43" x14ac:dyDescent="0.25">
      <c r="W80" s="78"/>
      <c r="X80" s="78"/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  <c r="AJ80" s="78"/>
      <c r="AK80" s="78"/>
      <c r="AL80" s="78"/>
      <c r="AM80" s="78"/>
      <c r="AN80" s="78"/>
      <c r="AO80" s="78"/>
      <c r="AP80" s="78"/>
    </row>
    <row r="81" spans="1:42" x14ac:dyDescent="0.25"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  <c r="AJ81" s="78"/>
      <c r="AK81" s="78"/>
      <c r="AL81" s="78"/>
      <c r="AM81" s="78"/>
      <c r="AN81" s="78"/>
      <c r="AO81" s="78"/>
      <c r="AP81" s="78"/>
    </row>
    <row r="82" spans="1:42" x14ac:dyDescent="0.25"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8"/>
      <c r="AH82" s="78"/>
      <c r="AI82" s="78"/>
      <c r="AJ82" s="78"/>
      <c r="AK82" s="78"/>
      <c r="AL82" s="78"/>
      <c r="AM82" s="78"/>
      <c r="AN82" s="78"/>
      <c r="AO82" s="78"/>
      <c r="AP82" s="78"/>
    </row>
    <row r="83" spans="1:42" x14ac:dyDescent="0.25"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</row>
    <row r="84" spans="1:42" x14ac:dyDescent="0.25"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</row>
    <row r="85" spans="1:42" x14ac:dyDescent="0.25"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</row>
    <row r="86" spans="1:42" x14ac:dyDescent="0.25"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8"/>
      <c r="AO86" s="78"/>
      <c r="AP86" s="78"/>
    </row>
    <row r="87" spans="1:42" x14ac:dyDescent="0.25"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  <c r="AN87" s="78"/>
      <c r="AO87" s="78"/>
      <c r="AP87" s="78"/>
    </row>
    <row r="95" spans="1:42" ht="13" x14ac:dyDescent="0.3">
      <c r="A95" s="4"/>
    </row>
  </sheetData>
  <sheetProtection algorithmName="SHA-512" hashValue="fLVhxo6/RYrWXXDbPWb0ZACpmylpag02dC+aJa4uT3Nk6pXYNWBv9G0wBqVv3fx/dSGb/cUlmJWws2wEHYCQHw==" saltValue="oT4WN7BhoUwr8iTaKFBsRg==" spinCount="100000" sheet="1" objects="1" scenarios="1"/>
  <mergeCells count="27">
    <mergeCell ref="A1:C1"/>
    <mergeCell ref="H1:L1"/>
    <mergeCell ref="A2:C2"/>
    <mergeCell ref="A3:C3"/>
    <mergeCell ref="B4:F4"/>
    <mergeCell ref="G4:J4"/>
    <mergeCell ref="L4:O4"/>
    <mergeCell ref="I2:J2"/>
    <mergeCell ref="Q4:T4"/>
    <mergeCell ref="V4:Y4"/>
    <mergeCell ref="AA4:AD4"/>
    <mergeCell ref="AF4:AI4"/>
    <mergeCell ref="AG39:AK39"/>
    <mergeCell ref="A28:C28"/>
    <mergeCell ref="A29:C29"/>
    <mergeCell ref="A30:C30"/>
    <mergeCell ref="D32:E32"/>
    <mergeCell ref="H32:I32"/>
    <mergeCell ref="A37:C37"/>
    <mergeCell ref="D31:E31"/>
    <mergeCell ref="H31:I31"/>
    <mergeCell ref="A36:E36"/>
    <mergeCell ref="N32:O32"/>
    <mergeCell ref="A33:C33"/>
    <mergeCell ref="G33:H33"/>
    <mergeCell ref="A34:B34"/>
    <mergeCell ref="N31:O31"/>
  </mergeCells>
  <conditionalFormatting sqref="A6:A17">
    <cfRule type="cellIs" dxfId="610" priority="363" operator="equal">
      <formula>0</formula>
    </cfRule>
  </conditionalFormatting>
  <conditionalFormatting sqref="A37">
    <cfRule type="cellIs" dxfId="609" priority="243" operator="notEqual">
      <formula>$E$2</formula>
    </cfRule>
    <cfRule type="cellIs" dxfId="608" priority="244" operator="equal">
      <formula>$E$2</formula>
    </cfRule>
  </conditionalFormatting>
  <conditionalFormatting sqref="A32:D32 F32:H32 C34">
    <cfRule type="cellIs" dxfId="607" priority="241" operator="notEqual">
      <formula>$E$3</formula>
    </cfRule>
    <cfRule type="cellIs" dxfId="606" priority="242" operator="equal">
      <formula>$E$3</formula>
    </cfRule>
  </conditionalFormatting>
  <conditionalFormatting sqref="B6:D17">
    <cfRule type="expression" dxfId="605" priority="112">
      <formula>$A6=0</formula>
    </cfRule>
  </conditionalFormatting>
  <conditionalFormatting sqref="E6:E17">
    <cfRule type="expression" dxfId="604" priority="116">
      <formula>AND($H$67="ja",E6&gt;$A$67)</formula>
    </cfRule>
    <cfRule type="cellIs" dxfId="603" priority="117" operator="greaterThanOrEqual">
      <formula>0</formula>
    </cfRule>
  </conditionalFormatting>
  <conditionalFormatting sqref="F6:F17">
    <cfRule type="cellIs" dxfId="602" priority="31" operator="lessThan">
      <formula>$A$45</formula>
    </cfRule>
    <cfRule type="cellIs" dxfId="601" priority="32" operator="equal">
      <formula>0</formula>
    </cfRule>
    <cfRule type="cellIs" dxfId="600" priority="33" operator="notEqual">
      <formula>0</formula>
    </cfRule>
  </conditionalFormatting>
  <conditionalFormatting sqref="G6:I17">
    <cfRule type="expression" dxfId="599" priority="52">
      <formula>$A6=0</formula>
    </cfRule>
  </conditionalFormatting>
  <conditionalFormatting sqref="J6:J17">
    <cfRule type="expression" dxfId="598" priority="104">
      <formula>AND($H$67="ja",J6&gt;$A$67)</formula>
    </cfRule>
    <cfRule type="cellIs" dxfId="597" priority="105" operator="greaterThanOrEqual">
      <formula>0</formula>
    </cfRule>
  </conditionalFormatting>
  <conditionalFormatting sqref="J32:N32">
    <cfRule type="cellIs" dxfId="596" priority="239" operator="notEqual">
      <formula>$E$3</formula>
    </cfRule>
    <cfRule type="cellIs" dxfId="595" priority="240" operator="equal">
      <formula>$E$3</formula>
    </cfRule>
  </conditionalFormatting>
  <conditionalFormatting sqref="K6:K17">
    <cfRule type="cellIs" dxfId="594" priority="28" operator="lessThan">
      <formula>$A$45</formula>
    </cfRule>
    <cfRule type="cellIs" dxfId="593" priority="29" operator="equal">
      <formula>0</formula>
    </cfRule>
    <cfRule type="cellIs" dxfId="592" priority="30" operator="notEqual">
      <formula>0</formula>
    </cfRule>
  </conditionalFormatting>
  <conditionalFormatting sqref="L6:N17">
    <cfRule type="expression" dxfId="591" priority="48">
      <formula>$A6=0</formula>
    </cfRule>
  </conditionalFormatting>
  <conditionalFormatting sqref="O6:O17">
    <cfRule type="cellIs" dxfId="590" priority="97" operator="greaterThanOrEqual">
      <formula>0</formula>
    </cfRule>
    <cfRule type="expression" dxfId="589" priority="96">
      <formula>AND($H$67="ja",O6&gt;$A$67)</formula>
    </cfRule>
  </conditionalFormatting>
  <conditionalFormatting sqref="P6:P17">
    <cfRule type="cellIs" dxfId="588" priority="22" operator="lessThan">
      <formula>$A$45</formula>
    </cfRule>
    <cfRule type="cellIs" dxfId="587" priority="23" operator="equal">
      <formula>0</formula>
    </cfRule>
    <cfRule type="cellIs" dxfId="586" priority="24" operator="notEqual">
      <formula>0</formula>
    </cfRule>
  </conditionalFormatting>
  <conditionalFormatting sqref="Q6:S17">
    <cfRule type="expression" dxfId="585" priority="47">
      <formula>$A6=0</formula>
    </cfRule>
  </conditionalFormatting>
  <conditionalFormatting sqref="T6:T17">
    <cfRule type="cellIs" dxfId="584" priority="89" operator="greaterThanOrEqual">
      <formula>0</formula>
    </cfRule>
    <cfRule type="expression" dxfId="583" priority="88">
      <formula>AND($H$67="ja",T6&gt;$A$67)</formula>
    </cfRule>
  </conditionalFormatting>
  <conditionalFormatting sqref="U6:U17">
    <cfRule type="cellIs" dxfId="582" priority="17" operator="equal">
      <formula>0</formula>
    </cfRule>
    <cfRule type="cellIs" dxfId="581" priority="16" operator="lessThan">
      <formula>$A$45</formula>
    </cfRule>
    <cfRule type="cellIs" dxfId="580" priority="18" operator="notEqual">
      <formula>0</formula>
    </cfRule>
  </conditionalFormatting>
  <conditionalFormatting sqref="V6:X17">
    <cfRule type="expression" dxfId="579" priority="46">
      <formula>$A6=0</formula>
    </cfRule>
  </conditionalFormatting>
  <conditionalFormatting sqref="Y6:Y17 AD6:AD17 AI6:AI17">
    <cfRule type="expression" dxfId="578" priority="59">
      <formula>AND($H$67="ja",Y6&gt;$A$67)</formula>
    </cfRule>
    <cfRule type="cellIs" dxfId="577" priority="60" operator="greaterThanOrEqual">
      <formula>0</formula>
    </cfRule>
  </conditionalFormatting>
  <conditionalFormatting sqref="Z6:Z17">
    <cfRule type="cellIs" dxfId="576" priority="11" operator="equal">
      <formula>0</formula>
    </cfRule>
    <cfRule type="cellIs" dxfId="575" priority="10" operator="lessThan">
      <formula>$A$45</formula>
    </cfRule>
    <cfRule type="cellIs" dxfId="574" priority="12" operator="notEqual">
      <formula>0</formula>
    </cfRule>
  </conditionalFormatting>
  <conditionalFormatting sqref="AA6:AC17">
    <cfRule type="expression" dxfId="573" priority="43">
      <formula>$A6=0</formula>
    </cfRule>
  </conditionalFormatting>
  <conditionalFormatting sqref="AE6:AE17">
    <cfRule type="cellIs" dxfId="572" priority="5" operator="equal">
      <formula>0</formula>
    </cfRule>
    <cfRule type="cellIs" dxfId="571" priority="4" operator="lessThan">
      <formula>$A$45</formula>
    </cfRule>
    <cfRule type="cellIs" dxfId="570" priority="6" operator="notEqual">
      <formula>0</formula>
    </cfRule>
  </conditionalFormatting>
  <conditionalFormatting sqref="AF6:AH17">
    <cfRule type="expression" dxfId="569" priority="34">
      <formula>$A6=0</formula>
    </cfRule>
  </conditionalFormatting>
  <conditionalFormatting sqref="AJ6:AJ17">
    <cfRule type="cellIs" dxfId="568" priority="3" operator="notEqual">
      <formula>0</formula>
    </cfRule>
    <cfRule type="cellIs" dxfId="567" priority="2" operator="equal">
      <formula>0</formula>
    </cfRule>
    <cfRule type="cellIs" dxfId="566" priority="1" operator="lessThan">
      <formula>$A$45</formula>
    </cfRule>
  </conditionalFormatting>
  <conditionalFormatting sqref="AK6:AK17">
    <cfRule type="expression" dxfId="565" priority="58">
      <formula>AND($H$70="ja",AK6&gt;$A$70)</formula>
    </cfRule>
    <cfRule type="cellIs" dxfId="564" priority="61" operator="greaterThanOrEqual">
      <formula>0</formula>
    </cfRule>
  </conditionalFormatting>
  <dataValidations count="1">
    <dataValidation type="list" allowBlank="1" showInputMessage="1" showErrorMessage="1" sqref="H67 H70" xr:uid="{00000000-0002-0000-0E00-000000000000}">
      <formula1>Ja_og_nei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8"/>
  <dimension ref="A1:AQ95"/>
  <sheetViews>
    <sheetView zoomScale="85" zoomScaleNormal="85" workbookViewId="0">
      <pane ySplit="24" topLeftCell="A25" activePane="bottomLeft" state="frozen"/>
      <selection pane="bottomLeft" activeCell="C9" sqref="C9"/>
    </sheetView>
  </sheetViews>
  <sheetFormatPr defaultColWidth="9.08984375" defaultRowHeight="12.5" x14ac:dyDescent="0.25"/>
  <cols>
    <col min="1" max="1" width="10.7265625" style="3" customWidth="1"/>
    <col min="2" max="2" width="7.6328125" style="3" customWidth="1"/>
    <col min="3" max="3" width="7.81640625" style="3" customWidth="1"/>
    <col min="4" max="4" width="4.36328125" style="3" bestFit="1" customWidth="1"/>
    <col min="5" max="6" width="10" style="3" customWidth="1"/>
    <col min="7" max="7" width="7" style="3" customWidth="1"/>
    <col min="8" max="8" width="7.6328125" style="3" customWidth="1"/>
    <col min="9" max="9" width="4.36328125" style="3" bestFit="1" customWidth="1"/>
    <col min="10" max="11" width="10" style="3" customWidth="1"/>
    <col min="12" max="12" width="7.26953125" style="3" customWidth="1"/>
    <col min="13" max="13" width="7.7265625" style="3" customWidth="1"/>
    <col min="14" max="14" width="4.36328125" style="3" bestFit="1" customWidth="1"/>
    <col min="15" max="15" width="10.08984375" style="3" bestFit="1" customWidth="1"/>
    <col min="16" max="16" width="10.08984375" style="3" customWidth="1"/>
    <col min="17" max="17" width="7.6328125" style="3" customWidth="1"/>
    <col min="18" max="18" width="7.7265625" style="3" customWidth="1"/>
    <col min="19" max="19" width="4.36328125" style="3" bestFit="1" customWidth="1"/>
    <col min="20" max="20" width="10.08984375" style="3" bestFit="1" customWidth="1"/>
    <col min="21" max="21" width="10.08984375" style="3" customWidth="1"/>
    <col min="22" max="22" width="8.36328125" style="3" customWidth="1"/>
    <col min="23" max="23" width="8.81640625" style="3" customWidth="1"/>
    <col min="24" max="24" width="4.36328125" style="3" bestFit="1" customWidth="1"/>
    <col min="25" max="26" width="10" style="3" customWidth="1"/>
    <col min="27" max="28" width="7.81640625" style="3" customWidth="1"/>
    <col min="29" max="29" width="4.36328125" style="3" bestFit="1" customWidth="1"/>
    <col min="30" max="31" width="9.7265625" style="3" customWidth="1"/>
    <col min="32" max="32" width="6.81640625" style="3" customWidth="1"/>
    <col min="33" max="33" width="7.6328125" style="3" customWidth="1"/>
    <col min="34" max="34" width="4.36328125" style="3" bestFit="1" customWidth="1"/>
    <col min="35" max="36" width="9.6328125" style="3" customWidth="1"/>
    <col min="37" max="37" width="15.6328125" style="3" bestFit="1" customWidth="1"/>
    <col min="38" max="16384" width="9.08984375" style="3"/>
  </cols>
  <sheetData>
    <row r="1" spans="1:39" ht="13" x14ac:dyDescent="0.3">
      <c r="A1" s="98" t="s">
        <v>66</v>
      </c>
      <c r="B1" s="98"/>
      <c r="C1" s="98"/>
      <c r="D1" s="88"/>
      <c r="E1" s="5" t="str">
        <f>Vaktplan!G38</f>
        <v>mandag</v>
      </c>
      <c r="H1" s="98" t="s">
        <v>67</v>
      </c>
      <c r="I1" s="98"/>
      <c r="J1" s="98"/>
      <c r="K1" s="98"/>
      <c r="L1" s="98"/>
      <c r="M1" s="5">
        <f>Vaktplan!AJ54</f>
        <v>12</v>
      </c>
    </row>
    <row r="2" spans="1:39" ht="13" x14ac:dyDescent="0.3">
      <c r="A2" s="98" t="s">
        <v>36</v>
      </c>
      <c r="B2" s="98"/>
      <c r="C2" s="98"/>
      <c r="D2" s="88"/>
      <c r="E2" s="8">
        <f>Vaktplan!AM54</f>
        <v>0</v>
      </c>
      <c r="I2" s="106"/>
      <c r="J2" s="106"/>
    </row>
    <row r="3" spans="1:39" ht="13" x14ac:dyDescent="0.3">
      <c r="A3" s="98" t="s">
        <v>68</v>
      </c>
      <c r="B3" s="98"/>
      <c r="C3" s="98"/>
      <c r="D3" s="88"/>
      <c r="E3" s="5">
        <f>Vaktplan!AQ54</f>
        <v>0</v>
      </c>
      <c r="F3" s="4" t="s">
        <v>69</v>
      </c>
    </row>
    <row r="4" spans="1:39" ht="13" x14ac:dyDescent="0.3">
      <c r="A4" s="89" t="s">
        <v>70</v>
      </c>
      <c r="B4" s="103" t="str">
        <f>TEXT(AG39,"DDDD")</f>
        <v>Monday</v>
      </c>
      <c r="C4" s="104"/>
      <c r="D4" s="104"/>
      <c r="E4" s="104"/>
      <c r="F4" s="105"/>
      <c r="G4" s="102" t="str">
        <f>TEXT($AG$39+1,"DDDD")</f>
        <v>Tuesday</v>
      </c>
      <c r="H4" s="102"/>
      <c r="I4" s="102"/>
      <c r="J4" s="102"/>
      <c r="K4" s="89"/>
      <c r="L4" s="102" t="str">
        <f>TEXT($AG$39+2,"DDDD")</f>
        <v>Wednesday</v>
      </c>
      <c r="M4" s="102"/>
      <c r="N4" s="102"/>
      <c r="O4" s="102"/>
      <c r="P4" s="89"/>
      <c r="Q4" s="102" t="str">
        <f>TEXT($AG$39+3,"DDDD")</f>
        <v>Thursday</v>
      </c>
      <c r="R4" s="102"/>
      <c r="S4" s="102"/>
      <c r="T4" s="102"/>
      <c r="U4" s="89"/>
      <c r="V4" s="102" t="str">
        <f>TEXT($AG$39+4,"DDDD")</f>
        <v>Friday</v>
      </c>
      <c r="W4" s="102"/>
      <c r="X4" s="102"/>
      <c r="Y4" s="102"/>
      <c r="Z4" s="89"/>
      <c r="AA4" s="102" t="str">
        <f>TEXT($AG$39+5,"DDDD")</f>
        <v>Saturday</v>
      </c>
      <c r="AB4" s="102"/>
      <c r="AC4" s="102"/>
      <c r="AD4" s="102"/>
      <c r="AE4" s="89"/>
      <c r="AF4" s="102" t="str">
        <f>TEXT($AG$39+6,"DDDD")</f>
        <v>Sunday</v>
      </c>
      <c r="AG4" s="102"/>
      <c r="AH4" s="102"/>
      <c r="AI4" s="102"/>
      <c r="AJ4" s="89"/>
      <c r="AK4" s="7" t="s">
        <v>71</v>
      </c>
      <c r="AL4" s="91"/>
    </row>
    <row r="5" spans="1:39" x14ac:dyDescent="0.25">
      <c r="A5" s="6"/>
      <c r="B5" s="6" t="s">
        <v>72</v>
      </c>
      <c r="C5" s="6" t="s">
        <v>73</v>
      </c>
      <c r="D5" s="6" t="s">
        <v>55</v>
      </c>
      <c r="E5" s="6" t="s">
        <v>74</v>
      </c>
      <c r="F5" s="6" t="s">
        <v>75</v>
      </c>
      <c r="G5" s="6" t="s">
        <v>72</v>
      </c>
      <c r="H5" s="6" t="s">
        <v>73</v>
      </c>
      <c r="I5" s="6" t="s">
        <v>55</v>
      </c>
      <c r="J5" s="6" t="s">
        <v>74</v>
      </c>
      <c r="K5" s="6" t="s">
        <v>75</v>
      </c>
      <c r="L5" s="6" t="s">
        <v>72</v>
      </c>
      <c r="M5" s="6" t="s">
        <v>73</v>
      </c>
      <c r="N5" s="6" t="s">
        <v>55</v>
      </c>
      <c r="O5" s="6" t="s">
        <v>74</v>
      </c>
      <c r="P5" s="6" t="s">
        <v>75</v>
      </c>
      <c r="Q5" s="6" t="s">
        <v>72</v>
      </c>
      <c r="R5" s="6" t="s">
        <v>73</v>
      </c>
      <c r="S5" s="6" t="s">
        <v>55</v>
      </c>
      <c r="T5" s="6" t="s">
        <v>74</v>
      </c>
      <c r="U5" s="6" t="s">
        <v>75</v>
      </c>
      <c r="V5" s="6" t="s">
        <v>72</v>
      </c>
      <c r="W5" s="6" t="s">
        <v>73</v>
      </c>
      <c r="X5" s="6" t="s">
        <v>55</v>
      </c>
      <c r="Y5" s="6" t="s">
        <v>74</v>
      </c>
      <c r="Z5" s="6" t="s">
        <v>75</v>
      </c>
      <c r="AA5" s="6" t="s">
        <v>72</v>
      </c>
      <c r="AB5" s="6" t="s">
        <v>73</v>
      </c>
      <c r="AC5" s="6" t="s">
        <v>55</v>
      </c>
      <c r="AD5" s="6" t="s">
        <v>74</v>
      </c>
      <c r="AE5" s="6" t="s">
        <v>75</v>
      </c>
      <c r="AF5" s="6" t="s">
        <v>72</v>
      </c>
      <c r="AG5" s="6" t="s">
        <v>73</v>
      </c>
      <c r="AH5" s="6" t="s">
        <v>55</v>
      </c>
      <c r="AI5" s="6" t="s">
        <v>74</v>
      </c>
      <c r="AJ5" s="6" t="s">
        <v>75</v>
      </c>
      <c r="AK5" s="6"/>
      <c r="AL5" s="91"/>
    </row>
    <row r="6" spans="1:39" ht="13" x14ac:dyDescent="0.25">
      <c r="A6" s="7">
        <f>IF(M1&gt;=1,1,0)</f>
        <v>1</v>
      </c>
      <c r="B6" s="77">
        <f>IFERROR(VLOOKUP(Vaktplan!$A$54,Vaktplan!$A$4:$CL$35,87-AH59,FALSE),0)</f>
        <v>0</v>
      </c>
      <c r="C6" s="77">
        <f>IFERROR(VLOOKUP(Vaktplan!$A$54,Vaktplan!$A$4:$CL$35,87-AG59,FALSE),0)</f>
        <v>0</v>
      </c>
      <c r="D6" s="9">
        <f>IFERROR(VLOOKUP(Vaktplan!$A$54,Vaktplan!$A$4:$CL$35,89-AG59,FALSE),0)</f>
        <v>0</v>
      </c>
      <c r="E6" s="9">
        <f>IF(AND(B6=0,C6=0),0,IF(B6&lt;C6,((C6-B6)*24)-D6,(((1-B6)+C6)*24)-D6))</f>
        <v>0</v>
      </c>
      <c r="F6" s="9">
        <f>IF(AND(C6=0,G6=0),24,IF(C6=0,12+(G6*24),IF(C6&lt;G6,((G6-C6)*24),IF(G6=0,(1-C6+0.5)*24,((1-C6)+G6)*24))))</f>
        <v>24</v>
      </c>
      <c r="G6" s="77">
        <f>IFERROR(VLOOKUP(Vaktplan!$A$54,Vaktplan!$B$4:$CL$35,86-AH59,FALSE),0)</f>
        <v>0</v>
      </c>
      <c r="H6" s="77">
        <f>IFERROR(VLOOKUP(Vaktplan!$A$54,Vaktplan!$B$4:$CL$35,86-AG59,FALSE),0)</f>
        <v>0</v>
      </c>
      <c r="I6" s="9">
        <f>IFERROR(VLOOKUP(Vaktplan!$A$54,Vaktplan!$B$4:$CL$35,89-$AH59,FALSE),0)</f>
        <v>0</v>
      </c>
      <c r="J6" s="9">
        <f>IF(AND(G6=0,H6=0),0,IF(G6&lt;H6,((H6-G6)*24)-I6,(((1-G6)+H6)*24)-I6))</f>
        <v>0</v>
      </c>
      <c r="K6" s="9">
        <f>IF(AND(H6=0,L6=0),24,IF(H6=0,12+(L6*24),IF(H6&lt;L6,((L6-H6)*24),IF(L6=0,(1-H6+0.5)*24,((1-H6)+L6)*24))))</f>
        <v>24</v>
      </c>
      <c r="L6" s="77">
        <f>IFERROR(VLOOKUP(Vaktplan!$A$54,Vaktplan!$C$4:$CL$35,86-AI59,FALSE),0)</f>
        <v>0</v>
      </c>
      <c r="M6" s="77">
        <f>IFERROR(VLOOKUP(Vaktplan!$A$54,Vaktplan!$C$4:$CL$35,86-AH59,FALSE),0)</f>
        <v>0</v>
      </c>
      <c r="N6" s="9">
        <f>IFERROR(VLOOKUP(Vaktplan!$A$54,Vaktplan!$C$4:$CL$35,89-$AI59,FALSE),0)</f>
        <v>0</v>
      </c>
      <c r="O6" s="9">
        <f>IF(AND(L6=0,M6=0),0,IF(L6&lt;M6,((M6-L6)*24)-N6,(((1-L6)+M6)*24)-N6))</f>
        <v>0</v>
      </c>
      <c r="P6" s="9">
        <f>IF(AND(M6=0,Q6=0),24,IF(M6=0,12+(Q6*24),IF(M6&lt;Q6,((Q6-M6)*24),IF(Q6=0,(1-M6+0.5)*24,((1-M6)+Q6)*24))))</f>
        <v>24</v>
      </c>
      <c r="Q6" s="77">
        <f>IFERROR(VLOOKUP(Vaktplan!$A$54,Vaktplan!$D$4:$CL$35,86-AJ59,FALSE),0)</f>
        <v>0</v>
      </c>
      <c r="R6" s="77">
        <f>IFERROR(VLOOKUP(Vaktplan!$A$54,Vaktplan!$D$4:$CL$35,86-AI59,FALSE),0)</f>
        <v>0</v>
      </c>
      <c r="S6" s="9">
        <f>IFERROR(VLOOKUP(Vaktplan!$A$54,Vaktplan!$D$4:$CL$35,89-$AJ59,FALSE),0)</f>
        <v>0</v>
      </c>
      <c r="T6" s="9">
        <f t="shared" ref="T6:T17" si="0">IF(AND(Q6=0,R6=0),0,IF(Q6&lt;R6,((R6-Q6)*24)-S6,(((1-Q6)+R6)*24)-S6))</f>
        <v>0</v>
      </c>
      <c r="U6" s="9">
        <f>IF(AND(R6=0,V6=0),24,IF(R6=0,12+(V6*24),IF(R6&lt;V6,((V6-R6)*24),IF(V6=0,(1-R6+0.5)*24,((1-R6)+V6)*24))))</f>
        <v>24</v>
      </c>
      <c r="V6" s="77">
        <f>IFERROR(VLOOKUP(Vaktplan!$A$54,Vaktplan!$E$4:$CL$35,86-AK59,FALSE),0)</f>
        <v>0</v>
      </c>
      <c r="W6" s="77">
        <f>IFERROR(VLOOKUP(Vaktplan!$A$54,Vaktplan!$E$4:$CL$35,86-AJ59,FALSE),0)</f>
        <v>0</v>
      </c>
      <c r="X6" s="9">
        <f>IFERROR(VLOOKUP(Vaktplan!$A$54,Vaktplan!$E$4:$CL$35,89-$AK59,FALSE),0)</f>
        <v>0</v>
      </c>
      <c r="Y6" s="9">
        <f>IF(AND(V6=0,W6=0),0,IF(V6&lt;W6,((W6-V6)*24)-X6,(((1-V6)+W6)*24)-X6))</f>
        <v>0</v>
      </c>
      <c r="Z6" s="9">
        <f>IF(AND(W6=0,AA6=0),24,IF(W6=0,12+(AA6*24),IF(W6&lt;AA6,((AA6-W6)*24),IF(AA6=0,(1-W6+0.5)*24,((1-W6)+AA6)*24))))</f>
        <v>24</v>
      </c>
      <c r="AA6" s="77">
        <f>IFERROR(VLOOKUP(Vaktplan!$A$54,Vaktplan!$F$4:$CL$35,86-AL59,FALSE),0)</f>
        <v>0</v>
      </c>
      <c r="AB6" s="77">
        <f>IFERROR(VLOOKUP(Vaktplan!$A$54,Vaktplan!$F$4:$CL$35,86-AK59,FALSE),0)</f>
        <v>0</v>
      </c>
      <c r="AC6" s="9">
        <f>IFERROR(VLOOKUP(Vaktplan!$A$54,Vaktplan!$F$4:$CL$35,89-$AL59,FALSE),0)</f>
        <v>0</v>
      </c>
      <c r="AD6" s="9">
        <f>IF(AND(AA6=0,AB6=0),0,IF(AA6&lt;AB6,((AB6-AA6)*24)-AC6,(((1-AA6)+AB6)*24)-AC6))</f>
        <v>0</v>
      </c>
      <c r="AE6" s="9">
        <f>IF(AND(AB6=0,AF6=0),24,IF(AB6=0,12+(AF6*24),IF(AB6&lt;AF6,((AF6-AB6)*24),IF(AF6=0,(1-AB6+0.5)*24,((1-AB6)+AF6)*24))))</f>
        <v>24</v>
      </c>
      <c r="AF6" s="77">
        <f>IFERROR(VLOOKUP(Vaktplan!$A$54,Vaktplan!$G$4:$CL$35,86-AM59,FALSE),0)</f>
        <v>0</v>
      </c>
      <c r="AG6" s="77">
        <f>IFERROR(VLOOKUP(Vaktplan!$A$54,Vaktplan!$G$4:$CL$35,86-AL59,FALSE),0)</f>
        <v>0</v>
      </c>
      <c r="AH6" s="9">
        <f>IFERROR(VLOOKUP(Vaktplan!$A$54,Vaktplan!$G$4:$CL$35,89-$AM59,FALSE),0)</f>
        <v>0</v>
      </c>
      <c r="AI6" s="9">
        <f>IF(AND(AF6=0,AG6=0),0,IF(AF6&lt;AG6,((AG6-AF6)*24)-AH6,(((1-AF6)+AG6)*24)-AH6))</f>
        <v>0</v>
      </c>
      <c r="AJ6" s="9">
        <f>IF($M$1=AL28,IF(AND(AG6=0,B6=0),24,IF(AG6=0,12+($B$6*24),IF(AG6&lt;$B$6,(($B$6-AG6)*24),IF($B$6=0,(1-AG6+1)*24,((1-AG6)+$B$6)*24)))),IF(AND(AG6=0,B7=0),24,IF(AG6=0,12+(B7*24),IF(AG6&lt;B7,((B7-AG6)*24),IF(B7=0,(1-AG6+1)*24,((1-AG6)+B7)*24)))))</f>
        <v>24</v>
      </c>
      <c r="AK6" s="9">
        <f t="shared" ref="AK6:AK17" si="1">E6+J6+O6+T6+Y6+AD6+AI6</f>
        <v>0</v>
      </c>
      <c r="AL6" s="92">
        <f>AJ6</f>
        <v>24</v>
      </c>
      <c r="AM6" s="10">
        <f>AK6</f>
        <v>0</v>
      </c>
    </row>
    <row r="7" spans="1:39" ht="13" x14ac:dyDescent="0.25">
      <c r="A7" s="7">
        <f>IF($M$1&gt;=2,2,0)</f>
        <v>2</v>
      </c>
      <c r="B7" s="77">
        <f>IFERROR(VLOOKUP(Vaktplan!$A$54,Vaktplan!$H$4:$CL$35,87-AH60,FALSE),0)</f>
        <v>0</v>
      </c>
      <c r="C7" s="77">
        <f>IFERROR(VLOOKUP(Vaktplan!$A$54,Vaktplan!$H$4:$CL$35,87-AG60,FALSE),0)</f>
        <v>0</v>
      </c>
      <c r="D7" s="9">
        <f>IFERROR(VLOOKUP(Vaktplan!$A$54,Vaktplan!$H$4:$CL$35,89-AG60,FALSE),0)</f>
        <v>0</v>
      </c>
      <c r="E7" s="9">
        <f>IF(AND(B7=0,C7=0),0,IF(B7&lt;C7,((C7-B7)*24)-D7,(((1-B7)+C7)*24)-D7))</f>
        <v>0</v>
      </c>
      <c r="F7" s="9">
        <f t="shared" ref="F7:F17" si="2">IF(AND(C7=0,G7=0),24,IF(C7=0,12+(G7*24),IF(C7&lt;G7,((G7-C7)*24),IF(G7=0,(1-C7+0.5)*24,((1-C7)+G7)*24))))</f>
        <v>24</v>
      </c>
      <c r="G7" s="77">
        <f>IFERROR(VLOOKUP(Vaktplan!$A$54,Vaktplan!$I$4:$CL$35,86-AH60,FALSE),0)</f>
        <v>0</v>
      </c>
      <c r="H7" s="77">
        <f>IFERROR(VLOOKUP(Vaktplan!$A$54,Vaktplan!$I$4:$CL$35,86-AG60,FALSE),0)</f>
        <v>0</v>
      </c>
      <c r="I7" s="9">
        <f>IFERROR(VLOOKUP(Vaktplan!$A$54,Vaktplan!$I$4:$CL$35,89-$AH60,FALSE),0)</f>
        <v>0</v>
      </c>
      <c r="J7" s="9">
        <f t="shared" ref="J7:J17" si="3">IF(AND(G7=0,H7=0),0,IF(G7&lt;H7,((H7-G7)*24)-I7,(((1-G7)+H7)*24)-I7))</f>
        <v>0</v>
      </c>
      <c r="K7" s="9">
        <f t="shared" ref="K7:K17" si="4">IF(AND(H7=0,L7=0),24,IF(H7=0,12+(L7*24),IF(H7&lt;L7,((L7-H7)*24),IF(L7=0,(1-H7+0.5)*24,((1-H7)+L7)*24))))</f>
        <v>24</v>
      </c>
      <c r="L7" s="77">
        <f>IFERROR(VLOOKUP(Vaktplan!$A$54,Vaktplan!$J$4:$CL$35,86-AI60,FALSE),0)</f>
        <v>0</v>
      </c>
      <c r="M7" s="77">
        <f>IFERROR(VLOOKUP(Vaktplan!$A$54,Vaktplan!$J$4:$CL$35,86-AH60,FALSE),0)</f>
        <v>0</v>
      </c>
      <c r="N7" s="9">
        <f>IFERROR(VLOOKUP(Vaktplan!$A$54,Vaktplan!$J$4:$CL$35,89-$AI60,FALSE),0)</f>
        <v>0</v>
      </c>
      <c r="O7" s="9">
        <f t="shared" ref="O7:O17" si="5">IF(AND(L7=0,M7=0),0,IF(L7&lt;M7,((M7-L7)*24)-N7,(((1-L7)+M7)*24)-N7))</f>
        <v>0</v>
      </c>
      <c r="P7" s="9">
        <f t="shared" ref="P7:P17" si="6">IF(AND(M7=0,Q7=0),24,IF(M7=0,12+(Q7*24),IF(M7&lt;Q7,((Q7-M7)*24),IF(Q7=0,(1-M7+0.5)*24,((1-M7)+Q7)*24))))</f>
        <v>24</v>
      </c>
      <c r="Q7" s="77">
        <f>IFERROR(VLOOKUP(Vaktplan!$A$54,Vaktplan!$K$4:$CL$35,86-AJ60,FALSE),0)</f>
        <v>0</v>
      </c>
      <c r="R7" s="77">
        <f>IFERROR(VLOOKUP(Vaktplan!$A$54,Vaktplan!$K$4:$CL$35,86-AI60,FALSE),0)</f>
        <v>0</v>
      </c>
      <c r="S7" s="9">
        <f>IFERROR(VLOOKUP(Vaktplan!$A$54,Vaktplan!$K$4:$CL$35,89-$AJ60,FALSE),0)</f>
        <v>0</v>
      </c>
      <c r="T7" s="9">
        <f t="shared" si="0"/>
        <v>0</v>
      </c>
      <c r="U7" s="9">
        <f t="shared" ref="U7:U17" si="7">IF(AND(R7=0,V7=0),24,IF(R7=0,12+(V7*24),IF(R7&lt;V7,((V7-R7)*24),IF(V7=0,(1-R7+0.5)*24,((1-R7)+V7)*24))))</f>
        <v>24</v>
      </c>
      <c r="V7" s="77">
        <f>IFERROR(VLOOKUP(Vaktplan!$A$54,Vaktplan!$L$4:$CL$35,86-AK60,FALSE),0)</f>
        <v>0</v>
      </c>
      <c r="W7" s="77">
        <f>IFERROR(VLOOKUP(Vaktplan!$A$54,Vaktplan!$L$4:$CL$35,86-AJ60,FALSE),0)</f>
        <v>0</v>
      </c>
      <c r="X7" s="9">
        <f>IFERROR(VLOOKUP(Vaktplan!$A$54,Vaktplan!$L$4:$CL$35,89-$AK60,FALSE),0)</f>
        <v>0</v>
      </c>
      <c r="Y7" s="9">
        <f t="shared" ref="Y7:Y13" si="8">IF(AND(V7=0,W7=0),0,IF(V7&lt;W7,((W7-V7)*24)-X7,(((1-V7)+W7)*24)-X7))</f>
        <v>0</v>
      </c>
      <c r="Z7" s="9">
        <f t="shared" ref="Z7:Z17" si="9">IF(AND(W7=0,AA7=0),24,IF(W7=0,12+(AA7*24),IF(W7&lt;AA7,((AA7-W7)*24),IF(AA7=0,(1-W7+0.5)*24,((1-W7)+AA7)*24))))</f>
        <v>24</v>
      </c>
      <c r="AA7" s="77">
        <f>IFERROR(VLOOKUP(Vaktplan!$A$54,Vaktplan!$M$4:$CL$35,86-AL60,FALSE),0)</f>
        <v>0</v>
      </c>
      <c r="AB7" s="77">
        <f>IFERROR(VLOOKUP(Vaktplan!$A$54,Vaktplan!$M$4:$CL$35,86-AK60,FALSE),0)</f>
        <v>0</v>
      </c>
      <c r="AC7" s="9">
        <f>IFERROR(VLOOKUP(Vaktplan!$A$54,Vaktplan!$M$4:$CL$35,89-$AL60,FALSE),0)</f>
        <v>0</v>
      </c>
      <c r="AD7" s="9">
        <f t="shared" ref="AD7:AD13" si="10">IF(AND(AA7=0,AB7=0),0,IF(AA7&lt;AB7,((AB7-AA7)*24)-AC7,(((1-AA7)+AB7)*24)-AC7))</f>
        <v>0</v>
      </c>
      <c r="AE7" s="9">
        <f t="shared" ref="AE7:AE17" si="11">IF(AND(AB7=0,AF7=0),24,IF(AB7=0,12+(AF7*24),IF(AB7&lt;AF7,((AF7-AB7)*24),IF(AF7=0,(1-AB7+0.5)*24,((1-AB7)+AF7)*24))))</f>
        <v>24</v>
      </c>
      <c r="AF7" s="77">
        <f>IFERROR(VLOOKUP(Vaktplan!$A$54,Vaktplan!$N$4:$CL$35,86-AM60,FALSE),0)</f>
        <v>0</v>
      </c>
      <c r="AG7" s="77">
        <f>IFERROR(VLOOKUP(Vaktplan!$A$54,Vaktplan!$N$4:$CL$35,86-AL60,FALSE),0)</f>
        <v>0</v>
      </c>
      <c r="AH7" s="9">
        <f>IFERROR(VLOOKUP(Vaktplan!$A$54,Vaktplan!$N$4:$CL$35,89-$AM60,FALSE),0)</f>
        <v>0</v>
      </c>
      <c r="AI7" s="9">
        <f t="shared" ref="AI7:AI13" si="12">IF(AND(AF7=0,AG7=0),0,IF(AF7&lt;AG7,((AG7-AF7)*24)-AH7,(((1-AF7)+AG7)*24)-AH7))</f>
        <v>0</v>
      </c>
      <c r="AJ7" s="9">
        <f t="shared" ref="AJ7:AJ17" si="13">IF($M$1=AL29,IF(AND(AG7=0,B7=0),24,IF(AG7=0,12+($B$6*24),IF(AG7&lt;$B$6,(($B$6-AG7)*24),IF($B$6=0,(1-AG7+1)*24,((1-AG7)+$B$6)*24)))),IF(AND(AG7=0,B8=0),24,IF(AG7=0,12+(B8*24),IF(AG7&lt;B8,((B8-AG7)*24),IF(B8=0,(1-AG7+1)*24,((1-AG7)+B8)*24)))))</f>
        <v>24</v>
      </c>
      <c r="AK7" s="9">
        <f t="shared" si="1"/>
        <v>0</v>
      </c>
      <c r="AL7" s="92">
        <f t="shared" ref="AL7:AL13" si="14">AJ7</f>
        <v>24</v>
      </c>
      <c r="AM7" s="10">
        <f t="shared" ref="AM7:AM13" si="15">AK7</f>
        <v>0</v>
      </c>
    </row>
    <row r="8" spans="1:39" ht="13" x14ac:dyDescent="0.25">
      <c r="A8" s="7">
        <f>IF($M$1&gt;=3,3,0)</f>
        <v>3</v>
      </c>
      <c r="B8" s="77">
        <f>IFERROR(VLOOKUP(Vaktplan!$A$54,Vaktplan!$O$4:$CL$35,87-AH61,FALSE),0)</f>
        <v>0</v>
      </c>
      <c r="C8" s="77">
        <f>IFERROR(VLOOKUP(Vaktplan!$A$54,Vaktplan!$O$4:$CL$35,87-AG61,FALSE),0)</f>
        <v>0</v>
      </c>
      <c r="D8" s="9">
        <f>IFERROR(VLOOKUP(Vaktplan!$A$54,Vaktplan!$O$4:$CL$35,89-AG61,FALSE),0)</f>
        <v>0</v>
      </c>
      <c r="E8" s="9">
        <f t="shared" ref="E8:E17" si="16">IF(AND(B8=0,C8=0),0,IF(B8&lt;C8,((C8-B8)*24)-D8,(((1-B8)+C8)*24)-D8))</f>
        <v>0</v>
      </c>
      <c r="F8" s="9">
        <f t="shared" si="2"/>
        <v>24</v>
      </c>
      <c r="G8" s="77">
        <f>IFERROR(VLOOKUP(Vaktplan!$A$54,Vaktplan!$P$4:$CL$35,86-AH61,FALSE),0)</f>
        <v>0</v>
      </c>
      <c r="H8" s="77">
        <f>IFERROR(VLOOKUP(Vaktplan!$A$54,Vaktplan!$P$4:$CL$35,86-AG61,FALSE),0)</f>
        <v>0</v>
      </c>
      <c r="I8" s="9">
        <f>IFERROR(VLOOKUP(Vaktplan!$A$54,Vaktplan!$P$4:$CL$35,89-$AH61,FALSE),0)</f>
        <v>0</v>
      </c>
      <c r="J8" s="9">
        <f>IF(AND(G8=0,H8=0),0,IF(G8&lt;H8,((H8-G8)*24)-I8,(((1-G8)+H8)*24)-I8))</f>
        <v>0</v>
      </c>
      <c r="K8" s="9">
        <f t="shared" si="4"/>
        <v>24</v>
      </c>
      <c r="L8" s="77">
        <f>IFERROR(VLOOKUP(Vaktplan!$A$54,Vaktplan!$Q$4:$CL$35,86-AI61,FALSE),0)</f>
        <v>0</v>
      </c>
      <c r="M8" s="77">
        <f>IFERROR(VLOOKUP(Vaktplan!$A$54,Vaktplan!$Q$4:$CL$35,86-AH61,FALSE),0)</f>
        <v>0</v>
      </c>
      <c r="N8" s="9">
        <f>IFERROR(VLOOKUP(Vaktplan!$A$54,Vaktplan!$Q$4:$CL$35,89-$AI61,FALSE),0)</f>
        <v>0</v>
      </c>
      <c r="O8" s="9">
        <f t="shared" si="5"/>
        <v>0</v>
      </c>
      <c r="P8" s="9">
        <f t="shared" si="6"/>
        <v>24</v>
      </c>
      <c r="Q8" s="77">
        <f>IFERROR(VLOOKUP(Vaktplan!$A$54,Vaktplan!$R$4:$CL$35,86-AJ61,FALSE),0)</f>
        <v>0</v>
      </c>
      <c r="R8" s="77">
        <f>IFERROR(VLOOKUP(Vaktplan!$A$54,Vaktplan!$R$4:$CL$35,86-AI61,FALSE),0)</f>
        <v>0</v>
      </c>
      <c r="S8" s="9">
        <f>IFERROR(VLOOKUP(Vaktplan!$A$54,Vaktplan!$R$4:$CL$35,89-$AJ61,FALSE),0)</f>
        <v>0</v>
      </c>
      <c r="T8" s="9">
        <f t="shared" si="0"/>
        <v>0</v>
      </c>
      <c r="U8" s="9">
        <f t="shared" si="7"/>
        <v>24</v>
      </c>
      <c r="V8" s="77">
        <f>IFERROR(VLOOKUP(Vaktplan!$A$54,Vaktplan!$S$4:$CL$35,86-AK61,FALSE),0)</f>
        <v>0</v>
      </c>
      <c r="W8" s="77">
        <f>IFERROR(VLOOKUP(Vaktplan!$A$54,Vaktplan!$S$4:$CL$35,86-AJ61,FALSE),0)</f>
        <v>0</v>
      </c>
      <c r="X8" s="9">
        <f>IFERROR(VLOOKUP(Vaktplan!$A$54,Vaktplan!$S$4:$CL$35,89-$AK61,FALSE),0)</f>
        <v>0</v>
      </c>
      <c r="Y8" s="9">
        <f t="shared" si="8"/>
        <v>0</v>
      </c>
      <c r="Z8" s="9">
        <f t="shared" si="9"/>
        <v>24</v>
      </c>
      <c r="AA8" s="77">
        <f>IFERROR(VLOOKUP(Vaktplan!$A$54,Vaktplan!$T$4:$CL$35,86-AL61,FALSE),0)</f>
        <v>0</v>
      </c>
      <c r="AB8" s="77">
        <f>IFERROR(VLOOKUP(Vaktplan!$A$54,Vaktplan!$T$4:$CL$35,86-AK61,FALSE),0)</f>
        <v>0</v>
      </c>
      <c r="AC8" s="9">
        <f>IFERROR(VLOOKUP(Vaktplan!$A$54,Vaktplan!$T$4:$CL$35,89-$AL61,FALSE),0)</f>
        <v>0</v>
      </c>
      <c r="AD8" s="9">
        <f t="shared" si="10"/>
        <v>0</v>
      </c>
      <c r="AE8" s="9">
        <f t="shared" si="11"/>
        <v>24</v>
      </c>
      <c r="AF8" s="77">
        <f>IFERROR(VLOOKUP(Vaktplan!$A$54,Vaktplan!$U$4:$CL$35,86-AM61,FALSE),0)</f>
        <v>0</v>
      </c>
      <c r="AG8" s="77">
        <f>IFERROR(VLOOKUP(Vaktplan!$A$54,Vaktplan!$U$4:$CL$35,86-AL61,FALSE),0)</f>
        <v>0</v>
      </c>
      <c r="AH8" s="9">
        <f>IFERROR(VLOOKUP(Vaktplan!$A$54,Vaktplan!$U$4:$CL$35,89-$AM61,FALSE),0)</f>
        <v>0</v>
      </c>
      <c r="AI8" s="9">
        <f t="shared" si="12"/>
        <v>0</v>
      </c>
      <c r="AJ8" s="9">
        <f t="shared" si="13"/>
        <v>24</v>
      </c>
      <c r="AK8" s="9">
        <f t="shared" si="1"/>
        <v>0</v>
      </c>
      <c r="AL8" s="92">
        <f t="shared" si="14"/>
        <v>24</v>
      </c>
      <c r="AM8" s="10">
        <f t="shared" si="15"/>
        <v>0</v>
      </c>
    </row>
    <row r="9" spans="1:39" ht="13" x14ac:dyDescent="0.25">
      <c r="A9" s="7">
        <f>IF($M$1&gt;=4,4,0)</f>
        <v>4</v>
      </c>
      <c r="B9" s="77">
        <f>IFERROR(VLOOKUP(Vaktplan!$A$54,Vaktplan!$V$4:$CL$35,87-AH62,FALSE),0)</f>
        <v>0</v>
      </c>
      <c r="C9" s="77">
        <f>IFERROR(VLOOKUP(Vaktplan!$A$54,Vaktplan!$V$4:$CL$35,87-AG62,FALSE),0)</f>
        <v>0</v>
      </c>
      <c r="D9" s="9">
        <f>IFERROR(VLOOKUP(Vaktplan!$A$54,Vaktplan!$V$4:$CL$35,89-AG62,FALSE),0)</f>
        <v>0</v>
      </c>
      <c r="E9" s="9">
        <f t="shared" si="16"/>
        <v>0</v>
      </c>
      <c r="F9" s="9">
        <f t="shared" si="2"/>
        <v>24</v>
      </c>
      <c r="G9" s="77">
        <f>IFERROR(VLOOKUP(Vaktplan!$A$54,Vaktplan!$W$4:$CL$35,86-AH62,FALSE),0)</f>
        <v>0</v>
      </c>
      <c r="H9" s="77">
        <f>IFERROR(VLOOKUP(Vaktplan!$A$54,Vaktplan!$W$4:$CL$35,86-AG62,FALSE),0)</f>
        <v>0</v>
      </c>
      <c r="I9" s="9">
        <f>IFERROR(VLOOKUP(Vaktplan!$A$54,Vaktplan!$W$4:$CL$35,89-$AH62,FALSE),0)</f>
        <v>0</v>
      </c>
      <c r="J9" s="9">
        <f t="shared" si="3"/>
        <v>0</v>
      </c>
      <c r="K9" s="9">
        <f t="shared" si="4"/>
        <v>24</v>
      </c>
      <c r="L9" s="77">
        <f>IFERROR(VLOOKUP(Vaktplan!$A$54,Vaktplan!$X$4:$CL$35,86-AI62,FALSE),0)</f>
        <v>0</v>
      </c>
      <c r="M9" s="77">
        <f>IFERROR(VLOOKUP(Vaktplan!$A$54,Vaktplan!$X$4:$CL$35,86-AH62,FALSE),0)</f>
        <v>0</v>
      </c>
      <c r="N9" s="9">
        <f>IFERROR(VLOOKUP(Vaktplan!$A$54,Vaktplan!$X$4:$CL$35,89-$AI62,FALSE),0)</f>
        <v>0</v>
      </c>
      <c r="O9" s="9">
        <f t="shared" si="5"/>
        <v>0</v>
      </c>
      <c r="P9" s="9">
        <f t="shared" si="6"/>
        <v>24</v>
      </c>
      <c r="Q9" s="77">
        <f>IFERROR(VLOOKUP(Vaktplan!$A$54,Vaktplan!$Y$4:$CL$35,86-AJ62,FALSE),0)</f>
        <v>0</v>
      </c>
      <c r="R9" s="77">
        <f>IFERROR(VLOOKUP(Vaktplan!$A$54,Vaktplan!$Y$4:$CL$35,86-AI62,FALSE),0)</f>
        <v>0</v>
      </c>
      <c r="S9" s="9">
        <f>IFERROR(VLOOKUP(Vaktplan!$A$54,Vaktplan!$Y$4:$CL$35,89-$AJ62,FALSE),0)</f>
        <v>0</v>
      </c>
      <c r="T9" s="9">
        <f t="shared" si="0"/>
        <v>0</v>
      </c>
      <c r="U9" s="9">
        <f t="shared" si="7"/>
        <v>24</v>
      </c>
      <c r="V9" s="77">
        <f>IFERROR(VLOOKUP(Vaktplan!$A$54,Vaktplan!$Z$4:$CL$35,86-AK62,FALSE),0)</f>
        <v>0</v>
      </c>
      <c r="W9" s="77">
        <f>IFERROR(VLOOKUP(Vaktplan!$A$54,Vaktplan!$Z$4:$CL$35,86-AJ62,FALSE),0)</f>
        <v>0</v>
      </c>
      <c r="X9" s="9">
        <f>IFERROR(VLOOKUP(Vaktplan!$A$54,Vaktplan!$Z$4:$CL$35,89-$AK62,FALSE),0)</f>
        <v>0</v>
      </c>
      <c r="Y9" s="9">
        <f t="shared" si="8"/>
        <v>0</v>
      </c>
      <c r="Z9" s="9">
        <f t="shared" si="9"/>
        <v>24</v>
      </c>
      <c r="AA9" s="77">
        <f>IFERROR(VLOOKUP(Vaktplan!$A$54,Vaktplan!$AA$4:$CL$35,86-AL62,FALSE),0)</f>
        <v>0</v>
      </c>
      <c r="AB9" s="77">
        <f>IFERROR(VLOOKUP(Vaktplan!$A$54,Vaktplan!$AA$4:$CL$35,86-AK62,FALSE),0)</f>
        <v>0</v>
      </c>
      <c r="AC9" s="9">
        <f>IFERROR(VLOOKUP(Vaktplan!$A$54,Vaktplan!$AA$4:$CL$35,89-$AL62,FALSE),0)</f>
        <v>0</v>
      </c>
      <c r="AD9" s="9">
        <f t="shared" si="10"/>
        <v>0</v>
      </c>
      <c r="AE9" s="9">
        <f t="shared" si="11"/>
        <v>24</v>
      </c>
      <c r="AF9" s="77">
        <f>IFERROR(VLOOKUP(Vaktplan!$A$54,Vaktplan!$AB$4:$CL$35,86-AM62,FALSE),0)</f>
        <v>0</v>
      </c>
      <c r="AG9" s="77">
        <f>IFERROR(VLOOKUP(Vaktplan!$A$54,Vaktplan!$AB$4:$CL$35,86-AL62,FALSE),0)</f>
        <v>0</v>
      </c>
      <c r="AH9" s="9">
        <f>IFERROR(VLOOKUP(Vaktplan!$A$54,Vaktplan!$AB$4:$CL$35,89-$AM62,FALSE),0)</f>
        <v>0</v>
      </c>
      <c r="AI9" s="9">
        <f t="shared" si="12"/>
        <v>0</v>
      </c>
      <c r="AJ9" s="9">
        <f t="shared" si="13"/>
        <v>24</v>
      </c>
      <c r="AK9" s="9">
        <f t="shared" si="1"/>
        <v>0</v>
      </c>
      <c r="AL9" s="92">
        <f t="shared" si="14"/>
        <v>24</v>
      </c>
      <c r="AM9" s="10">
        <f t="shared" si="15"/>
        <v>0</v>
      </c>
    </row>
    <row r="10" spans="1:39" ht="13" x14ac:dyDescent="0.25">
      <c r="A10" s="7">
        <f>IF($M$1&gt;=5,5,0)</f>
        <v>5</v>
      </c>
      <c r="B10" s="77">
        <f>IFERROR(VLOOKUP(Vaktplan!$A$54,Vaktplan!$AC$4:$CL$35,87-AH63,FALSE),0)</f>
        <v>0</v>
      </c>
      <c r="C10" s="77">
        <f>IFERROR(VLOOKUP(Vaktplan!$A$54,Vaktplan!$AC$4:$CL$35,87-AG63,FALSE),0)</f>
        <v>0</v>
      </c>
      <c r="D10" s="9">
        <f>IFERROR(VLOOKUP(Vaktplan!$A$54,Vaktplan!$AC$4:$CL$35,89-AG63,FALSE),0)</f>
        <v>0</v>
      </c>
      <c r="E10" s="9">
        <f t="shared" si="16"/>
        <v>0</v>
      </c>
      <c r="F10" s="9">
        <f t="shared" si="2"/>
        <v>24</v>
      </c>
      <c r="G10" s="77">
        <f>IFERROR(VLOOKUP(Vaktplan!$A$54,Vaktplan!$AD$4:$CL$35,86-AH63,FALSE),0)</f>
        <v>0</v>
      </c>
      <c r="H10" s="77">
        <f>IFERROR(VLOOKUP(Vaktplan!$A$54,Vaktplan!$AD$4:$CL$35,86-AG63,FALSE),0)</f>
        <v>0</v>
      </c>
      <c r="I10" s="9">
        <f>IFERROR(VLOOKUP(Vaktplan!$A$54,Vaktplan!$AD$4:$CL$35,89-$AH63,FALSE),0)</f>
        <v>0</v>
      </c>
      <c r="J10" s="9">
        <f t="shared" si="3"/>
        <v>0</v>
      </c>
      <c r="K10" s="9">
        <f t="shared" si="4"/>
        <v>24</v>
      </c>
      <c r="L10" s="77">
        <f>IFERROR(VLOOKUP(Vaktplan!$A$54,Vaktplan!$AE$4:$CL$35,86-AI63,FALSE),0)</f>
        <v>0</v>
      </c>
      <c r="M10" s="77">
        <f>IFERROR(VLOOKUP(Vaktplan!$A$54,Vaktplan!$AE$4:$CL$35,86-AH63,FALSE),0)</f>
        <v>0</v>
      </c>
      <c r="N10" s="9">
        <f>IFERROR(VLOOKUP(Vaktplan!$A$54,Vaktplan!$AE$4:$CL$35,89-$AI63,FALSE),0)</f>
        <v>0</v>
      </c>
      <c r="O10" s="9">
        <f t="shared" si="5"/>
        <v>0</v>
      </c>
      <c r="P10" s="9">
        <f t="shared" si="6"/>
        <v>24</v>
      </c>
      <c r="Q10" s="77">
        <f>IFERROR(VLOOKUP(Vaktplan!$A$54,Vaktplan!$AF$4:$CL$35,86-AJ63,FALSE),0)</f>
        <v>0</v>
      </c>
      <c r="R10" s="77">
        <f>IFERROR(VLOOKUP(Vaktplan!$A$54,Vaktplan!$AF$4:$CL$35,86-AI63,FALSE),0)</f>
        <v>0</v>
      </c>
      <c r="S10" s="9">
        <f>IFERROR(VLOOKUP(Vaktplan!$A$54,Vaktplan!$AF$4:$CL$35,89-$AJ63,FALSE),0)</f>
        <v>0</v>
      </c>
      <c r="T10" s="9">
        <f t="shared" si="0"/>
        <v>0</v>
      </c>
      <c r="U10" s="9">
        <f t="shared" si="7"/>
        <v>24</v>
      </c>
      <c r="V10" s="77">
        <f>IFERROR(VLOOKUP(Vaktplan!$A$54,Vaktplan!$AG$4:$CL$35,86-AK63,FALSE),0)</f>
        <v>0</v>
      </c>
      <c r="W10" s="77">
        <f>IFERROR(VLOOKUP(Vaktplan!$A$54,Vaktplan!$AG$4:$CL$35,86-AJ63,FALSE),0)</f>
        <v>0</v>
      </c>
      <c r="X10" s="9">
        <f>IFERROR(VLOOKUP(Vaktplan!$A$54,Vaktplan!$AG$4:$CL$35,89-$AK63,FALSE),0)</f>
        <v>0</v>
      </c>
      <c r="Y10" s="9">
        <f t="shared" si="8"/>
        <v>0</v>
      </c>
      <c r="Z10" s="9">
        <f t="shared" si="9"/>
        <v>24</v>
      </c>
      <c r="AA10" s="77">
        <f>IFERROR(VLOOKUP(Vaktplan!$A$54,Vaktplan!$AH$4:$CL$35,86-AL63,FALSE),0)</f>
        <v>0</v>
      </c>
      <c r="AB10" s="77">
        <f>IFERROR(VLOOKUP(Vaktplan!$A$54,Vaktplan!$AH$4:$CL$35,86-AK63,FALSE),0)</f>
        <v>0</v>
      </c>
      <c r="AC10" s="9">
        <f>IFERROR(VLOOKUP(Vaktplan!$A$54,Vaktplan!$AH$4:$CL$35,89-$AL63,FALSE),0)</f>
        <v>0</v>
      </c>
      <c r="AD10" s="9">
        <f t="shared" si="10"/>
        <v>0</v>
      </c>
      <c r="AE10" s="9">
        <f t="shared" si="11"/>
        <v>24</v>
      </c>
      <c r="AF10" s="77">
        <f>IFERROR(VLOOKUP(Vaktplan!$A$54,Vaktplan!$AI$4:$CL$35,86-AM63,FALSE),0)</f>
        <v>0</v>
      </c>
      <c r="AG10" s="77">
        <f>IFERROR(VLOOKUP(Vaktplan!$A$54,Vaktplan!$AI$4:$CL$35,86-AL63,FALSE),0)</f>
        <v>0</v>
      </c>
      <c r="AH10" s="9">
        <f>IFERROR(VLOOKUP(Vaktplan!$A$54,Vaktplan!$AI$4:$CL$35,89-$AM63,FALSE),0)</f>
        <v>0</v>
      </c>
      <c r="AI10" s="9">
        <f t="shared" si="12"/>
        <v>0</v>
      </c>
      <c r="AJ10" s="9">
        <f t="shared" si="13"/>
        <v>24</v>
      </c>
      <c r="AK10" s="9">
        <f t="shared" si="1"/>
        <v>0</v>
      </c>
      <c r="AL10" s="92">
        <f t="shared" si="14"/>
        <v>24</v>
      </c>
      <c r="AM10" s="10">
        <f t="shared" si="15"/>
        <v>0</v>
      </c>
    </row>
    <row r="11" spans="1:39" ht="13" x14ac:dyDescent="0.25">
      <c r="A11" s="7">
        <f>IF($M$1&gt;=6,6,0)</f>
        <v>6</v>
      </c>
      <c r="B11" s="77">
        <f>IFERROR(VLOOKUP(Vaktplan!$A$54,Vaktplan!$AJ$4:$CL$35,87-AH64,FALSE),0)</f>
        <v>0</v>
      </c>
      <c r="C11" s="77">
        <f>IFERROR(VLOOKUP(Vaktplan!$A$54,Vaktplan!$AJ$4:$CL$35,87-AG64,FALSE),0)</f>
        <v>0</v>
      </c>
      <c r="D11" s="9">
        <f>IFERROR(VLOOKUP(Vaktplan!$A$54,Vaktplan!$AJ$4:$CL$35,89-AG64,FALSE),0)</f>
        <v>0</v>
      </c>
      <c r="E11" s="9">
        <f t="shared" si="16"/>
        <v>0</v>
      </c>
      <c r="F11" s="9">
        <f t="shared" si="2"/>
        <v>24</v>
      </c>
      <c r="G11" s="77">
        <f>IFERROR(VLOOKUP(Vaktplan!$A$54,Vaktplan!$AK$4:$CL$35,86-AH64,FALSE),0)</f>
        <v>0</v>
      </c>
      <c r="H11" s="77">
        <f>IFERROR(VLOOKUP(Vaktplan!$A$54,Vaktplan!$AK$4:$CL$35,86-AG64,FALSE),0)</f>
        <v>0</v>
      </c>
      <c r="I11" s="9">
        <f>IFERROR(VLOOKUP(Vaktplan!$A$54,Vaktplan!$AK$4:$CL$35,89-$AH64,FALSE),0)</f>
        <v>0</v>
      </c>
      <c r="J11" s="9">
        <f t="shared" si="3"/>
        <v>0</v>
      </c>
      <c r="K11" s="9">
        <f t="shared" si="4"/>
        <v>24</v>
      </c>
      <c r="L11" s="77">
        <f>IFERROR(VLOOKUP(Vaktplan!$A$54,Vaktplan!$AL$4:$CL$35,86-AI64,FALSE),0)</f>
        <v>0</v>
      </c>
      <c r="M11" s="77">
        <f>IFERROR(VLOOKUP(Vaktplan!$A$54,Vaktplan!$AL$4:$CL$35,86-AH64,FALSE),0)</f>
        <v>0</v>
      </c>
      <c r="N11" s="9">
        <f>IFERROR(VLOOKUP(Vaktplan!$A$54,Vaktplan!$AL$4:$CL$35,89-$AI64,FALSE),0)</f>
        <v>0</v>
      </c>
      <c r="O11" s="9">
        <f t="shared" si="5"/>
        <v>0</v>
      </c>
      <c r="P11" s="9">
        <f t="shared" si="6"/>
        <v>24</v>
      </c>
      <c r="Q11" s="77">
        <f>IFERROR(VLOOKUP(Vaktplan!$A$54,Vaktplan!$AM$4:$CL$35,86-AJ64,FALSE),0)</f>
        <v>0</v>
      </c>
      <c r="R11" s="77">
        <f>IFERROR(VLOOKUP(Vaktplan!$A$54,Vaktplan!$AM$4:$CL$35,86-AI64,FALSE),0)</f>
        <v>0</v>
      </c>
      <c r="S11" s="9">
        <f>IFERROR(VLOOKUP(Vaktplan!$A$54,Vaktplan!$AM$4:$CL$35,89-$AJ64,FALSE),0)</f>
        <v>0</v>
      </c>
      <c r="T11" s="9">
        <f t="shared" si="0"/>
        <v>0</v>
      </c>
      <c r="U11" s="9">
        <f t="shared" si="7"/>
        <v>24</v>
      </c>
      <c r="V11" s="77">
        <f>IFERROR(VLOOKUP(Vaktplan!$A$54,Vaktplan!$AN$4:$CL$35,86-AK64,FALSE),0)</f>
        <v>0</v>
      </c>
      <c r="W11" s="77">
        <f>IFERROR(VLOOKUP(Vaktplan!$A$54,Vaktplan!$AN$4:$CL$35,86-AJ64,FALSE),0)</f>
        <v>0</v>
      </c>
      <c r="X11" s="9">
        <f>IFERROR(VLOOKUP(Vaktplan!$A$54,Vaktplan!$AN$4:$CL$35,89-$AK64,FALSE),0)</f>
        <v>0</v>
      </c>
      <c r="Y11" s="9">
        <f t="shared" si="8"/>
        <v>0</v>
      </c>
      <c r="Z11" s="9">
        <f t="shared" si="9"/>
        <v>24</v>
      </c>
      <c r="AA11" s="77">
        <f>IFERROR(VLOOKUP(Vaktplan!$A$54,Vaktplan!$AO$4:$CL$35,86-AL64,FALSE),0)</f>
        <v>0</v>
      </c>
      <c r="AB11" s="77">
        <f>IFERROR(VLOOKUP(Vaktplan!$A$54,Vaktplan!$AO$4:$CL$35,86-AK64,FALSE),0)</f>
        <v>0</v>
      </c>
      <c r="AC11" s="9">
        <f>IFERROR(VLOOKUP(Vaktplan!$A$54,Vaktplan!$AO$4:$CL$35,89-$AL64,FALSE),0)</f>
        <v>0</v>
      </c>
      <c r="AD11" s="9">
        <f t="shared" si="10"/>
        <v>0</v>
      </c>
      <c r="AE11" s="9">
        <f t="shared" si="11"/>
        <v>24</v>
      </c>
      <c r="AF11" s="77">
        <f>IFERROR(VLOOKUP(Vaktplan!$A$54,Vaktplan!$AP$4:$CL$35,86-AM64,FALSE),0)</f>
        <v>0</v>
      </c>
      <c r="AG11" s="77">
        <f>IFERROR(VLOOKUP(Vaktplan!$A$54,Vaktplan!$AP$4:$CL$35,86-AL64,FALSE),0)</f>
        <v>0</v>
      </c>
      <c r="AH11" s="9">
        <f>IFERROR(VLOOKUP(Vaktplan!$A$54,Vaktplan!$AP$4:$CL$35,89-$AM64,FALSE),0)</f>
        <v>0</v>
      </c>
      <c r="AI11" s="9">
        <f t="shared" si="12"/>
        <v>0</v>
      </c>
      <c r="AJ11" s="9">
        <f t="shared" si="13"/>
        <v>24</v>
      </c>
      <c r="AK11" s="9">
        <f t="shared" si="1"/>
        <v>0</v>
      </c>
      <c r="AL11" s="92">
        <f t="shared" si="14"/>
        <v>24</v>
      </c>
      <c r="AM11" s="10">
        <f t="shared" si="15"/>
        <v>0</v>
      </c>
    </row>
    <row r="12" spans="1:39" ht="13" x14ac:dyDescent="0.25">
      <c r="A12" s="7">
        <f>IF($M$1&gt;=7,7,0)</f>
        <v>7</v>
      </c>
      <c r="B12" s="77">
        <f>IFERROR(VLOOKUP(Vaktplan!$A$54,Vaktplan!$AQ$4:$CL$35,87-AH65,FALSE),0)</f>
        <v>0</v>
      </c>
      <c r="C12" s="77">
        <f>IFERROR(VLOOKUP(Vaktplan!$A$54,Vaktplan!$AQ$4:$CL$35,87-AG65,FALSE),0)</f>
        <v>0</v>
      </c>
      <c r="D12" s="9">
        <f>IFERROR(VLOOKUP(Vaktplan!$A$54,Vaktplan!$AQ$4:$CL$35,89-AG65,FALSE),0)</f>
        <v>0</v>
      </c>
      <c r="E12" s="9">
        <f t="shared" si="16"/>
        <v>0</v>
      </c>
      <c r="F12" s="9">
        <f t="shared" si="2"/>
        <v>24</v>
      </c>
      <c r="G12" s="77">
        <f>IFERROR(VLOOKUP(Vaktplan!$A$54,Vaktplan!$AR$4:$CL$35,86-AH65,FALSE),0)</f>
        <v>0</v>
      </c>
      <c r="H12" s="77">
        <f>IFERROR(VLOOKUP(Vaktplan!$A$54,Vaktplan!$AR$4:$CL$35,86-AG65,FALSE),0)</f>
        <v>0</v>
      </c>
      <c r="I12" s="9">
        <f>IFERROR(VLOOKUP(Vaktplan!$A$54,Vaktplan!$AR$4:$CL$35,89-$AH65,FALSE),0)</f>
        <v>0</v>
      </c>
      <c r="J12" s="9">
        <f t="shared" si="3"/>
        <v>0</v>
      </c>
      <c r="K12" s="9">
        <f t="shared" si="4"/>
        <v>24</v>
      </c>
      <c r="L12" s="77">
        <f>IFERROR(VLOOKUP(Vaktplan!$A$54,Vaktplan!$AS$4:$CL$35,86-AI65,FALSE),0)</f>
        <v>0</v>
      </c>
      <c r="M12" s="77">
        <f>IFERROR(VLOOKUP(Vaktplan!$A$54,Vaktplan!$AS$4:$CL$35,86-AH65,FALSE),0)</f>
        <v>0</v>
      </c>
      <c r="N12" s="9">
        <f>IFERROR(VLOOKUP(Vaktplan!$A$54,Vaktplan!$AS$4:$CL$35,89-$AI65,FALSE),0)</f>
        <v>0</v>
      </c>
      <c r="O12" s="9">
        <f t="shared" si="5"/>
        <v>0</v>
      </c>
      <c r="P12" s="9">
        <f t="shared" si="6"/>
        <v>24</v>
      </c>
      <c r="Q12" s="77">
        <f>IFERROR(VLOOKUP(Vaktplan!$A$54,Vaktplan!$AT$4:$CL$35,86-AJ65,FALSE),0)</f>
        <v>0</v>
      </c>
      <c r="R12" s="77">
        <f>IFERROR(VLOOKUP(Vaktplan!$A$54,Vaktplan!$AT$4:$CL$35,86-AI65,FALSE),0)</f>
        <v>0</v>
      </c>
      <c r="S12" s="9">
        <f>IFERROR(VLOOKUP(Vaktplan!$A$54,Vaktplan!$AT$4:$CL$35,89-$AJ65,FALSE),0)</f>
        <v>0</v>
      </c>
      <c r="T12" s="9">
        <f t="shared" si="0"/>
        <v>0</v>
      </c>
      <c r="U12" s="9">
        <f t="shared" si="7"/>
        <v>24</v>
      </c>
      <c r="V12" s="77">
        <f>IFERROR(VLOOKUP(Vaktplan!$A$54,Vaktplan!$AU$4:$CL$35,86-AK65,FALSE),0)</f>
        <v>0</v>
      </c>
      <c r="W12" s="77">
        <f>IFERROR(VLOOKUP(Vaktplan!$A$54,Vaktplan!$AU$4:$CL$35,86-AJ65,FALSE),0)</f>
        <v>0</v>
      </c>
      <c r="X12" s="9">
        <f>IFERROR(VLOOKUP(Vaktplan!$A$54,Vaktplan!$AU$4:$CL$35,89-$AK65,FALSE),0)</f>
        <v>0</v>
      </c>
      <c r="Y12" s="9">
        <f t="shared" si="8"/>
        <v>0</v>
      </c>
      <c r="Z12" s="9">
        <f t="shared" si="9"/>
        <v>24</v>
      </c>
      <c r="AA12" s="77">
        <f>IFERROR(VLOOKUP(Vaktplan!$A$54,Vaktplan!$AV$4:$CL$35,86-AL65,FALSE),0)</f>
        <v>0</v>
      </c>
      <c r="AB12" s="77">
        <f>IFERROR(VLOOKUP(Vaktplan!$A$54,Vaktplan!$AV$4:$CL$35,86-AK65,FALSE),0)</f>
        <v>0</v>
      </c>
      <c r="AC12" s="9">
        <f>IFERROR(VLOOKUP(Vaktplan!$A$54,Vaktplan!$AV$4:$CL$35,89-$AL65,FALSE),0)</f>
        <v>0</v>
      </c>
      <c r="AD12" s="9">
        <f t="shared" si="10"/>
        <v>0</v>
      </c>
      <c r="AE12" s="9">
        <f t="shared" si="11"/>
        <v>24</v>
      </c>
      <c r="AF12" s="77">
        <f>IFERROR(VLOOKUP(Vaktplan!$A$54,Vaktplan!$AW$4:$CL$35,86-AM65,FALSE),0)</f>
        <v>0</v>
      </c>
      <c r="AG12" s="77">
        <f>IFERROR(VLOOKUP(Vaktplan!$A$54,Vaktplan!$AW$4:$CL$35,86-AL65,FALSE),0)</f>
        <v>0</v>
      </c>
      <c r="AH12" s="9">
        <f>IFERROR(VLOOKUP(Vaktplan!$A$54,Vaktplan!$AW$4:$CL$35,89-$AM65,FALSE),0)</f>
        <v>0</v>
      </c>
      <c r="AI12" s="9">
        <f t="shared" si="12"/>
        <v>0</v>
      </c>
      <c r="AJ12" s="9">
        <f t="shared" si="13"/>
        <v>24</v>
      </c>
      <c r="AK12" s="9">
        <f t="shared" si="1"/>
        <v>0</v>
      </c>
      <c r="AL12" s="92">
        <f t="shared" si="14"/>
        <v>24</v>
      </c>
      <c r="AM12" s="10">
        <f t="shared" si="15"/>
        <v>0</v>
      </c>
    </row>
    <row r="13" spans="1:39" ht="13" x14ac:dyDescent="0.25">
      <c r="A13" s="7">
        <f>IF($M$1&gt;=8,8,0)</f>
        <v>8</v>
      </c>
      <c r="B13" s="77">
        <f>IFERROR(VLOOKUP(Vaktplan!$A$54,Vaktplan!$AX$4:$CL$35,87-AH66,FALSE),0)</f>
        <v>0</v>
      </c>
      <c r="C13" s="77">
        <f>IFERROR(VLOOKUP(Vaktplan!$A$54,Vaktplan!$AX$4:$CL$35,87-AG66,FALSE),0)</f>
        <v>0</v>
      </c>
      <c r="D13" s="9">
        <f>IFERROR(VLOOKUP(Vaktplan!$A$54,Vaktplan!$AX$4:$CL$35,89-AG66,FALSE),0)</f>
        <v>0</v>
      </c>
      <c r="E13" s="9">
        <f t="shared" si="16"/>
        <v>0</v>
      </c>
      <c r="F13" s="9">
        <f t="shared" si="2"/>
        <v>24</v>
      </c>
      <c r="G13" s="77">
        <f>IFERROR(VLOOKUP(Vaktplan!$A$54,Vaktplan!$AY$4:$CL$35,86-AH66,FALSE),0)</f>
        <v>0</v>
      </c>
      <c r="H13" s="77">
        <f>IFERROR(VLOOKUP(Vaktplan!$A$54,Vaktplan!$AY$4:$CL$35,86-AG66,FALSE),0)</f>
        <v>0</v>
      </c>
      <c r="I13" s="9">
        <f>IFERROR(VLOOKUP(Vaktplan!$A$54,Vaktplan!$AY$4:$CL$35,89-$AH66,FALSE),0)</f>
        <v>0</v>
      </c>
      <c r="J13" s="9">
        <f t="shared" si="3"/>
        <v>0</v>
      </c>
      <c r="K13" s="9">
        <f t="shared" si="4"/>
        <v>24</v>
      </c>
      <c r="L13" s="77">
        <f>IFERROR(VLOOKUP(Vaktplan!$A$54,Vaktplan!$AZ$4:$CL$35,86-AI66,FALSE),0)</f>
        <v>0</v>
      </c>
      <c r="M13" s="77">
        <f>IFERROR(VLOOKUP(Vaktplan!$A$54,Vaktplan!$AZ$4:$CL$35,86-AH66,FALSE),0)</f>
        <v>0</v>
      </c>
      <c r="N13" s="9">
        <f>IFERROR(VLOOKUP(Vaktplan!$A$54,Vaktplan!$AZ$4:$CL$35,89-$AI66,FALSE),0)</f>
        <v>0</v>
      </c>
      <c r="O13" s="9">
        <f t="shared" si="5"/>
        <v>0</v>
      </c>
      <c r="P13" s="9">
        <f t="shared" si="6"/>
        <v>24</v>
      </c>
      <c r="Q13" s="77">
        <f>IFERROR(VLOOKUP(Vaktplan!$A$54,Vaktplan!$BA$4:$CL$35,86-AJ66,FALSE),0)</f>
        <v>0</v>
      </c>
      <c r="R13" s="77">
        <f>IFERROR(VLOOKUP(Vaktplan!$A$54,Vaktplan!$BA$4:$CL$35,86-AI66,FALSE),0)</f>
        <v>0</v>
      </c>
      <c r="S13" s="9">
        <f>IFERROR(VLOOKUP(Vaktplan!$A$54,Vaktplan!$BA$4:$CL$35,89-$AJ66,FALSE),0)</f>
        <v>0</v>
      </c>
      <c r="T13" s="9">
        <f t="shared" si="0"/>
        <v>0</v>
      </c>
      <c r="U13" s="9">
        <f t="shared" si="7"/>
        <v>24</v>
      </c>
      <c r="V13" s="77">
        <f>IFERROR(VLOOKUP(Vaktplan!$A$54,Vaktplan!$BB$4:$CL$35,86-AK66,FALSE),0)</f>
        <v>0</v>
      </c>
      <c r="W13" s="77">
        <f>IFERROR(VLOOKUP(Vaktplan!$A$54,Vaktplan!$BB$4:$CL$35,86-AJ66,FALSE),0)</f>
        <v>0</v>
      </c>
      <c r="X13" s="9">
        <f>IFERROR(VLOOKUP(Vaktplan!$A$54,Vaktplan!$BB$4:$CL$35,89-$AK66,FALSE),0)</f>
        <v>0</v>
      </c>
      <c r="Y13" s="9">
        <f t="shared" si="8"/>
        <v>0</v>
      </c>
      <c r="Z13" s="9">
        <f t="shared" si="9"/>
        <v>24</v>
      </c>
      <c r="AA13" s="77">
        <f>IFERROR(VLOOKUP(Vaktplan!$A$54,Vaktplan!$BC$4:$CL$35,86-AL66,FALSE),0)</f>
        <v>0</v>
      </c>
      <c r="AB13" s="77">
        <f>IFERROR(VLOOKUP(Vaktplan!$A$54,Vaktplan!$BC$4:$CL$35,86-AK66,FALSE),0)</f>
        <v>0</v>
      </c>
      <c r="AC13" s="9">
        <f>IFERROR(VLOOKUP(Vaktplan!$A$54,Vaktplan!$BC$4:$CL$35,89-$AL66,FALSE),0)</f>
        <v>0</v>
      </c>
      <c r="AD13" s="9">
        <f t="shared" si="10"/>
        <v>0</v>
      </c>
      <c r="AE13" s="9">
        <f t="shared" si="11"/>
        <v>24</v>
      </c>
      <c r="AF13" s="77">
        <f>IFERROR(VLOOKUP(Vaktplan!$A$54,Vaktplan!$BD$4:$CL$35,86-AM66,FALSE),0)</f>
        <v>0</v>
      </c>
      <c r="AG13" s="77">
        <f>IFERROR(VLOOKUP(Vaktplan!$A$54,Vaktplan!$BD$4:$CL$35,86-AL66,FALSE),0)</f>
        <v>0</v>
      </c>
      <c r="AH13" s="9">
        <f>IFERROR(VLOOKUP(Vaktplan!$A$54,Vaktplan!$BD$4:$CL$35,89-$AM66,FALSE),0)</f>
        <v>0</v>
      </c>
      <c r="AI13" s="9">
        <f t="shared" si="12"/>
        <v>0</v>
      </c>
      <c r="AJ13" s="9">
        <f t="shared" si="13"/>
        <v>24</v>
      </c>
      <c r="AK13" s="9">
        <f t="shared" si="1"/>
        <v>0</v>
      </c>
      <c r="AL13" s="92">
        <f t="shared" si="14"/>
        <v>24</v>
      </c>
      <c r="AM13" s="10">
        <f t="shared" si="15"/>
        <v>0</v>
      </c>
    </row>
    <row r="14" spans="1:39" ht="13" x14ac:dyDescent="0.25">
      <c r="A14" s="7">
        <v>9</v>
      </c>
      <c r="B14" s="77">
        <f>IFERROR(VLOOKUP(Vaktplan!$A$54,Vaktplan!$BE$4:$CL$35,87-AH67,FALSE),0)</f>
        <v>0</v>
      </c>
      <c r="C14" s="77">
        <f>IFERROR(VLOOKUP(Vaktplan!$A$54,Vaktplan!$BE$4:$CL$35,87-AG67,FALSE),0)</f>
        <v>0</v>
      </c>
      <c r="D14" s="9">
        <f>IFERROR(VLOOKUP(Vaktplan!$A$54,Vaktplan!$BE$4:$CL$35,89-AG67,FALSE),0)</f>
        <v>0</v>
      </c>
      <c r="E14" s="9">
        <f t="shared" si="16"/>
        <v>0</v>
      </c>
      <c r="F14" s="9">
        <f t="shared" si="2"/>
        <v>24</v>
      </c>
      <c r="G14" s="77">
        <f>IFERROR(VLOOKUP(Vaktplan!$A$54,Vaktplan!$BF$4:$CL$35,86-AH67,FALSE),0)</f>
        <v>0</v>
      </c>
      <c r="H14" s="77">
        <f>IFERROR(VLOOKUP(Vaktplan!$A$54,Vaktplan!$BF$4:$CL$35,86-AG67,FALSE),0)</f>
        <v>0</v>
      </c>
      <c r="I14" s="9">
        <f>IFERROR(VLOOKUP(Vaktplan!$A$54,Vaktplan!$BF$4:$CL$35,89-$AH67,FALSE),0)</f>
        <v>0</v>
      </c>
      <c r="J14" s="9">
        <f t="shared" si="3"/>
        <v>0</v>
      </c>
      <c r="K14" s="9">
        <f t="shared" si="4"/>
        <v>24</v>
      </c>
      <c r="L14" s="77">
        <f>IFERROR(VLOOKUP(Vaktplan!$A$54,Vaktplan!$BG$4:$CL$35,86-AI67,FALSE),0)</f>
        <v>0</v>
      </c>
      <c r="M14" s="77">
        <f>IFERROR(VLOOKUP(Vaktplan!$A$54,Vaktplan!$BG$4:$CL$35,86-AH67,FALSE),0)</f>
        <v>0</v>
      </c>
      <c r="N14" s="9">
        <f>IFERROR(VLOOKUP(Vaktplan!$A$54,Vaktplan!$BG$4:$CL$35,89-$AI67,FALSE),0)</f>
        <v>0</v>
      </c>
      <c r="O14" s="9">
        <f t="shared" si="5"/>
        <v>0</v>
      </c>
      <c r="P14" s="9">
        <f t="shared" si="6"/>
        <v>24</v>
      </c>
      <c r="Q14" s="77">
        <f>IFERROR(VLOOKUP(Vaktplan!$A$54,Vaktplan!$BH$4:$CL$35,86-AJ67,FALSE),0)</f>
        <v>0</v>
      </c>
      <c r="R14" s="77">
        <f>IFERROR(VLOOKUP(Vaktplan!$A$54,Vaktplan!$BH$4:$CL$35,86-AI67,FALSE),0)</f>
        <v>0</v>
      </c>
      <c r="S14" s="9">
        <f>IFERROR(VLOOKUP(Vaktplan!$A$54,Vaktplan!$BH$4:$CL$35,89-$AJ67,FALSE),0)</f>
        <v>0</v>
      </c>
      <c r="T14" s="9">
        <f t="shared" si="0"/>
        <v>0</v>
      </c>
      <c r="U14" s="9">
        <f t="shared" si="7"/>
        <v>24</v>
      </c>
      <c r="V14" s="77">
        <f>IFERROR(VLOOKUP(Vaktplan!$A$54,Vaktplan!$BI$4:$CL$35,86-AK67,FALSE),0)</f>
        <v>0</v>
      </c>
      <c r="W14" s="77">
        <f>IFERROR(VLOOKUP(Vaktplan!$A$54,Vaktplan!$BI$4:$CL$35,86-AJ67,FALSE),0)</f>
        <v>0</v>
      </c>
      <c r="X14" s="9">
        <f>IFERROR(VLOOKUP(Vaktplan!$A$54,Vaktplan!$BI$4:$CL$35,89-$AK67,FALSE),0)</f>
        <v>0</v>
      </c>
      <c r="Y14" s="9">
        <f>IF(AND(V14=0,W14=0),0,IF(V14&lt;W14,((W14-V14)*24)-X14,(((1-V14)+W14)*24)-X14))</f>
        <v>0</v>
      </c>
      <c r="Z14" s="9">
        <f t="shared" si="9"/>
        <v>24</v>
      </c>
      <c r="AA14" s="77">
        <f>IFERROR(VLOOKUP(Vaktplan!$A$54,Vaktplan!$BJ$4:$CL$35,86-AL67,FALSE),0)</f>
        <v>0</v>
      </c>
      <c r="AB14" s="77">
        <f>IFERROR(VLOOKUP(Vaktplan!$A$54,Vaktplan!$BJ$4:$CL$35,86-AK67,FALSE),0)</f>
        <v>0</v>
      </c>
      <c r="AC14" s="9">
        <f>IFERROR(VLOOKUP(Vaktplan!$A$54,Vaktplan!$BJ$4:$CL$35,89-$AL67,FALSE),0)</f>
        <v>0</v>
      </c>
      <c r="AD14" s="9">
        <f>IF(AND(AA14=0,AB14=0),0,IF(AA14&lt;AB14,((AB14-AA14)*24)-AC14,(((1-AA14)+AB14)*24)-AC14))</f>
        <v>0</v>
      </c>
      <c r="AE14" s="9">
        <f t="shared" si="11"/>
        <v>24</v>
      </c>
      <c r="AF14" s="77">
        <f>IFERROR(VLOOKUP(Vaktplan!$A$54,Vaktplan!$BK$4:$CL$35,86-AM67,FALSE),0)</f>
        <v>0</v>
      </c>
      <c r="AG14" s="77">
        <f>IFERROR(VLOOKUP(Vaktplan!$A$54,Vaktplan!$BK$4:$CL$35,86-AL67,FALSE),0)</f>
        <v>0</v>
      </c>
      <c r="AH14" s="9">
        <f>IFERROR(VLOOKUP(Vaktplan!$A$54,Vaktplan!$BK$4:$CL$35,89-$AM67,FALSE),0)</f>
        <v>0</v>
      </c>
      <c r="AI14" s="9">
        <f>IF(AND(AF14=0,AG14=0),0,IF(AF14&lt;AG14,((AG14-AF14)*24)-AH14,(((1-AF14)+AG14)*24)-AH14))</f>
        <v>0</v>
      </c>
      <c r="AJ14" s="9">
        <f t="shared" si="13"/>
        <v>24</v>
      </c>
      <c r="AK14" s="9">
        <f t="shared" si="1"/>
        <v>0</v>
      </c>
      <c r="AL14" s="92"/>
      <c r="AM14" s="10"/>
    </row>
    <row r="15" spans="1:39" ht="13" x14ac:dyDescent="0.25">
      <c r="A15" s="7">
        <v>10</v>
      </c>
      <c r="B15" s="77">
        <f>IFERROR(VLOOKUP(Vaktplan!$A$54,Vaktplan!$BL$4:$CL$35,87-AH68,FALSE),0)</f>
        <v>0</v>
      </c>
      <c r="C15" s="77">
        <f>IFERROR(VLOOKUP(Vaktplan!$A$54,Vaktplan!$BL$4:$CL$35,87-AG68,FALSE),0)</f>
        <v>0</v>
      </c>
      <c r="D15" s="9">
        <f>IFERROR(VLOOKUP(Vaktplan!$A$54,Vaktplan!$BL$4:$CL$35,89-AG68,FALSE),0)</f>
        <v>0</v>
      </c>
      <c r="E15" s="9">
        <f t="shared" si="16"/>
        <v>0</v>
      </c>
      <c r="F15" s="9">
        <f t="shared" si="2"/>
        <v>24</v>
      </c>
      <c r="G15" s="77">
        <f>IFERROR(VLOOKUP(Vaktplan!$A$54,Vaktplan!$BM$4:$CL$35,86-AH68,FALSE),0)</f>
        <v>0</v>
      </c>
      <c r="H15" s="77">
        <f>IFERROR(VLOOKUP(Vaktplan!$A$54,Vaktplan!$BM$4:$CL$35,86-AG68,FALSE),0)</f>
        <v>0</v>
      </c>
      <c r="I15" s="9">
        <f>IFERROR(VLOOKUP(Vaktplan!$A$54,Vaktplan!$BM$4:$CL$35,89-$AH68,FALSE),0)</f>
        <v>0</v>
      </c>
      <c r="J15" s="9">
        <f t="shared" si="3"/>
        <v>0</v>
      </c>
      <c r="K15" s="9">
        <f t="shared" si="4"/>
        <v>24</v>
      </c>
      <c r="L15" s="77">
        <f>IFERROR(VLOOKUP(Vaktplan!$A$54,Vaktplan!$BN$4:$CL$35,86-AI68,FALSE),0)</f>
        <v>0</v>
      </c>
      <c r="M15" s="77">
        <f>IFERROR(VLOOKUP(Vaktplan!$A$54,Vaktplan!$BN$4:$CL$35,86-AH68,FALSE),0)</f>
        <v>0</v>
      </c>
      <c r="N15" s="9">
        <f>IFERROR(VLOOKUP(Vaktplan!$A$54,Vaktplan!$BN$4:$CL$35,89-$AI68,FALSE),0)</f>
        <v>0</v>
      </c>
      <c r="O15" s="9">
        <f t="shared" si="5"/>
        <v>0</v>
      </c>
      <c r="P15" s="9">
        <f t="shared" si="6"/>
        <v>24</v>
      </c>
      <c r="Q15" s="77">
        <f>IFERROR(VLOOKUP(Vaktplan!$A$54,Vaktplan!$BO$4:$CL$35,86-AJ68,FALSE),0)</f>
        <v>0</v>
      </c>
      <c r="R15" s="77">
        <f>IFERROR(VLOOKUP(Vaktplan!$A$54,Vaktplan!$BO$4:$CL$35,86-AI68,FALSE),0)</f>
        <v>0</v>
      </c>
      <c r="S15" s="9">
        <f>IFERROR(VLOOKUP(Vaktplan!$A$54,Vaktplan!$BO$4:$CL$35,89-$AJ68,FALSE),0)</f>
        <v>0</v>
      </c>
      <c r="T15" s="9">
        <f t="shared" si="0"/>
        <v>0</v>
      </c>
      <c r="U15" s="9">
        <f t="shared" si="7"/>
        <v>24</v>
      </c>
      <c r="V15" s="77">
        <f>IFERROR(VLOOKUP(Vaktplan!$A$54,Vaktplan!$BP$4:$CL$35,86-AK68,FALSE),0)</f>
        <v>0</v>
      </c>
      <c r="W15" s="77">
        <f>IFERROR(VLOOKUP(Vaktplan!$A$54,Vaktplan!$BP$4:$CL$35,86-AJ68,FALSE),0)</f>
        <v>0</v>
      </c>
      <c r="X15" s="9">
        <f>IFERROR(VLOOKUP(Vaktplan!$A$54,Vaktplan!$BP$4:$CL$35,89-$AK68,FALSE),0)</f>
        <v>0</v>
      </c>
      <c r="Y15" s="9">
        <f>IF(AND(V15=0,W15=0),0,IF(V15&lt;W15,((W15-V15)*24)-X15,(((1-V15)+W15)*24)-X15))</f>
        <v>0</v>
      </c>
      <c r="Z15" s="9">
        <f t="shared" si="9"/>
        <v>24</v>
      </c>
      <c r="AA15" s="77">
        <f>IFERROR(VLOOKUP(Vaktplan!$A$54,Vaktplan!$BQ$4:$CL$35,86-AL68,FALSE),0)</f>
        <v>0</v>
      </c>
      <c r="AB15" s="77">
        <f>IFERROR(VLOOKUP(Vaktplan!$A$54,Vaktplan!$BQ$4:$CL$35,86-AK68,FALSE),0)</f>
        <v>0</v>
      </c>
      <c r="AC15" s="9">
        <f>IFERROR(VLOOKUP(Vaktplan!$A$54,Vaktplan!$BQ$4:$CL$35,89-$AL68,FALSE),0)</f>
        <v>0</v>
      </c>
      <c r="AD15" s="9">
        <f>IF(AND(AA15=0,AB15=0),0,IF(AA15&lt;AB15,((AB15-AA15)*24)-AC15,(((1-AA15)+AB15)*24)-AC15))</f>
        <v>0</v>
      </c>
      <c r="AE15" s="9">
        <f t="shared" si="11"/>
        <v>24</v>
      </c>
      <c r="AF15" s="77">
        <f>IFERROR(VLOOKUP(Vaktplan!$A$54,Vaktplan!$BR$4:$CL$35,86-AM68,FALSE),0)</f>
        <v>0</v>
      </c>
      <c r="AG15" s="77">
        <f>IFERROR(VLOOKUP(Vaktplan!$A$54,Vaktplan!$BR$4:$CL$35,86-AL68,FALSE),0)</f>
        <v>0</v>
      </c>
      <c r="AH15" s="9">
        <f>IFERROR(VLOOKUP(Vaktplan!$A$54,Vaktplan!$BR$4:$CL$35,89-$AM68,FALSE),0)</f>
        <v>0</v>
      </c>
      <c r="AI15" s="9">
        <f>IF(AND(AF15=0,AG15=0),0,IF(AF15&lt;AG15,((AG15-AF15)*24)-AH15,(((1-AF15)+AG15)*24)-AH15))</f>
        <v>0</v>
      </c>
      <c r="AJ15" s="9">
        <f t="shared" si="13"/>
        <v>24</v>
      </c>
      <c r="AK15" s="9">
        <f t="shared" si="1"/>
        <v>0</v>
      </c>
      <c r="AL15" s="92"/>
      <c r="AM15" s="10"/>
    </row>
    <row r="16" spans="1:39" ht="13" x14ac:dyDescent="0.25">
      <c r="A16" s="7">
        <v>11</v>
      </c>
      <c r="B16" s="77">
        <f>IFERROR(VLOOKUP(Vaktplan!$A$54,Vaktplan!$BS$4:$CL$35,87-AH69,FALSE),0)</f>
        <v>0</v>
      </c>
      <c r="C16" s="77">
        <f>IFERROR(VLOOKUP(Vaktplan!$A$54,Vaktplan!$BS$4:$CL$35,87-AG69,FALSE),0)</f>
        <v>0</v>
      </c>
      <c r="D16" s="9">
        <f>IFERROR(VLOOKUP(Vaktplan!$A$54,Vaktplan!$BS$4:$CL$35,89-AG69,FALSE),0)</f>
        <v>0</v>
      </c>
      <c r="E16" s="9">
        <f t="shared" si="16"/>
        <v>0</v>
      </c>
      <c r="F16" s="9">
        <f t="shared" si="2"/>
        <v>24</v>
      </c>
      <c r="G16" s="77">
        <f>IFERROR(VLOOKUP(Vaktplan!$A$54,Vaktplan!$BT$4:$CL$35,86-AH69,FALSE),0)</f>
        <v>0</v>
      </c>
      <c r="H16" s="77">
        <f>IFERROR(VLOOKUP(Vaktplan!$A$54,Vaktplan!$BT$4:$CL$35,86-AG69,FALSE),0)</f>
        <v>0</v>
      </c>
      <c r="I16" s="9">
        <f>IFERROR(VLOOKUP(Vaktplan!$A$54,Vaktplan!$BT$4:$CL$35,89-$AH69,FALSE),0)</f>
        <v>0</v>
      </c>
      <c r="J16" s="9">
        <f t="shared" si="3"/>
        <v>0</v>
      </c>
      <c r="K16" s="9">
        <f t="shared" si="4"/>
        <v>24</v>
      </c>
      <c r="L16" s="77">
        <f>IFERROR(VLOOKUP(Vaktplan!$A$54,Vaktplan!$BU$4:$CL$35,86-AI69,FALSE),0)</f>
        <v>0</v>
      </c>
      <c r="M16" s="77">
        <f>IFERROR(VLOOKUP(Vaktplan!$A$54,Vaktplan!$BU$4:$CL$35,86-AH69,FALSE),0)</f>
        <v>0</v>
      </c>
      <c r="N16" s="9">
        <f>IFERROR(VLOOKUP(Vaktplan!$A$54,Vaktplan!$BU$4:$CL$35,89-$AI69,FALSE),0)</f>
        <v>0</v>
      </c>
      <c r="O16" s="9">
        <f t="shared" si="5"/>
        <v>0</v>
      </c>
      <c r="P16" s="9">
        <f t="shared" si="6"/>
        <v>24</v>
      </c>
      <c r="Q16" s="77">
        <f>IFERROR(VLOOKUP(Vaktplan!$A$54,Vaktplan!$BV$4:$CL$35,86-AJ69,FALSE),0)</f>
        <v>0</v>
      </c>
      <c r="R16" s="77">
        <f>IFERROR(VLOOKUP(Vaktplan!$A$54,Vaktplan!$BV$4:$CL$35,86-AI69,FALSE),0)</f>
        <v>0</v>
      </c>
      <c r="S16" s="9">
        <f>IFERROR(VLOOKUP(Vaktplan!$A$54,Vaktplan!$BV$4:$CL$35,89-$AJ69,FALSE),0)</f>
        <v>0</v>
      </c>
      <c r="T16" s="9">
        <f t="shared" si="0"/>
        <v>0</v>
      </c>
      <c r="U16" s="9">
        <f t="shared" si="7"/>
        <v>24</v>
      </c>
      <c r="V16" s="77">
        <f>IFERROR(VLOOKUP(Vaktplan!$A$54,Vaktplan!$BW$4:$CL$35,86-AK69,FALSE),0)</f>
        <v>0</v>
      </c>
      <c r="W16" s="77">
        <f>IFERROR(VLOOKUP(Vaktplan!$A$54,Vaktplan!$BW$4:$CL$35,86-AJ69,FALSE),0)</f>
        <v>0</v>
      </c>
      <c r="X16" s="9">
        <f>IFERROR(VLOOKUP(Vaktplan!$A$54,Vaktplan!$BW$4:$CL$35,89-$AK69,FALSE),0)</f>
        <v>0</v>
      </c>
      <c r="Y16" s="9">
        <f>IF(AND(V16=0,W16=0),0,IF(V16&lt;W16,((W16-V16)*24)-X16,(((1-V16)+W16)*24)-X16))</f>
        <v>0</v>
      </c>
      <c r="Z16" s="9">
        <f t="shared" si="9"/>
        <v>24</v>
      </c>
      <c r="AA16" s="77">
        <f>IFERROR(VLOOKUP(Vaktplan!$A$54,Vaktplan!$BX$4:$CL$35,86-AL69,FALSE),0)</f>
        <v>0</v>
      </c>
      <c r="AB16" s="77">
        <f>IFERROR(VLOOKUP(Vaktplan!$A$54,Vaktplan!$BX$4:$CL$35,86-AK69,FALSE),0)</f>
        <v>0</v>
      </c>
      <c r="AC16" s="9">
        <f>IFERROR(VLOOKUP(Vaktplan!$A$54,Vaktplan!$BX$4:$CL$35,89-$AL69,FALSE),0)</f>
        <v>0</v>
      </c>
      <c r="AD16" s="9">
        <f>IF(AND(AA16=0,AB16=0),0,IF(AA16&lt;AB16,((AB16-AA16)*24)-AC16,(((1-AA16)+AB16)*24)-AC16))</f>
        <v>0</v>
      </c>
      <c r="AE16" s="9">
        <f t="shared" si="11"/>
        <v>24</v>
      </c>
      <c r="AF16" s="77">
        <f>IFERROR(VLOOKUP(Vaktplan!$A$54,Vaktplan!$BY$4:$CL$35,86-AM69,FALSE),0)</f>
        <v>0</v>
      </c>
      <c r="AG16" s="77">
        <f>IFERROR(VLOOKUP(Vaktplan!$A$54,Vaktplan!$BY$4:$CL$35,86-AL69,FALSE),0)</f>
        <v>0</v>
      </c>
      <c r="AH16" s="9">
        <f>IFERROR(VLOOKUP(Vaktplan!$A$54,Vaktplan!$BY$4:$CL$35,89-$AM69,FALSE),0)</f>
        <v>0</v>
      </c>
      <c r="AI16" s="9">
        <f>IF(AND(AF16=0,AG16=0),0,IF(AF16&lt;AG16,((AG16-AF16)*24)-AH16,(((1-AF16)+AG16)*24)-AH16))</f>
        <v>0</v>
      </c>
      <c r="AJ16" s="9">
        <f t="shared" si="13"/>
        <v>24</v>
      </c>
      <c r="AK16" s="9">
        <f t="shared" si="1"/>
        <v>0</v>
      </c>
      <c r="AL16" s="92"/>
      <c r="AM16" s="10"/>
    </row>
    <row r="17" spans="1:43" ht="13" x14ac:dyDescent="0.25">
      <c r="A17" s="7">
        <v>12</v>
      </c>
      <c r="B17" s="77">
        <f>IFERROR(VLOOKUP(Vaktplan!$A$54,Vaktplan!$BZ$4:$CL$35,87-AH70,FALSE),0)</f>
        <v>0</v>
      </c>
      <c r="C17" s="77">
        <f>IFERROR(VLOOKUP(Vaktplan!$A$54,Vaktplan!$BZ$4:$CL$35,87-AG70,FALSE),0)</f>
        <v>0</v>
      </c>
      <c r="D17" s="9">
        <f>IFERROR(VLOOKUP(Vaktplan!$A$54,Vaktplan!$BZ$4:$CL$35,89-AG70,FALSE),0)</f>
        <v>0</v>
      </c>
      <c r="E17" s="9">
        <f t="shared" si="16"/>
        <v>0</v>
      </c>
      <c r="F17" s="9">
        <f t="shared" si="2"/>
        <v>24</v>
      </c>
      <c r="G17" s="77">
        <f>IFERROR(VLOOKUP(Vaktplan!$A$54,Vaktplan!$CA$4:$CL$35,86-AH70,FALSE),0)</f>
        <v>0</v>
      </c>
      <c r="H17" s="77">
        <f>IFERROR(VLOOKUP(Vaktplan!$A$54,Vaktplan!$CA$4:$CL$35,86-AG70,FALSE),0)</f>
        <v>0</v>
      </c>
      <c r="I17" s="9">
        <f>IFERROR(VLOOKUP(Vaktplan!$A$54,Vaktplan!$CA$4:$CL$35,89-$AH70,FALSE),0)</f>
        <v>0</v>
      </c>
      <c r="J17" s="9">
        <f t="shared" si="3"/>
        <v>0</v>
      </c>
      <c r="K17" s="9">
        <f t="shared" si="4"/>
        <v>24</v>
      </c>
      <c r="L17" s="77">
        <f>IFERROR(VLOOKUP(Vaktplan!$A$54,Vaktplan!$CB$4:$CL$35,86-AI70,FALSE),0)</f>
        <v>0</v>
      </c>
      <c r="M17" s="77">
        <f>IFERROR(VLOOKUP(Vaktplan!$A$54,Vaktplan!$CB$4:$CL$35,86-AH70,FALSE),0)</f>
        <v>0</v>
      </c>
      <c r="N17" s="9">
        <f>IFERROR(VLOOKUP(Vaktplan!$A$54,Vaktplan!$CB$4:$CL$35,89-$AI70,FALSE),0)</f>
        <v>0</v>
      </c>
      <c r="O17" s="9">
        <f t="shared" si="5"/>
        <v>0</v>
      </c>
      <c r="P17" s="9">
        <f t="shared" si="6"/>
        <v>24</v>
      </c>
      <c r="Q17" s="77">
        <f>IFERROR(VLOOKUP(Vaktplan!$A$54,Vaktplan!$CC$4:$CL$35,86-AJ70,FALSE),0)</f>
        <v>0</v>
      </c>
      <c r="R17" s="77">
        <f>IFERROR(VLOOKUP(Vaktplan!$A$54,Vaktplan!$CC$4:$CL$35,86-AI70,FALSE),0)</f>
        <v>0</v>
      </c>
      <c r="S17" s="9">
        <f>IFERROR(VLOOKUP(Vaktplan!$A$54,Vaktplan!$CC$4:$CL$35,89-$AJ70,FALSE),0)</f>
        <v>0</v>
      </c>
      <c r="T17" s="9">
        <f t="shared" si="0"/>
        <v>0</v>
      </c>
      <c r="U17" s="9">
        <f t="shared" si="7"/>
        <v>24</v>
      </c>
      <c r="V17" s="77">
        <f>IFERROR(VLOOKUP(Vaktplan!$A$54,Vaktplan!$CD$4:$CL$35,86-AK70,FALSE),0)</f>
        <v>0</v>
      </c>
      <c r="W17" s="77">
        <f>IFERROR(VLOOKUP(Vaktplan!$A$54,Vaktplan!$CD$4:$CL$35,86-AJ70,FALSE),0)</f>
        <v>0</v>
      </c>
      <c r="X17" s="9">
        <f>IFERROR(VLOOKUP(Vaktplan!$A$54,Vaktplan!$CD$4:$CL$35,89-$AK70,FALSE),0)</f>
        <v>0</v>
      </c>
      <c r="Y17" s="9">
        <f>IF(AND(V17=0,W17=0),0,IF(V17&lt;W17,((W17-V17)*24)-X17,(((1-V17)+W17)*24)-X17))</f>
        <v>0</v>
      </c>
      <c r="Z17" s="9">
        <f t="shared" si="9"/>
        <v>24</v>
      </c>
      <c r="AA17" s="77">
        <f>IFERROR(VLOOKUP(Vaktplan!$A$54,Vaktplan!$CE$4:$CL$35,86-AL70,FALSE),0)</f>
        <v>0</v>
      </c>
      <c r="AB17" s="77">
        <f>IFERROR(VLOOKUP(Vaktplan!$A$54,Vaktplan!$CE$4:$CL$35,86-AK70,FALSE),0)</f>
        <v>0</v>
      </c>
      <c r="AC17" s="9">
        <f>IFERROR(VLOOKUP(Vaktplan!$A$54,Vaktplan!$CE$4:$FCE$35,89-$AL70,FALSE),0)</f>
        <v>0</v>
      </c>
      <c r="AD17" s="9">
        <f>IF(AND(AA17=0,AB17=0),0,IF(AA17&lt;AB17,((AB17-AA17)*24)-AC17,(((1-AA17)+AB17)*24)-AC17))</f>
        <v>0</v>
      </c>
      <c r="AE17" s="9">
        <f t="shared" si="11"/>
        <v>24</v>
      </c>
      <c r="AF17" s="77">
        <f>IFERROR(VLOOKUP(Vaktplan!$A$54,Vaktplan!$CF$4:$CL$35,86-AM70,FALSE),0)</f>
        <v>0</v>
      </c>
      <c r="AG17" s="77">
        <f>IFERROR(VLOOKUP(Vaktplan!$A$54,Vaktplan!$CF$4:$CL$35,86-AL70,FALSE),0)</f>
        <v>0</v>
      </c>
      <c r="AH17" s="9">
        <f>IFERROR(VLOOKUP(Vaktplan!$A$54,Vaktplan!$CF$4:$CL$35,89-$AM70,FALSE),0)</f>
        <v>0</v>
      </c>
      <c r="AI17" s="9">
        <f>IF(AND(AF17=0,AG17=0),0,IF(AF17&lt;AG17,((AG17-AF17)*24)-AH17,(((1-AF17)+AG17)*24)-AH17))</f>
        <v>0</v>
      </c>
      <c r="AJ17" s="9">
        <f t="shared" si="13"/>
        <v>24</v>
      </c>
      <c r="AK17" s="9">
        <f t="shared" si="1"/>
        <v>0</v>
      </c>
      <c r="AL17" s="92"/>
      <c r="AM17" s="10"/>
    </row>
    <row r="19" spans="1:43" ht="13" x14ac:dyDescent="0.3">
      <c r="A19" s="4" t="s">
        <v>76</v>
      </c>
    </row>
    <row r="20" spans="1:43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3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3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3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3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6" spans="1:43" ht="13" x14ac:dyDescent="0.3">
      <c r="A26" s="4" t="s">
        <v>77</v>
      </c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</row>
    <row r="27" spans="1:43" ht="13" x14ac:dyDescent="0.3">
      <c r="A27" s="3" t="s">
        <v>78</v>
      </c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80" t="s">
        <v>79</v>
      </c>
      <c r="AM27" s="78"/>
      <c r="AN27" s="78"/>
      <c r="AO27" s="78"/>
    </row>
    <row r="28" spans="1:43" ht="13" x14ac:dyDescent="0.3">
      <c r="A28" s="98" t="s">
        <v>36</v>
      </c>
      <c r="B28" s="98"/>
      <c r="C28" s="98"/>
      <c r="D28" s="88"/>
      <c r="E28" s="8">
        <f>E2</f>
        <v>0</v>
      </c>
      <c r="F28" s="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>
        <v>1</v>
      </c>
      <c r="AM28" s="78"/>
      <c r="AN28" s="78"/>
      <c r="AO28" s="78"/>
    </row>
    <row r="29" spans="1:43" ht="13" x14ac:dyDescent="0.3">
      <c r="A29" s="98" t="s">
        <v>80</v>
      </c>
      <c r="B29" s="98"/>
      <c r="C29" s="98"/>
      <c r="D29" s="88"/>
      <c r="E29" s="5">
        <f>E3</f>
        <v>0</v>
      </c>
      <c r="F29" s="5"/>
      <c r="T29" s="10"/>
      <c r="U29" s="10"/>
      <c r="V29" s="10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80" t="s">
        <v>81</v>
      </c>
      <c r="AH29" s="80"/>
      <c r="AI29" s="78"/>
      <c r="AJ29" s="78"/>
      <c r="AK29" s="78"/>
      <c r="AL29" s="78">
        <v>2</v>
      </c>
      <c r="AM29" s="78"/>
      <c r="AN29" s="78"/>
      <c r="AO29" s="78"/>
      <c r="AP29" s="10"/>
      <c r="AQ29" s="10"/>
    </row>
    <row r="30" spans="1:43" ht="13" x14ac:dyDescent="0.3">
      <c r="A30" s="98" t="s">
        <v>82</v>
      </c>
      <c r="B30" s="98"/>
      <c r="C30" s="98"/>
      <c r="D30" s="88"/>
      <c r="T30" s="10"/>
      <c r="U30" s="10"/>
      <c r="V30" s="10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>
        <v>3</v>
      </c>
      <c r="AM30" s="78"/>
      <c r="AN30" s="78"/>
      <c r="AO30" s="78"/>
      <c r="AP30" s="10"/>
      <c r="AQ30" s="10"/>
    </row>
    <row r="31" spans="1:43" ht="13" x14ac:dyDescent="0.3">
      <c r="A31" s="4" t="s">
        <v>83</v>
      </c>
      <c r="B31" s="4" t="s">
        <v>84</v>
      </c>
      <c r="C31" s="4" t="s">
        <v>85</v>
      </c>
      <c r="D31" s="98" t="s">
        <v>86</v>
      </c>
      <c r="E31" s="98"/>
      <c r="F31" s="4" t="s">
        <v>87</v>
      </c>
      <c r="G31" s="4" t="s">
        <v>88</v>
      </c>
      <c r="H31" s="98" t="s">
        <v>27</v>
      </c>
      <c r="I31" s="98"/>
      <c r="J31" s="4" t="s">
        <v>28</v>
      </c>
      <c r="K31" s="4" t="s">
        <v>29</v>
      </c>
      <c r="L31" s="4" t="s">
        <v>30</v>
      </c>
      <c r="M31" s="4" t="s">
        <v>31</v>
      </c>
      <c r="N31" s="98" t="s">
        <v>32</v>
      </c>
      <c r="O31" s="98"/>
      <c r="T31" s="10"/>
      <c r="U31" s="10"/>
      <c r="V31" s="10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80" t="s">
        <v>9</v>
      </c>
      <c r="AH31" s="80"/>
      <c r="AI31" s="78"/>
      <c r="AJ31" s="78"/>
      <c r="AK31" s="78"/>
      <c r="AL31" s="78">
        <v>4</v>
      </c>
      <c r="AM31" s="78"/>
      <c r="AN31" s="78"/>
      <c r="AO31" s="78"/>
      <c r="AP31" s="10"/>
      <c r="AQ31" s="10"/>
    </row>
    <row r="32" spans="1:43" ht="13" x14ac:dyDescent="0.3">
      <c r="A32" s="3">
        <f>AK6</f>
        <v>0</v>
      </c>
      <c r="B32" s="3">
        <f>AK7</f>
        <v>0</v>
      </c>
      <c r="C32" s="3">
        <f>AK8</f>
        <v>0</v>
      </c>
      <c r="D32" s="101">
        <f>AK9</f>
        <v>0</v>
      </c>
      <c r="E32" s="101"/>
      <c r="F32" s="3">
        <f>AK10</f>
        <v>0</v>
      </c>
      <c r="G32" s="3">
        <f>AK11</f>
        <v>0</v>
      </c>
      <c r="H32" s="101">
        <f>AK12</f>
        <v>0</v>
      </c>
      <c r="I32" s="101"/>
      <c r="J32" s="3">
        <f>AK13</f>
        <v>0</v>
      </c>
      <c r="K32" s="3">
        <f>AK14</f>
        <v>0</v>
      </c>
      <c r="L32" s="3">
        <f>AK15</f>
        <v>0</v>
      </c>
      <c r="M32" s="3">
        <f>AK16</f>
        <v>0</v>
      </c>
      <c r="N32" s="101">
        <f>AK17</f>
        <v>0</v>
      </c>
      <c r="O32" s="101"/>
      <c r="T32" s="11" t="s">
        <v>70</v>
      </c>
      <c r="U32" s="10" t="s">
        <v>89</v>
      </c>
      <c r="V32" s="10" t="s">
        <v>90</v>
      </c>
      <c r="W32" s="78" t="s">
        <v>91</v>
      </c>
      <c r="X32" s="78" t="s">
        <v>92</v>
      </c>
      <c r="Y32" s="78" t="s">
        <v>93</v>
      </c>
      <c r="Z32" s="78" t="s">
        <v>94</v>
      </c>
      <c r="AA32" s="78"/>
      <c r="AB32" s="78"/>
      <c r="AC32" s="78"/>
      <c r="AD32" s="78"/>
      <c r="AE32" s="78"/>
      <c r="AF32" s="78"/>
      <c r="AG32" s="78" t="s">
        <v>10</v>
      </c>
      <c r="AH32" s="78"/>
      <c r="AI32" s="79">
        <v>42177</v>
      </c>
      <c r="AJ32" s="79"/>
      <c r="AK32" s="78"/>
      <c r="AL32" s="78">
        <v>5</v>
      </c>
      <c r="AM32" s="78"/>
      <c r="AN32" s="78"/>
      <c r="AO32" s="78"/>
      <c r="AP32" s="10"/>
      <c r="AQ32" s="10"/>
    </row>
    <row r="33" spans="1:43" ht="13" x14ac:dyDescent="0.3">
      <c r="A33" s="98" t="s">
        <v>95</v>
      </c>
      <c r="B33" s="98"/>
      <c r="C33" s="98"/>
      <c r="D33" s="88"/>
      <c r="G33" s="101"/>
      <c r="H33" s="101"/>
      <c r="I33" s="90"/>
      <c r="T33" s="10">
        <v>1</v>
      </c>
      <c r="U33" s="10">
        <f>IF(AND(B6&gt;0,G6&gt;0),0,IF(AND(G6&gt;0),0,F6+K6))</f>
        <v>48</v>
      </c>
      <c r="V33" s="10">
        <f>IF(AND(G6&gt;0,L6&gt;0),0,IF(AND(L6&gt;0),0,K6+P6))</f>
        <v>48</v>
      </c>
      <c r="W33" s="78">
        <f>IF(AND(L6&gt;0,Q6&gt;0),0,IF(AND(Q6&gt;0),0,P6+U6))</f>
        <v>48</v>
      </c>
      <c r="X33" s="78">
        <f>IF(AND(Q6&gt;0,V6&gt;0),0,IF(AND(V6&gt;0),0,U6+Z6))</f>
        <v>48</v>
      </c>
      <c r="Y33" s="78">
        <f>IF(AND(V6&gt;0,AA6&gt;0),0,IF(AND(AA6&gt;0),0,Z6+AE6))</f>
        <v>48</v>
      </c>
      <c r="Z33" s="78">
        <f>IF(AND(AA6&gt;0,AF6&gt;0),0,IF(AND(AF6&gt;0),0,AE6+AJ6))</f>
        <v>48</v>
      </c>
      <c r="AA33" s="78"/>
      <c r="AB33" s="78"/>
      <c r="AC33" s="78"/>
      <c r="AD33" s="78"/>
      <c r="AE33" s="78"/>
      <c r="AF33" s="78"/>
      <c r="AG33" s="78" t="s">
        <v>11</v>
      </c>
      <c r="AH33" s="78"/>
      <c r="AI33" s="79">
        <v>42178</v>
      </c>
      <c r="AJ33" s="79"/>
      <c r="AK33" s="78"/>
      <c r="AL33" s="78">
        <v>6</v>
      </c>
      <c r="AM33" s="78"/>
      <c r="AN33" s="78"/>
      <c r="AO33" s="78"/>
      <c r="AP33" s="10"/>
      <c r="AQ33" s="10"/>
    </row>
    <row r="34" spans="1:43" x14ac:dyDescent="0.25">
      <c r="A34" s="101" t="s">
        <v>96</v>
      </c>
      <c r="B34" s="101"/>
      <c r="C34" s="3">
        <f>(AK6+AK7+AK8+AK9+AK10+AK11+AK12+AK13+AK14+AK15+AK16+AK17)/M1</f>
        <v>0</v>
      </c>
      <c r="T34" s="10">
        <v>2</v>
      </c>
      <c r="U34" s="10">
        <f t="shared" ref="U34:U40" si="17">IF(AND(B7&gt;0,G7&gt;0),0,IF(AND(G7&gt;0),0,F7+K7))</f>
        <v>48</v>
      </c>
      <c r="V34" s="10">
        <f t="shared" ref="V34:V40" si="18">IF(AND(G7&gt;0,L7&gt;0),0,IF(AND(L7&gt;0),0,K7+P7))</f>
        <v>48</v>
      </c>
      <c r="W34" s="78">
        <f t="shared" ref="W34:W44" si="19">IF(AND(L7&gt;0,Q7&gt;0),0,IF(AND(Q7&gt;0),0,P7+U7))</f>
        <v>48</v>
      </c>
      <c r="X34" s="78">
        <f t="shared" ref="X34:X44" si="20">IF(AND(Q7&gt;0,V7&gt;0),0,IF(AND(V7&gt;0),0,U7+Z7))</f>
        <v>48</v>
      </c>
      <c r="Y34" s="78">
        <f t="shared" ref="Y34:Y44" si="21">IF(AND(V7&gt;0,AA7&gt;0),0,IF(AND(AA7&gt;0),0,Z7+AE7))</f>
        <v>48</v>
      </c>
      <c r="Z34" s="78">
        <f t="shared" ref="Z34:Z44" si="22">IF(AND(AA7&gt;0,AF7&gt;0),0,IF(AND(AF7&gt;0),0,AE7+AJ7))</f>
        <v>48</v>
      </c>
      <c r="AA34" s="78"/>
      <c r="AB34" s="78"/>
      <c r="AC34" s="78"/>
      <c r="AD34" s="78"/>
      <c r="AE34" s="78"/>
      <c r="AF34" s="78"/>
      <c r="AG34" s="78" t="s">
        <v>12</v>
      </c>
      <c r="AH34" s="78"/>
      <c r="AI34" s="79">
        <v>42179</v>
      </c>
      <c r="AJ34" s="79"/>
      <c r="AK34" s="78"/>
      <c r="AL34" s="78">
        <v>7</v>
      </c>
      <c r="AM34" s="78"/>
      <c r="AN34" s="78"/>
      <c r="AO34" s="78"/>
      <c r="AP34" s="10"/>
      <c r="AQ34" s="10"/>
    </row>
    <row r="35" spans="1:43" x14ac:dyDescent="0.25">
      <c r="T35" s="10">
        <v>3</v>
      </c>
      <c r="U35" s="10">
        <f t="shared" si="17"/>
        <v>48</v>
      </c>
      <c r="V35" s="10">
        <f t="shared" si="18"/>
        <v>48</v>
      </c>
      <c r="W35" s="78">
        <f t="shared" si="19"/>
        <v>48</v>
      </c>
      <c r="X35" s="78">
        <f t="shared" si="20"/>
        <v>48</v>
      </c>
      <c r="Y35" s="78">
        <f t="shared" si="21"/>
        <v>48</v>
      </c>
      <c r="Z35" s="78">
        <f t="shared" si="22"/>
        <v>48</v>
      </c>
      <c r="AA35" s="78"/>
      <c r="AB35" s="78"/>
      <c r="AC35" s="78"/>
      <c r="AD35" s="78"/>
      <c r="AE35" s="78"/>
      <c r="AF35" s="78"/>
      <c r="AG35" s="78" t="s">
        <v>13</v>
      </c>
      <c r="AH35" s="78"/>
      <c r="AI35" s="79">
        <v>42180</v>
      </c>
      <c r="AJ35" s="79"/>
      <c r="AK35" s="78"/>
      <c r="AL35" s="78">
        <v>8</v>
      </c>
      <c r="AM35" s="78"/>
      <c r="AN35" s="78"/>
      <c r="AO35" s="78"/>
      <c r="AP35" s="78"/>
      <c r="AQ35" s="10"/>
    </row>
    <row r="36" spans="1:43" ht="13" x14ac:dyDescent="0.3">
      <c r="A36" s="98" t="s">
        <v>97</v>
      </c>
      <c r="B36" s="98"/>
      <c r="C36" s="98"/>
      <c r="D36" s="98"/>
      <c r="E36" s="98"/>
      <c r="F36" s="88"/>
      <c r="T36" s="10">
        <v>4</v>
      </c>
      <c r="U36" s="10">
        <f t="shared" si="17"/>
        <v>48</v>
      </c>
      <c r="V36" s="10">
        <f t="shared" si="18"/>
        <v>48</v>
      </c>
      <c r="W36" s="78">
        <f t="shared" si="19"/>
        <v>48</v>
      </c>
      <c r="X36" s="78">
        <f t="shared" si="20"/>
        <v>48</v>
      </c>
      <c r="Y36" s="78">
        <f t="shared" si="21"/>
        <v>48</v>
      </c>
      <c r="Z36" s="78">
        <f t="shared" si="22"/>
        <v>48</v>
      </c>
      <c r="AA36" s="78"/>
      <c r="AB36" s="78"/>
      <c r="AC36" s="78"/>
      <c r="AD36" s="78"/>
      <c r="AE36" s="78"/>
      <c r="AF36" s="78"/>
      <c r="AG36" s="78" t="s">
        <v>14</v>
      </c>
      <c r="AH36" s="78"/>
      <c r="AI36" s="79">
        <v>42181</v>
      </c>
      <c r="AJ36" s="79"/>
      <c r="AK36" s="78"/>
      <c r="AL36" s="3">
        <v>9</v>
      </c>
      <c r="AM36" s="78"/>
      <c r="AN36" s="78"/>
      <c r="AO36" s="78"/>
      <c r="AP36" s="78"/>
      <c r="AQ36" s="10"/>
    </row>
    <row r="37" spans="1:43" x14ac:dyDescent="0.25">
      <c r="A37" s="99" t="e">
        <f>C34/E3</f>
        <v>#DIV/0!</v>
      </c>
      <c r="B37" s="99"/>
      <c r="C37" s="99"/>
      <c r="T37" s="10">
        <v>5</v>
      </c>
      <c r="U37" s="10">
        <f t="shared" si="17"/>
        <v>48</v>
      </c>
      <c r="V37" s="10">
        <f t="shared" si="18"/>
        <v>48</v>
      </c>
      <c r="W37" s="78">
        <f t="shared" si="19"/>
        <v>48</v>
      </c>
      <c r="X37" s="78">
        <f t="shared" si="20"/>
        <v>48</v>
      </c>
      <c r="Y37" s="78">
        <f t="shared" si="21"/>
        <v>48</v>
      </c>
      <c r="Z37" s="78">
        <f t="shared" si="22"/>
        <v>48</v>
      </c>
      <c r="AA37" s="78"/>
      <c r="AB37" s="78"/>
      <c r="AC37" s="78"/>
      <c r="AD37" s="78"/>
      <c r="AE37" s="78"/>
      <c r="AF37" s="78"/>
      <c r="AG37" s="78" t="s">
        <v>15</v>
      </c>
      <c r="AH37" s="78"/>
      <c r="AI37" s="79">
        <v>42182</v>
      </c>
      <c r="AJ37" s="79"/>
      <c r="AK37" s="78"/>
      <c r="AL37" s="3">
        <v>10</v>
      </c>
      <c r="AM37" s="78"/>
      <c r="AN37" s="78"/>
      <c r="AO37" s="78"/>
      <c r="AP37" s="78"/>
      <c r="AQ37" s="10"/>
    </row>
    <row r="38" spans="1:43" x14ac:dyDescent="0.25">
      <c r="T38" s="10">
        <v>6</v>
      </c>
      <c r="U38" s="10">
        <f t="shared" si="17"/>
        <v>48</v>
      </c>
      <c r="V38" s="10">
        <f t="shared" si="18"/>
        <v>48</v>
      </c>
      <c r="W38" s="78">
        <f t="shared" si="19"/>
        <v>48</v>
      </c>
      <c r="X38" s="78">
        <f t="shared" si="20"/>
        <v>48</v>
      </c>
      <c r="Y38" s="78">
        <f t="shared" si="21"/>
        <v>48</v>
      </c>
      <c r="Z38" s="78">
        <f t="shared" si="22"/>
        <v>48</v>
      </c>
      <c r="AA38" s="78"/>
      <c r="AB38" s="78"/>
      <c r="AC38" s="78"/>
      <c r="AD38" s="78"/>
      <c r="AE38" s="78"/>
      <c r="AF38" s="78"/>
      <c r="AG38" s="78" t="s">
        <v>16</v>
      </c>
      <c r="AH38" s="78"/>
      <c r="AI38" s="79">
        <v>42183</v>
      </c>
      <c r="AJ38" s="79"/>
      <c r="AK38" s="78"/>
      <c r="AL38" s="3">
        <v>11</v>
      </c>
      <c r="AM38" s="78"/>
      <c r="AN38" s="78"/>
      <c r="AO38" s="78"/>
      <c r="AP38" s="78"/>
      <c r="AQ38" s="10"/>
    </row>
    <row r="39" spans="1:43" x14ac:dyDescent="0.25">
      <c r="T39" s="10">
        <v>7</v>
      </c>
      <c r="U39" s="10">
        <f t="shared" si="17"/>
        <v>48</v>
      </c>
      <c r="V39" s="10">
        <f t="shared" si="18"/>
        <v>48</v>
      </c>
      <c r="W39" s="78">
        <f t="shared" si="19"/>
        <v>48</v>
      </c>
      <c r="X39" s="78">
        <f t="shared" si="20"/>
        <v>48</v>
      </c>
      <c r="Y39" s="78">
        <f t="shared" si="21"/>
        <v>48</v>
      </c>
      <c r="Z39" s="78">
        <f t="shared" si="22"/>
        <v>48</v>
      </c>
      <c r="AA39" s="78"/>
      <c r="AB39" s="78"/>
      <c r="AC39" s="78"/>
      <c r="AD39" s="78"/>
      <c r="AE39" s="78"/>
      <c r="AF39" s="78"/>
      <c r="AG39" s="100">
        <f>IF(E1=AG32,AI32,IF(E1=AG33,AI33,IF(E1=AG34,AI34,IF(E1=AG35,AI35,IF(E1=AG36,AI36,IF(E1=AG37,AI37,IF(E1=AG38,AI38,AI32)))))))</f>
        <v>42177</v>
      </c>
      <c r="AH39" s="100"/>
      <c r="AI39" s="100"/>
      <c r="AJ39" s="100"/>
      <c r="AK39" s="100"/>
      <c r="AL39" s="3">
        <v>12</v>
      </c>
      <c r="AM39" s="78"/>
      <c r="AN39" s="78"/>
      <c r="AO39" s="78"/>
      <c r="AP39" s="78"/>
      <c r="AQ39" s="10"/>
    </row>
    <row r="40" spans="1:43" ht="13" x14ac:dyDescent="0.3">
      <c r="A40" s="4" t="s">
        <v>98</v>
      </c>
      <c r="T40" s="10">
        <v>8</v>
      </c>
      <c r="U40" s="10">
        <f t="shared" si="17"/>
        <v>48</v>
      </c>
      <c r="V40" s="10">
        <f t="shared" si="18"/>
        <v>48</v>
      </c>
      <c r="W40" s="78">
        <f t="shared" si="19"/>
        <v>48</v>
      </c>
      <c r="X40" s="78">
        <f t="shared" si="20"/>
        <v>48</v>
      </c>
      <c r="Y40" s="78">
        <f t="shared" si="21"/>
        <v>48</v>
      </c>
      <c r="Z40" s="78">
        <f t="shared" si="22"/>
        <v>48</v>
      </c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10"/>
    </row>
    <row r="41" spans="1:43" x14ac:dyDescent="0.25">
      <c r="A41" s="3" t="s">
        <v>99</v>
      </c>
      <c r="T41" s="10"/>
      <c r="U41" s="10"/>
      <c r="V41" s="10"/>
      <c r="W41" s="78">
        <f t="shared" si="19"/>
        <v>48</v>
      </c>
      <c r="X41" s="78">
        <f t="shared" si="20"/>
        <v>48</v>
      </c>
      <c r="Y41" s="78">
        <f t="shared" si="21"/>
        <v>48</v>
      </c>
      <c r="Z41" s="78">
        <f t="shared" si="22"/>
        <v>48</v>
      </c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10"/>
    </row>
    <row r="42" spans="1:43" ht="13" x14ac:dyDescent="0.3">
      <c r="A42" s="3" t="s">
        <v>100</v>
      </c>
      <c r="O42" s="81">
        <v>0.29166666666666669</v>
      </c>
      <c r="P42" s="81">
        <v>0.33333333333333331</v>
      </c>
      <c r="Q42" s="3">
        <f>(P42-O42)*24</f>
        <v>0.99999999999999911</v>
      </c>
      <c r="T42" s="10"/>
      <c r="U42" s="10"/>
      <c r="V42" s="10"/>
      <c r="W42" s="78">
        <f t="shared" si="19"/>
        <v>48</v>
      </c>
      <c r="X42" s="78">
        <f t="shared" si="20"/>
        <v>48</v>
      </c>
      <c r="Y42" s="78">
        <f t="shared" si="21"/>
        <v>48</v>
      </c>
      <c r="Z42" s="78">
        <f t="shared" si="22"/>
        <v>48</v>
      </c>
      <c r="AA42" s="78"/>
      <c r="AB42" s="78"/>
      <c r="AC42" s="78"/>
      <c r="AD42" s="78"/>
      <c r="AE42" s="78"/>
      <c r="AF42" s="78"/>
      <c r="AG42" s="80" t="s">
        <v>101</v>
      </c>
      <c r="AH42" s="80"/>
      <c r="AI42" s="78"/>
      <c r="AJ42" s="78"/>
      <c r="AK42" s="78"/>
      <c r="AL42" s="80" t="s">
        <v>102</v>
      </c>
      <c r="AM42" s="78"/>
      <c r="AN42" s="78"/>
      <c r="AO42" s="78"/>
      <c r="AP42" s="78"/>
      <c r="AQ42" s="10"/>
    </row>
    <row r="43" spans="1:43" x14ac:dyDescent="0.25">
      <c r="T43" s="10"/>
      <c r="U43" s="10"/>
      <c r="V43" s="10"/>
      <c r="W43" s="78">
        <f t="shared" si="19"/>
        <v>48</v>
      </c>
      <c r="X43" s="78">
        <f t="shared" si="20"/>
        <v>48</v>
      </c>
      <c r="Y43" s="78">
        <f t="shared" si="21"/>
        <v>48</v>
      </c>
      <c r="Z43" s="78">
        <f t="shared" si="22"/>
        <v>48</v>
      </c>
      <c r="AA43" s="78"/>
      <c r="AB43" s="78"/>
      <c r="AC43" s="78"/>
      <c r="AD43" s="78"/>
      <c r="AE43" s="78"/>
      <c r="AF43" s="78"/>
      <c r="AG43" s="78">
        <v>33.6</v>
      </c>
      <c r="AH43" s="78"/>
      <c r="AI43" s="78"/>
      <c r="AJ43" s="78"/>
      <c r="AK43" s="78"/>
      <c r="AL43" s="78" t="s">
        <v>103</v>
      </c>
      <c r="AM43" s="78"/>
      <c r="AN43" s="78"/>
      <c r="AO43" s="78"/>
      <c r="AP43" s="78"/>
      <c r="AQ43" s="10"/>
    </row>
    <row r="44" spans="1:43" x14ac:dyDescent="0.25">
      <c r="A44" s="3" t="s">
        <v>104</v>
      </c>
      <c r="T44" s="10"/>
      <c r="U44" s="10"/>
      <c r="V44" s="10"/>
      <c r="W44" s="78">
        <f t="shared" si="19"/>
        <v>48</v>
      </c>
      <c r="X44" s="78">
        <f t="shared" si="20"/>
        <v>48</v>
      </c>
      <c r="Y44" s="78">
        <f t="shared" si="21"/>
        <v>48</v>
      </c>
      <c r="Z44" s="78">
        <f t="shared" si="22"/>
        <v>48</v>
      </c>
      <c r="AA44" s="78"/>
      <c r="AB44" s="78"/>
      <c r="AC44" s="78"/>
      <c r="AD44" s="78"/>
      <c r="AE44" s="78"/>
      <c r="AF44" s="78"/>
      <c r="AG44" s="78">
        <v>35.5</v>
      </c>
      <c r="AH44" s="78"/>
      <c r="AI44" s="78"/>
      <c r="AJ44" s="78"/>
      <c r="AK44" s="78"/>
      <c r="AL44" s="78" t="s">
        <v>105</v>
      </c>
      <c r="AM44" s="78"/>
      <c r="AN44" s="78"/>
      <c r="AO44" s="78"/>
      <c r="AP44" s="78"/>
      <c r="AQ44" s="10"/>
    </row>
    <row r="45" spans="1:43" x14ac:dyDescent="0.25">
      <c r="A45" s="1">
        <v>11</v>
      </c>
      <c r="B45" s="5">
        <f>COUNTIF($F$6:$F$13,"&lt;" &amp; A45)+COUNTIF($K$6:$K$13,"&lt;" &amp; A45)+COUNTIF($P$6:$P$13,"&lt;" &amp; A45)+COUNTIF($U$6:$U$13,"&lt;" &amp; A45)+COUNTIF($Z$6:$Z$13,"&lt;" &amp; A45)+COUNTIF($AE$6:$AE$13,"&lt;" &amp; A45)+COUNTIF($AJ$6:$AJ$13,"&lt;" &amp; A45)</f>
        <v>0</v>
      </c>
      <c r="T45" s="10"/>
      <c r="U45" s="10"/>
      <c r="V45" s="10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>
        <v>37.5</v>
      </c>
      <c r="AH45" s="78"/>
      <c r="AI45" s="78"/>
      <c r="AJ45" s="78"/>
      <c r="AK45" s="78"/>
      <c r="AL45" s="78"/>
      <c r="AM45" s="78"/>
      <c r="AN45" s="78"/>
      <c r="AO45" s="78"/>
      <c r="AP45" s="78"/>
      <c r="AQ45" s="10"/>
    </row>
    <row r="46" spans="1:43" x14ac:dyDescent="0.25">
      <c r="T46" s="10"/>
      <c r="U46" s="10"/>
      <c r="V46" s="10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78"/>
      <c r="AQ46" s="10"/>
    </row>
    <row r="47" spans="1:43" x14ac:dyDescent="0.25">
      <c r="T47" s="10"/>
      <c r="U47" s="10"/>
      <c r="V47" s="10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10"/>
    </row>
    <row r="48" spans="1:43" x14ac:dyDescent="0.25">
      <c r="T48" s="10"/>
      <c r="U48" s="10"/>
      <c r="V48" s="10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78"/>
      <c r="AO48" s="78"/>
      <c r="AP48" s="78"/>
      <c r="AQ48" s="10"/>
    </row>
    <row r="49" spans="1:43" ht="13" x14ac:dyDescent="0.3">
      <c r="A49" s="4" t="s">
        <v>106</v>
      </c>
      <c r="T49" s="10"/>
      <c r="U49" s="10"/>
      <c r="V49" s="10"/>
      <c r="W49" s="78"/>
      <c r="X49" s="78"/>
      <c r="Y49" s="78"/>
      <c r="Z49" s="78"/>
      <c r="AA49" s="78"/>
      <c r="AB49" s="80" t="s">
        <v>107</v>
      </c>
      <c r="AC49" s="80"/>
      <c r="AD49" s="78"/>
      <c r="AE49" s="78"/>
      <c r="AF49" s="78"/>
      <c r="AG49" s="78"/>
      <c r="AH49" s="78"/>
      <c r="AI49" s="78"/>
      <c r="AJ49" s="78"/>
      <c r="AK49" s="78"/>
      <c r="AL49" s="78"/>
      <c r="AM49" s="78"/>
      <c r="AN49" s="78"/>
      <c r="AO49" s="78"/>
      <c r="AP49" s="78"/>
      <c r="AQ49" s="10"/>
    </row>
    <row r="50" spans="1:43" x14ac:dyDescent="0.25">
      <c r="A50" s="3" t="s">
        <v>108</v>
      </c>
      <c r="T50" s="10"/>
      <c r="U50" s="10"/>
      <c r="V50" s="10"/>
      <c r="W50" s="78"/>
      <c r="X50" s="78"/>
      <c r="Y50" s="78"/>
      <c r="Z50" s="78"/>
      <c r="AA50" s="78"/>
      <c r="AB50" s="78" t="s">
        <v>109</v>
      </c>
      <c r="AC50" s="78"/>
      <c r="AD50" s="78"/>
      <c r="AE50" s="78"/>
      <c r="AF50" s="78"/>
      <c r="AG50" s="78"/>
      <c r="AH50" s="78"/>
      <c r="AI50" s="78"/>
      <c r="AJ50" s="78"/>
      <c r="AK50" s="78"/>
      <c r="AL50" s="78"/>
      <c r="AM50" s="78"/>
      <c r="AN50" s="78"/>
      <c r="AO50" s="78"/>
      <c r="AP50" s="78"/>
      <c r="AQ50" s="10"/>
    </row>
    <row r="51" spans="1:43" ht="13" x14ac:dyDescent="0.3">
      <c r="A51" s="4" t="s">
        <v>110</v>
      </c>
      <c r="T51" s="10"/>
      <c r="U51" s="10"/>
      <c r="V51" s="10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  <c r="AN51" s="78"/>
      <c r="AO51" s="78"/>
      <c r="AP51" s="78"/>
      <c r="AQ51" s="10"/>
    </row>
    <row r="52" spans="1:43" x14ac:dyDescent="0.25">
      <c r="A52" s="3" t="s">
        <v>111</v>
      </c>
      <c r="T52" s="10"/>
      <c r="U52" s="10"/>
      <c r="V52" s="10"/>
      <c r="W52" s="78"/>
      <c r="X52" s="78"/>
      <c r="Y52" s="78"/>
      <c r="Z52" s="78"/>
      <c r="AA52" s="78"/>
      <c r="AB52" s="78" t="s">
        <v>112</v>
      </c>
      <c r="AC52" s="78"/>
      <c r="AD52" s="78"/>
      <c r="AE52" s="78"/>
      <c r="AF52" s="78"/>
      <c r="AG52" s="78"/>
      <c r="AH52" s="78"/>
      <c r="AI52" s="78"/>
      <c r="AJ52" s="78"/>
      <c r="AK52" s="78"/>
      <c r="AL52" s="78"/>
      <c r="AM52" s="78"/>
      <c r="AN52" s="78"/>
      <c r="AO52" s="78"/>
      <c r="AP52" s="78"/>
      <c r="AQ52" s="10"/>
    </row>
    <row r="53" spans="1:43" x14ac:dyDescent="0.25">
      <c r="A53" s="3" t="s">
        <v>113</v>
      </c>
      <c r="T53" s="10"/>
      <c r="U53" s="10"/>
      <c r="V53" s="10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78"/>
      <c r="AO53" s="78"/>
      <c r="AP53" s="78"/>
      <c r="AQ53" s="10"/>
    </row>
    <row r="54" spans="1:43" x14ac:dyDescent="0.25">
      <c r="A54" s="3" t="s">
        <v>114</v>
      </c>
      <c r="T54" s="10"/>
      <c r="U54" s="10"/>
      <c r="V54" s="10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78"/>
      <c r="AL54" s="78"/>
      <c r="AM54" s="78"/>
      <c r="AN54" s="78"/>
      <c r="AO54" s="78"/>
      <c r="AP54" s="78"/>
      <c r="AQ54" s="10"/>
    </row>
    <row r="55" spans="1:43" x14ac:dyDescent="0.25">
      <c r="T55" s="10"/>
      <c r="U55" s="10"/>
      <c r="V55" s="10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10"/>
    </row>
    <row r="56" spans="1:43" ht="13" x14ac:dyDescent="0.3">
      <c r="A56" s="4" t="s">
        <v>115</v>
      </c>
      <c r="T56" s="10"/>
      <c r="U56" s="10"/>
      <c r="V56" s="10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78"/>
      <c r="AO56" s="78"/>
      <c r="AP56" s="78"/>
      <c r="AQ56" s="10"/>
    </row>
    <row r="57" spans="1:43" x14ac:dyDescent="0.25">
      <c r="A57" s="3" t="s">
        <v>116</v>
      </c>
      <c r="T57" s="10"/>
      <c r="U57" s="10"/>
      <c r="V57" s="10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/>
      <c r="AO57" s="78"/>
      <c r="AP57" s="78"/>
      <c r="AQ57" s="10"/>
    </row>
    <row r="58" spans="1:43" ht="13" x14ac:dyDescent="0.3">
      <c r="A58" s="4" t="s">
        <v>110</v>
      </c>
      <c r="T58" s="10"/>
      <c r="U58" s="10"/>
      <c r="V58" s="10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 t="s">
        <v>117</v>
      </c>
      <c r="AH58" s="78"/>
      <c r="AI58" s="78"/>
      <c r="AJ58" s="78"/>
      <c r="AK58" s="78"/>
      <c r="AL58" s="78"/>
      <c r="AM58" s="78"/>
      <c r="AN58" s="78"/>
      <c r="AO58" s="78"/>
      <c r="AP58" s="78"/>
      <c r="AQ58" s="10"/>
    </row>
    <row r="59" spans="1:43" x14ac:dyDescent="0.25">
      <c r="A59" s="3" t="s">
        <v>111</v>
      </c>
      <c r="T59" s="10"/>
      <c r="U59" s="10"/>
      <c r="V59" s="10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>
        <v>0</v>
      </c>
      <c r="AH59" s="78">
        <v>1</v>
      </c>
      <c r="AI59" s="78">
        <v>2</v>
      </c>
      <c r="AJ59" s="78">
        <v>3</v>
      </c>
      <c r="AK59" s="78">
        <v>4</v>
      </c>
      <c r="AL59" s="78">
        <v>5</v>
      </c>
      <c r="AM59" s="78">
        <v>6</v>
      </c>
      <c r="AN59" s="78"/>
      <c r="AO59" s="78"/>
      <c r="AP59" s="78"/>
      <c r="AQ59" s="10"/>
    </row>
    <row r="60" spans="1:43" x14ac:dyDescent="0.25">
      <c r="A60" s="3" t="s">
        <v>113</v>
      </c>
      <c r="T60" s="10"/>
      <c r="U60" s="10"/>
      <c r="V60" s="10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>
        <v>7</v>
      </c>
      <c r="AH60" s="78">
        <v>8</v>
      </c>
      <c r="AI60" s="78">
        <v>9</v>
      </c>
      <c r="AJ60" s="78">
        <v>10</v>
      </c>
      <c r="AK60" s="78">
        <v>11</v>
      </c>
      <c r="AL60" s="78">
        <v>12</v>
      </c>
      <c r="AM60" s="78">
        <v>13</v>
      </c>
      <c r="AN60" s="78"/>
      <c r="AO60" s="78"/>
      <c r="AP60" s="78"/>
      <c r="AQ60" s="10"/>
    </row>
    <row r="61" spans="1:43" x14ac:dyDescent="0.25">
      <c r="T61" s="10"/>
      <c r="U61" s="10"/>
      <c r="V61" s="10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>
        <v>14</v>
      </c>
      <c r="AH61" s="78">
        <v>15</v>
      </c>
      <c r="AI61" s="78">
        <v>16</v>
      </c>
      <c r="AJ61" s="78">
        <v>17</v>
      </c>
      <c r="AK61" s="78">
        <v>18</v>
      </c>
      <c r="AL61" s="78">
        <v>19</v>
      </c>
      <c r="AM61" s="78">
        <v>20</v>
      </c>
      <c r="AN61" s="78"/>
      <c r="AO61" s="78"/>
      <c r="AP61" s="78"/>
      <c r="AQ61" s="10"/>
    </row>
    <row r="62" spans="1:43" ht="13" x14ac:dyDescent="0.3">
      <c r="A62" s="4" t="s">
        <v>118</v>
      </c>
      <c r="T62" s="10"/>
      <c r="U62" s="10"/>
      <c r="V62" s="10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>
        <v>21</v>
      </c>
      <c r="AH62" s="78">
        <v>22</v>
      </c>
      <c r="AI62" s="78">
        <v>23</v>
      </c>
      <c r="AJ62" s="78">
        <v>24</v>
      </c>
      <c r="AK62" s="78">
        <v>25</v>
      </c>
      <c r="AL62" s="78">
        <v>26</v>
      </c>
      <c r="AM62" s="78">
        <v>27</v>
      </c>
      <c r="AN62" s="78"/>
      <c r="AO62" s="78"/>
      <c r="AP62" s="78"/>
      <c r="AQ62" s="10"/>
    </row>
    <row r="63" spans="1:43" x14ac:dyDescent="0.25">
      <c r="A63" s="3" t="s">
        <v>119</v>
      </c>
      <c r="T63" s="10"/>
      <c r="U63" s="10"/>
      <c r="V63" s="10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>
        <v>28</v>
      </c>
      <c r="AH63" s="78">
        <v>29</v>
      </c>
      <c r="AI63" s="78">
        <v>30</v>
      </c>
      <c r="AJ63" s="78">
        <v>31</v>
      </c>
      <c r="AK63" s="78">
        <v>32</v>
      </c>
      <c r="AL63" s="78">
        <v>33</v>
      </c>
      <c r="AM63" s="78">
        <v>34</v>
      </c>
      <c r="AN63" s="78"/>
      <c r="AO63" s="78"/>
      <c r="AP63" s="78"/>
      <c r="AQ63" s="10"/>
    </row>
    <row r="64" spans="1:43" x14ac:dyDescent="0.25">
      <c r="A64" s="3" t="s">
        <v>120</v>
      </c>
      <c r="T64" s="10"/>
      <c r="U64" s="10"/>
      <c r="V64" s="10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>
        <v>35</v>
      </c>
      <c r="AH64" s="78">
        <v>36</v>
      </c>
      <c r="AI64" s="78">
        <v>37</v>
      </c>
      <c r="AJ64" s="78">
        <v>38</v>
      </c>
      <c r="AK64" s="78">
        <v>39</v>
      </c>
      <c r="AL64" s="78">
        <v>40</v>
      </c>
      <c r="AM64" s="78">
        <v>41</v>
      </c>
      <c r="AN64" s="78"/>
      <c r="AO64" s="78"/>
      <c r="AP64" s="78"/>
      <c r="AQ64" s="10"/>
    </row>
    <row r="65" spans="1:43" x14ac:dyDescent="0.25">
      <c r="T65" s="10"/>
      <c r="U65" s="10"/>
      <c r="V65" s="10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>
        <v>42</v>
      </c>
      <c r="AH65" s="78">
        <v>43</v>
      </c>
      <c r="AI65" s="78">
        <v>44</v>
      </c>
      <c r="AJ65" s="78">
        <v>45</v>
      </c>
      <c r="AK65" s="78">
        <v>46</v>
      </c>
      <c r="AL65" s="78">
        <v>47</v>
      </c>
      <c r="AM65" s="78">
        <v>48</v>
      </c>
      <c r="AN65" s="78"/>
      <c r="AO65" s="78"/>
      <c r="AP65" s="78"/>
      <c r="AQ65" s="10"/>
    </row>
    <row r="66" spans="1:43" ht="13" x14ac:dyDescent="0.3">
      <c r="A66" s="3" t="s">
        <v>121</v>
      </c>
      <c r="B66" s="4"/>
      <c r="T66" s="10"/>
      <c r="U66" s="10"/>
      <c r="V66" s="10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>
        <v>49</v>
      </c>
      <c r="AH66" s="78">
        <v>50</v>
      </c>
      <c r="AI66" s="78">
        <v>51</v>
      </c>
      <c r="AJ66" s="78">
        <v>52</v>
      </c>
      <c r="AK66" s="78">
        <v>53</v>
      </c>
      <c r="AL66" s="78">
        <v>54</v>
      </c>
      <c r="AM66" s="78">
        <v>55</v>
      </c>
      <c r="AN66" s="78"/>
      <c r="AO66" s="78"/>
      <c r="AP66" s="78"/>
      <c r="AQ66" s="10"/>
    </row>
    <row r="67" spans="1:43" ht="13" x14ac:dyDescent="0.3">
      <c r="A67" s="1">
        <v>9</v>
      </c>
      <c r="B67" s="5">
        <f>COUNTIF($E$6:$E$13,"&gt;" &amp; A67)+COUNTIF($J$6:$J$13,"&gt;" &amp; A67)+COUNTIF($O$6:$O$13,"&gt;" &amp; A67)+COUNTIF($T$6:$T$13,"&gt;" &amp; A67)+COUNTIF($Y$6:$Y$13,"&gt;" &amp; A67)+COUNTIF($AD$6:$AD$13,"&gt;" &amp; A67)+COUNTIF($AI$6:$AI$13,"&gt;" &amp; A67)</f>
        <v>0</v>
      </c>
      <c r="C67" s="3" t="s">
        <v>122</v>
      </c>
      <c r="E67" s="3" t="s">
        <v>123</v>
      </c>
      <c r="H67" s="1" t="s">
        <v>124</v>
      </c>
      <c r="L67" s="3" t="s">
        <v>125</v>
      </c>
      <c r="T67" s="10"/>
      <c r="U67" s="10"/>
      <c r="V67" s="10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>
        <v>56</v>
      </c>
      <c r="AH67" s="78">
        <v>57</v>
      </c>
      <c r="AI67" s="78">
        <v>58</v>
      </c>
      <c r="AJ67" s="78">
        <v>59</v>
      </c>
      <c r="AK67" s="78">
        <v>60</v>
      </c>
      <c r="AL67" s="78">
        <v>61</v>
      </c>
      <c r="AM67" s="78">
        <v>62</v>
      </c>
      <c r="AN67" s="78"/>
      <c r="AO67" s="78"/>
      <c r="AP67" s="78"/>
      <c r="AQ67" s="10"/>
    </row>
    <row r="68" spans="1:43" x14ac:dyDescent="0.25">
      <c r="T68" s="10"/>
      <c r="U68" s="10"/>
      <c r="V68" s="10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>
        <v>63</v>
      </c>
      <c r="AH68" s="78">
        <v>64</v>
      </c>
      <c r="AI68" s="78">
        <v>65</v>
      </c>
      <c r="AJ68" s="78">
        <v>66</v>
      </c>
      <c r="AK68" s="78">
        <v>67</v>
      </c>
      <c r="AL68" s="78">
        <v>68</v>
      </c>
      <c r="AM68" s="78">
        <v>69</v>
      </c>
      <c r="AN68" s="78"/>
      <c r="AO68" s="78"/>
      <c r="AP68" s="78"/>
      <c r="AQ68" s="10"/>
    </row>
    <row r="69" spans="1:43" x14ac:dyDescent="0.25">
      <c r="A69" s="3" t="s">
        <v>126</v>
      </c>
      <c r="T69" s="10"/>
      <c r="U69" s="10"/>
      <c r="V69" s="10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>
        <v>70</v>
      </c>
      <c r="AH69" s="78">
        <v>71</v>
      </c>
      <c r="AI69" s="78">
        <v>72</v>
      </c>
      <c r="AJ69" s="78">
        <v>73</v>
      </c>
      <c r="AK69" s="78">
        <v>74</v>
      </c>
      <c r="AL69" s="78">
        <v>75</v>
      </c>
      <c r="AM69" s="78">
        <v>76</v>
      </c>
      <c r="AN69" s="78"/>
      <c r="AO69" s="78"/>
      <c r="AP69" s="78"/>
      <c r="AQ69" s="10"/>
    </row>
    <row r="70" spans="1:43" x14ac:dyDescent="0.25">
      <c r="A70" s="1">
        <v>20</v>
      </c>
      <c r="B70" s="5">
        <f>COUNTIF($AK$6:$AK$13,"&gt;" &amp; A70)</f>
        <v>0</v>
      </c>
      <c r="C70" s="3" t="s">
        <v>127</v>
      </c>
      <c r="E70" s="3" t="s">
        <v>128</v>
      </c>
      <c r="H70" s="1" t="s">
        <v>124</v>
      </c>
      <c r="T70" s="10"/>
      <c r="U70" s="10"/>
      <c r="V70" s="10"/>
      <c r="W70" s="78"/>
      <c r="X70" s="78"/>
      <c r="Y70" s="78"/>
      <c r="Z70" s="78"/>
      <c r="AA70" s="78"/>
      <c r="AB70" s="78"/>
      <c r="AC70" s="78"/>
      <c r="AD70" s="78"/>
      <c r="AE70" s="78"/>
      <c r="AF70" s="78"/>
      <c r="AG70" s="78">
        <v>77</v>
      </c>
      <c r="AH70" s="78">
        <v>78</v>
      </c>
      <c r="AI70" s="78">
        <v>79</v>
      </c>
      <c r="AJ70" s="78">
        <v>80</v>
      </c>
      <c r="AK70" s="78">
        <v>81</v>
      </c>
      <c r="AL70" s="78">
        <v>82</v>
      </c>
      <c r="AM70" s="78">
        <v>83</v>
      </c>
      <c r="AN70" s="78"/>
      <c r="AO70" s="78"/>
      <c r="AP70" s="78"/>
      <c r="AQ70" s="10"/>
    </row>
    <row r="71" spans="1:43" x14ac:dyDescent="0.25">
      <c r="W71" s="78"/>
      <c r="X71" s="78"/>
      <c r="Y71" s="78"/>
      <c r="Z71" s="78"/>
      <c r="AA71" s="78"/>
      <c r="AB71" s="78"/>
      <c r="AC71" s="78"/>
      <c r="AD71" s="78"/>
      <c r="AE71" s="78"/>
      <c r="AF71" s="78"/>
      <c r="AG71" s="78">
        <v>84</v>
      </c>
      <c r="AH71" s="78">
        <v>85</v>
      </c>
      <c r="AI71" s="78">
        <v>86</v>
      </c>
      <c r="AJ71" s="78">
        <v>87</v>
      </c>
      <c r="AK71" s="78">
        <v>88</v>
      </c>
      <c r="AL71" s="78">
        <v>89</v>
      </c>
      <c r="AM71" s="78">
        <v>90</v>
      </c>
      <c r="AN71" s="78"/>
      <c r="AO71" s="78"/>
      <c r="AP71" s="78"/>
    </row>
    <row r="72" spans="1:43" x14ac:dyDescent="0.25"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  <c r="AL72" s="78"/>
      <c r="AM72" s="78"/>
      <c r="AN72" s="78"/>
      <c r="AO72" s="78"/>
      <c r="AP72" s="78"/>
    </row>
    <row r="73" spans="1:43" x14ac:dyDescent="0.25">
      <c r="W73" s="78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8"/>
      <c r="AK73" s="78"/>
      <c r="AL73" s="78"/>
      <c r="AM73" s="78"/>
      <c r="AN73" s="78"/>
      <c r="AO73" s="78"/>
      <c r="AP73" s="78"/>
    </row>
    <row r="74" spans="1:43" x14ac:dyDescent="0.25"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78"/>
      <c r="AO74" s="78"/>
      <c r="AP74" s="78"/>
    </row>
    <row r="75" spans="1:43" x14ac:dyDescent="0.25"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  <c r="AK75" s="78"/>
      <c r="AL75" s="78"/>
      <c r="AM75" s="78"/>
      <c r="AN75" s="78"/>
      <c r="AO75" s="78"/>
      <c r="AP75" s="78"/>
    </row>
    <row r="76" spans="1:43" x14ac:dyDescent="0.25">
      <c r="W76" s="78"/>
      <c r="X76" s="78"/>
      <c r="Y76" s="78"/>
      <c r="Z76" s="78"/>
      <c r="AA76" s="78"/>
      <c r="AB76" s="78"/>
      <c r="AC76" s="78"/>
      <c r="AD76" s="78"/>
      <c r="AE76" s="78"/>
      <c r="AF76" s="78"/>
      <c r="AG76" s="78"/>
      <c r="AH76" s="78"/>
      <c r="AI76" s="78"/>
      <c r="AJ76" s="78"/>
      <c r="AK76" s="78"/>
      <c r="AL76" s="78"/>
      <c r="AM76" s="78"/>
      <c r="AN76" s="78"/>
      <c r="AO76" s="78"/>
      <c r="AP76" s="78"/>
    </row>
    <row r="77" spans="1:43" x14ac:dyDescent="0.25"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78"/>
      <c r="AK77" s="78"/>
      <c r="AL77" s="78"/>
      <c r="AM77" s="78"/>
      <c r="AN77" s="78"/>
      <c r="AO77" s="78"/>
      <c r="AP77" s="78"/>
    </row>
    <row r="78" spans="1:43" x14ac:dyDescent="0.25">
      <c r="W78" s="78"/>
      <c r="X78" s="78"/>
      <c r="Y78" s="78"/>
      <c r="Z78" s="78"/>
      <c r="AA78" s="78"/>
      <c r="AB78" s="78"/>
      <c r="AC78" s="78"/>
      <c r="AD78" s="78"/>
      <c r="AE78" s="78"/>
      <c r="AF78" s="78"/>
      <c r="AG78" s="78"/>
      <c r="AH78" s="78"/>
      <c r="AI78" s="78"/>
      <c r="AJ78" s="78"/>
      <c r="AK78" s="78"/>
      <c r="AL78" s="78"/>
      <c r="AM78" s="78"/>
      <c r="AN78" s="78"/>
      <c r="AO78" s="78"/>
      <c r="AP78" s="78"/>
    </row>
    <row r="79" spans="1:43" x14ac:dyDescent="0.25">
      <c r="W79" s="78"/>
      <c r="X79" s="78"/>
      <c r="Y79" s="78"/>
      <c r="Z79" s="78"/>
      <c r="AA79" s="78"/>
      <c r="AB79" s="78"/>
      <c r="AC79" s="78"/>
      <c r="AD79" s="78"/>
      <c r="AE79" s="78"/>
      <c r="AF79" s="78"/>
      <c r="AG79" s="78"/>
      <c r="AH79" s="78"/>
      <c r="AI79" s="78"/>
      <c r="AJ79" s="78"/>
      <c r="AK79" s="78"/>
      <c r="AL79" s="78"/>
      <c r="AM79" s="78"/>
      <c r="AN79" s="78"/>
      <c r="AO79" s="78"/>
      <c r="AP79" s="78"/>
    </row>
    <row r="80" spans="1:43" x14ac:dyDescent="0.25">
      <c r="W80" s="78"/>
      <c r="X80" s="78"/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  <c r="AJ80" s="78"/>
      <c r="AK80" s="78"/>
      <c r="AL80" s="78"/>
      <c r="AM80" s="78"/>
      <c r="AN80" s="78"/>
      <c r="AO80" s="78"/>
      <c r="AP80" s="78"/>
    </row>
    <row r="81" spans="1:42" x14ac:dyDescent="0.25"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  <c r="AJ81" s="78"/>
      <c r="AK81" s="78"/>
      <c r="AL81" s="78"/>
      <c r="AM81" s="78"/>
      <c r="AN81" s="78"/>
      <c r="AO81" s="78"/>
      <c r="AP81" s="78"/>
    </row>
    <row r="82" spans="1:42" x14ac:dyDescent="0.25"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8"/>
      <c r="AH82" s="78"/>
      <c r="AI82" s="78"/>
      <c r="AJ82" s="78"/>
      <c r="AK82" s="78"/>
      <c r="AL82" s="78"/>
      <c r="AM82" s="78"/>
      <c r="AN82" s="78"/>
      <c r="AO82" s="78"/>
      <c r="AP82" s="78"/>
    </row>
    <row r="83" spans="1:42" x14ac:dyDescent="0.25"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</row>
    <row r="84" spans="1:42" x14ac:dyDescent="0.25"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</row>
    <row r="85" spans="1:42" x14ac:dyDescent="0.25"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</row>
    <row r="86" spans="1:42" x14ac:dyDescent="0.25"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8"/>
      <c r="AO86" s="78"/>
      <c r="AP86" s="78"/>
    </row>
    <row r="87" spans="1:42" x14ac:dyDescent="0.25"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  <c r="AN87" s="78"/>
      <c r="AO87" s="78"/>
      <c r="AP87" s="78"/>
    </row>
    <row r="95" spans="1:42" ht="13" x14ac:dyDescent="0.3">
      <c r="A95" s="4"/>
    </row>
  </sheetData>
  <sheetProtection algorithmName="SHA-512" hashValue="pDcKrxFXmIsUul2FMdyIhZ+SjlB2683WWj2MS+DTEV9ix1vVanEFoRpDvCg5Yvn0ERyLh0gvgc8q7XNHviCQmQ==" saltValue="mTxeQ3SO0whRHraLilFQSQ==" spinCount="100000" sheet="1" objects="1" scenarios="1"/>
  <mergeCells count="27">
    <mergeCell ref="A1:C1"/>
    <mergeCell ref="H1:L1"/>
    <mergeCell ref="A2:C2"/>
    <mergeCell ref="A3:C3"/>
    <mergeCell ref="B4:F4"/>
    <mergeCell ref="G4:J4"/>
    <mergeCell ref="L4:O4"/>
    <mergeCell ref="I2:J2"/>
    <mergeCell ref="Q4:T4"/>
    <mergeCell ref="V4:Y4"/>
    <mergeCell ref="AA4:AD4"/>
    <mergeCell ref="AF4:AI4"/>
    <mergeCell ref="AG39:AK39"/>
    <mergeCell ref="A28:C28"/>
    <mergeCell ref="A29:C29"/>
    <mergeCell ref="A30:C30"/>
    <mergeCell ref="D32:E32"/>
    <mergeCell ref="H32:I32"/>
    <mergeCell ref="A37:C37"/>
    <mergeCell ref="D31:E31"/>
    <mergeCell ref="H31:I31"/>
    <mergeCell ref="A36:E36"/>
    <mergeCell ref="N32:O32"/>
    <mergeCell ref="A33:C33"/>
    <mergeCell ref="G33:H33"/>
    <mergeCell ref="A34:B34"/>
    <mergeCell ref="N31:O31"/>
  </mergeCells>
  <conditionalFormatting sqref="A6:A17">
    <cfRule type="cellIs" dxfId="563" priority="363" operator="equal">
      <formula>0</formula>
    </cfRule>
  </conditionalFormatting>
  <conditionalFormatting sqref="A37">
    <cfRule type="cellIs" dxfId="562" priority="243" operator="notEqual">
      <formula>$E$2</formula>
    </cfRule>
    <cfRule type="cellIs" dxfId="561" priority="244" operator="equal">
      <formula>$E$2</formula>
    </cfRule>
  </conditionalFormatting>
  <conditionalFormatting sqref="A32:D32 F32:H32 C34">
    <cfRule type="cellIs" dxfId="560" priority="241" operator="notEqual">
      <formula>$E$3</formula>
    </cfRule>
    <cfRule type="cellIs" dxfId="559" priority="242" operator="equal">
      <formula>$E$3</formula>
    </cfRule>
  </conditionalFormatting>
  <conditionalFormatting sqref="B6:D17">
    <cfRule type="expression" dxfId="558" priority="112">
      <formula>$A6=0</formula>
    </cfRule>
  </conditionalFormatting>
  <conditionalFormatting sqref="E6:E17">
    <cfRule type="expression" dxfId="557" priority="116">
      <formula>AND($H$67="ja",E6&gt;$A$67)</formula>
    </cfRule>
    <cfRule type="cellIs" dxfId="556" priority="117" operator="greaterThanOrEqual">
      <formula>0</formula>
    </cfRule>
  </conditionalFormatting>
  <conditionalFormatting sqref="F6:F17">
    <cfRule type="cellIs" dxfId="555" priority="31" operator="lessThan">
      <formula>$A$45</formula>
    </cfRule>
    <cfRule type="cellIs" dxfId="554" priority="32" operator="equal">
      <formula>0</formula>
    </cfRule>
    <cfRule type="cellIs" dxfId="553" priority="33" operator="notEqual">
      <formula>0</formula>
    </cfRule>
  </conditionalFormatting>
  <conditionalFormatting sqref="G6:I17">
    <cfRule type="expression" dxfId="552" priority="52">
      <formula>$A6=0</formula>
    </cfRule>
  </conditionalFormatting>
  <conditionalFormatting sqref="J6:J17">
    <cfRule type="expression" dxfId="551" priority="104">
      <formula>AND($H$67="ja",J6&gt;$A$67)</formula>
    </cfRule>
    <cfRule type="cellIs" dxfId="550" priority="105" operator="greaterThanOrEqual">
      <formula>0</formula>
    </cfRule>
  </conditionalFormatting>
  <conditionalFormatting sqref="J32:N32">
    <cfRule type="cellIs" dxfId="549" priority="239" operator="notEqual">
      <formula>$E$3</formula>
    </cfRule>
    <cfRule type="cellIs" dxfId="548" priority="240" operator="equal">
      <formula>$E$3</formula>
    </cfRule>
  </conditionalFormatting>
  <conditionalFormatting sqref="K6:K17">
    <cfRule type="cellIs" dxfId="547" priority="28" operator="lessThan">
      <formula>$A$45</formula>
    </cfRule>
    <cfRule type="cellIs" dxfId="546" priority="29" operator="equal">
      <formula>0</formula>
    </cfRule>
    <cfRule type="cellIs" dxfId="545" priority="30" operator="notEqual">
      <formula>0</formula>
    </cfRule>
  </conditionalFormatting>
  <conditionalFormatting sqref="L6:N17">
    <cfRule type="expression" dxfId="544" priority="48">
      <formula>$A6=0</formula>
    </cfRule>
  </conditionalFormatting>
  <conditionalFormatting sqref="O6:O17">
    <cfRule type="cellIs" dxfId="543" priority="97" operator="greaterThanOrEqual">
      <formula>0</formula>
    </cfRule>
    <cfRule type="expression" dxfId="542" priority="96">
      <formula>AND($H$67="ja",O6&gt;$A$67)</formula>
    </cfRule>
  </conditionalFormatting>
  <conditionalFormatting sqref="P6:P17">
    <cfRule type="cellIs" dxfId="541" priority="22" operator="lessThan">
      <formula>$A$45</formula>
    </cfRule>
    <cfRule type="cellIs" dxfId="540" priority="23" operator="equal">
      <formula>0</formula>
    </cfRule>
    <cfRule type="cellIs" dxfId="539" priority="24" operator="notEqual">
      <formula>0</formula>
    </cfRule>
  </conditionalFormatting>
  <conditionalFormatting sqref="Q6:S17">
    <cfRule type="expression" dxfId="538" priority="47">
      <formula>$A6=0</formula>
    </cfRule>
  </conditionalFormatting>
  <conditionalFormatting sqref="T6:T17">
    <cfRule type="cellIs" dxfId="537" priority="89" operator="greaterThanOrEqual">
      <formula>0</formula>
    </cfRule>
    <cfRule type="expression" dxfId="536" priority="88">
      <formula>AND($H$67="ja",T6&gt;$A$67)</formula>
    </cfRule>
  </conditionalFormatting>
  <conditionalFormatting sqref="U6:U17">
    <cfRule type="cellIs" dxfId="535" priority="17" operator="equal">
      <formula>0</formula>
    </cfRule>
    <cfRule type="cellIs" dxfId="534" priority="16" operator="lessThan">
      <formula>$A$45</formula>
    </cfRule>
    <cfRule type="cellIs" dxfId="533" priority="18" operator="notEqual">
      <formula>0</formula>
    </cfRule>
  </conditionalFormatting>
  <conditionalFormatting sqref="V6:X17">
    <cfRule type="expression" dxfId="532" priority="46">
      <formula>$A6=0</formula>
    </cfRule>
  </conditionalFormatting>
  <conditionalFormatting sqref="Y6:Y17 AD6:AD17 AI6:AI17">
    <cfRule type="expression" dxfId="531" priority="59">
      <formula>AND($H$67="ja",Y6&gt;$A$67)</formula>
    </cfRule>
    <cfRule type="cellIs" dxfId="530" priority="60" operator="greaterThanOrEqual">
      <formula>0</formula>
    </cfRule>
  </conditionalFormatting>
  <conditionalFormatting sqref="Z6:Z17">
    <cfRule type="cellIs" dxfId="529" priority="11" operator="equal">
      <formula>0</formula>
    </cfRule>
    <cfRule type="cellIs" dxfId="528" priority="10" operator="lessThan">
      <formula>$A$45</formula>
    </cfRule>
    <cfRule type="cellIs" dxfId="527" priority="12" operator="notEqual">
      <formula>0</formula>
    </cfRule>
  </conditionalFormatting>
  <conditionalFormatting sqref="AA6:AC17">
    <cfRule type="expression" dxfId="526" priority="43">
      <formula>$A6=0</formula>
    </cfRule>
  </conditionalFormatting>
  <conditionalFormatting sqref="AE6:AE17">
    <cfRule type="cellIs" dxfId="525" priority="5" operator="equal">
      <formula>0</formula>
    </cfRule>
    <cfRule type="cellIs" dxfId="524" priority="4" operator="lessThan">
      <formula>$A$45</formula>
    </cfRule>
    <cfRule type="cellIs" dxfId="523" priority="6" operator="notEqual">
      <formula>0</formula>
    </cfRule>
  </conditionalFormatting>
  <conditionalFormatting sqref="AF6:AH17">
    <cfRule type="expression" dxfId="522" priority="34">
      <formula>$A6=0</formula>
    </cfRule>
  </conditionalFormatting>
  <conditionalFormatting sqref="AJ6:AJ17">
    <cfRule type="cellIs" dxfId="521" priority="3" operator="notEqual">
      <formula>0</formula>
    </cfRule>
    <cfRule type="cellIs" dxfId="520" priority="2" operator="equal">
      <formula>0</formula>
    </cfRule>
    <cfRule type="cellIs" dxfId="519" priority="1" operator="lessThan">
      <formula>$A$45</formula>
    </cfRule>
  </conditionalFormatting>
  <conditionalFormatting sqref="AK6:AK17">
    <cfRule type="expression" dxfId="518" priority="58">
      <formula>AND($H$70="ja",AK6&gt;$A$70)</formula>
    </cfRule>
    <cfRule type="cellIs" dxfId="517" priority="61" operator="greaterThanOrEqual">
      <formula>0</formula>
    </cfRule>
  </conditionalFormatting>
  <dataValidations count="2">
    <dataValidation type="list" showInputMessage="1" showErrorMessage="1" promptTitle="Velg Turnus startdag" prompt="Velg hvilken dag turnusen starte å telle ifra. (Typisk Mandag)" sqref="E1" xr:uid="{00000000-0002-0000-0F00-000000000000}">
      <formula1>Ukedager</formula1>
    </dataValidation>
    <dataValidation type="list" allowBlank="1" showInputMessage="1" showErrorMessage="1" sqref="H67 H70" xr:uid="{00000000-0002-0000-0F00-000001000000}">
      <formula1>Ja_og_nei</formula1>
    </dataValidation>
  </dataValidation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9"/>
  <dimension ref="A1:AQ106"/>
  <sheetViews>
    <sheetView zoomScale="85" zoomScaleNormal="85" workbookViewId="0">
      <pane ySplit="24" topLeftCell="A25" activePane="bottomLeft" state="frozen"/>
      <selection pane="bottomLeft" activeCell="C12" sqref="C12"/>
    </sheetView>
  </sheetViews>
  <sheetFormatPr defaultColWidth="9.08984375" defaultRowHeight="12.5" x14ac:dyDescent="0.25"/>
  <cols>
    <col min="1" max="1" width="10.7265625" style="3" customWidth="1"/>
    <col min="2" max="2" width="7.6328125" style="3" customWidth="1"/>
    <col min="3" max="3" width="7.81640625" style="3" customWidth="1"/>
    <col min="4" max="4" width="4.36328125" style="3" bestFit="1" customWidth="1"/>
    <col min="5" max="6" width="10" style="3" customWidth="1"/>
    <col min="7" max="7" width="7" style="3" customWidth="1"/>
    <col min="8" max="8" width="7.6328125" style="3" customWidth="1"/>
    <col min="9" max="9" width="4.36328125" style="3" bestFit="1" customWidth="1"/>
    <col min="10" max="11" width="10" style="3" customWidth="1"/>
    <col min="12" max="12" width="7.26953125" style="3" customWidth="1"/>
    <col min="13" max="13" width="7.7265625" style="3" customWidth="1"/>
    <col min="14" max="14" width="4.36328125" style="3" bestFit="1" customWidth="1"/>
    <col min="15" max="15" width="10.08984375" style="3" bestFit="1" customWidth="1"/>
    <col min="16" max="16" width="10.08984375" style="3" customWidth="1"/>
    <col min="17" max="17" width="7.6328125" style="3" customWidth="1"/>
    <col min="18" max="18" width="7.7265625" style="3" customWidth="1"/>
    <col min="19" max="19" width="4.36328125" style="3" bestFit="1" customWidth="1"/>
    <col min="20" max="20" width="10.08984375" style="3" bestFit="1" customWidth="1"/>
    <col min="21" max="21" width="10.08984375" style="3" customWidth="1"/>
    <col min="22" max="22" width="8.36328125" style="3" customWidth="1"/>
    <col min="23" max="23" width="8.81640625" style="3" customWidth="1"/>
    <col min="24" max="24" width="4.36328125" style="3" bestFit="1" customWidth="1"/>
    <col min="25" max="26" width="10" style="3" customWidth="1"/>
    <col min="27" max="28" width="7.81640625" style="3" customWidth="1"/>
    <col min="29" max="29" width="4.36328125" style="3" bestFit="1" customWidth="1"/>
    <col min="30" max="31" width="9.7265625" style="3" customWidth="1"/>
    <col min="32" max="32" width="6.81640625" style="3" customWidth="1"/>
    <col min="33" max="33" width="7.6328125" style="3" customWidth="1"/>
    <col min="34" max="34" width="4.36328125" style="3" bestFit="1" customWidth="1"/>
    <col min="35" max="36" width="9.6328125" style="3" customWidth="1"/>
    <col min="37" max="37" width="15.6328125" style="3" bestFit="1" customWidth="1"/>
    <col min="38" max="16384" width="9.08984375" style="3"/>
  </cols>
  <sheetData>
    <row r="1" spans="1:39" ht="13" x14ac:dyDescent="0.3">
      <c r="A1" s="98" t="s">
        <v>66</v>
      </c>
      <c r="B1" s="98"/>
      <c r="C1" s="98"/>
      <c r="D1" s="88"/>
      <c r="E1" s="5" t="str">
        <f>Vaktplan!G38</f>
        <v>mandag</v>
      </c>
      <c r="H1" s="98" t="s">
        <v>67</v>
      </c>
      <c r="I1" s="98"/>
      <c r="J1" s="98"/>
      <c r="K1" s="98"/>
      <c r="L1" s="98"/>
      <c r="M1" s="5">
        <f>Vaktplan!AJ55</f>
        <v>12</v>
      </c>
    </row>
    <row r="2" spans="1:39" ht="13" x14ac:dyDescent="0.3">
      <c r="A2" s="98" t="s">
        <v>36</v>
      </c>
      <c r="B2" s="98"/>
      <c r="C2" s="98"/>
      <c r="D2" s="88"/>
      <c r="E2" s="8">
        <f>Vaktplan!AM55</f>
        <v>0</v>
      </c>
      <c r="I2" s="106"/>
      <c r="J2" s="106"/>
    </row>
    <row r="3" spans="1:39" ht="13" x14ac:dyDescent="0.3">
      <c r="A3" s="98" t="s">
        <v>68</v>
      </c>
      <c r="B3" s="98"/>
      <c r="C3" s="98"/>
      <c r="D3" s="88"/>
      <c r="E3" s="5">
        <f>Vaktplan!AQ55</f>
        <v>0</v>
      </c>
      <c r="F3" s="4" t="s">
        <v>69</v>
      </c>
    </row>
    <row r="4" spans="1:39" ht="13" x14ac:dyDescent="0.3">
      <c r="A4" s="89" t="s">
        <v>70</v>
      </c>
      <c r="B4" s="103" t="str">
        <f>TEXT(AG39,"DDDD")</f>
        <v>Monday</v>
      </c>
      <c r="C4" s="104"/>
      <c r="D4" s="104"/>
      <c r="E4" s="104"/>
      <c r="F4" s="105"/>
      <c r="G4" s="102" t="str">
        <f>TEXT($AG$39+1,"DDDD")</f>
        <v>Tuesday</v>
      </c>
      <c r="H4" s="102"/>
      <c r="I4" s="102"/>
      <c r="J4" s="102"/>
      <c r="K4" s="89"/>
      <c r="L4" s="102" t="str">
        <f>TEXT($AG$39+2,"DDDD")</f>
        <v>Wednesday</v>
      </c>
      <c r="M4" s="102"/>
      <c r="N4" s="102"/>
      <c r="O4" s="102"/>
      <c r="P4" s="89"/>
      <c r="Q4" s="102" t="str">
        <f>TEXT($AG$39+3,"DDDD")</f>
        <v>Thursday</v>
      </c>
      <c r="R4" s="102"/>
      <c r="S4" s="102"/>
      <c r="T4" s="102"/>
      <c r="U4" s="89"/>
      <c r="V4" s="102" t="str">
        <f>TEXT($AG$39+4,"DDDD")</f>
        <v>Friday</v>
      </c>
      <c r="W4" s="102"/>
      <c r="X4" s="102"/>
      <c r="Y4" s="102"/>
      <c r="Z4" s="89"/>
      <c r="AA4" s="102" t="str">
        <f>TEXT($AG$39+5,"DDDD")</f>
        <v>Saturday</v>
      </c>
      <c r="AB4" s="102"/>
      <c r="AC4" s="102"/>
      <c r="AD4" s="102"/>
      <c r="AE4" s="89"/>
      <c r="AF4" s="102" t="str">
        <f>TEXT($AG$39+6,"DDDD")</f>
        <v>Sunday</v>
      </c>
      <c r="AG4" s="102"/>
      <c r="AH4" s="102"/>
      <c r="AI4" s="102"/>
      <c r="AJ4" s="89"/>
      <c r="AK4" s="7" t="s">
        <v>71</v>
      </c>
      <c r="AL4" s="91"/>
    </row>
    <row r="5" spans="1:39" x14ac:dyDescent="0.25">
      <c r="A5" s="6"/>
      <c r="B5" s="6" t="s">
        <v>72</v>
      </c>
      <c r="C5" s="6" t="s">
        <v>73</v>
      </c>
      <c r="D5" s="6" t="s">
        <v>55</v>
      </c>
      <c r="E5" s="6" t="s">
        <v>74</v>
      </c>
      <c r="F5" s="6" t="s">
        <v>75</v>
      </c>
      <c r="G5" s="6" t="s">
        <v>72</v>
      </c>
      <c r="H5" s="6" t="s">
        <v>73</v>
      </c>
      <c r="I5" s="6" t="s">
        <v>55</v>
      </c>
      <c r="J5" s="6" t="s">
        <v>74</v>
      </c>
      <c r="K5" s="6" t="s">
        <v>75</v>
      </c>
      <c r="L5" s="6" t="s">
        <v>72</v>
      </c>
      <c r="M5" s="6" t="s">
        <v>73</v>
      </c>
      <c r="N5" s="6" t="s">
        <v>55</v>
      </c>
      <c r="O5" s="6" t="s">
        <v>74</v>
      </c>
      <c r="P5" s="6" t="s">
        <v>75</v>
      </c>
      <c r="Q5" s="6" t="s">
        <v>72</v>
      </c>
      <c r="R5" s="6" t="s">
        <v>73</v>
      </c>
      <c r="S5" s="6" t="s">
        <v>55</v>
      </c>
      <c r="T5" s="6" t="s">
        <v>74</v>
      </c>
      <c r="U5" s="6" t="s">
        <v>75</v>
      </c>
      <c r="V5" s="6" t="s">
        <v>72</v>
      </c>
      <c r="W5" s="6" t="s">
        <v>73</v>
      </c>
      <c r="X5" s="6" t="s">
        <v>55</v>
      </c>
      <c r="Y5" s="6" t="s">
        <v>74</v>
      </c>
      <c r="Z5" s="6" t="s">
        <v>75</v>
      </c>
      <c r="AA5" s="6" t="s">
        <v>72</v>
      </c>
      <c r="AB5" s="6" t="s">
        <v>73</v>
      </c>
      <c r="AC5" s="6" t="s">
        <v>55</v>
      </c>
      <c r="AD5" s="6" t="s">
        <v>74</v>
      </c>
      <c r="AE5" s="6" t="s">
        <v>75</v>
      </c>
      <c r="AF5" s="6" t="s">
        <v>72</v>
      </c>
      <c r="AG5" s="6" t="s">
        <v>73</v>
      </c>
      <c r="AH5" s="6" t="s">
        <v>55</v>
      </c>
      <c r="AI5" s="6" t="s">
        <v>74</v>
      </c>
      <c r="AJ5" s="6" t="s">
        <v>75</v>
      </c>
      <c r="AK5" s="6"/>
      <c r="AL5" s="91"/>
    </row>
    <row r="6" spans="1:39" ht="13" x14ac:dyDescent="0.25">
      <c r="A6" s="7">
        <f>IF(M1&gt;=1,1,0)</f>
        <v>1</v>
      </c>
      <c r="B6" s="77">
        <f>IFERROR(VLOOKUP(Vaktplan!$A$55,Vaktplan!$A$4:$CL$35,87-AH59,FALSE),0)</f>
        <v>0</v>
      </c>
      <c r="C6" s="77">
        <f>IFERROR(VLOOKUP(Vaktplan!$A$55,Vaktplan!$A$4:$CL$35,87-AG59,FALSE),0)</f>
        <v>0</v>
      </c>
      <c r="D6" s="9">
        <f>IFERROR(VLOOKUP(Vaktplan!$A$55,Vaktplan!$A$4:$CL$35,89-AG59,FALSE),0)</f>
        <v>0</v>
      </c>
      <c r="E6" s="9">
        <f>IF(AND(B6=0,C6=0),0,IF(B6&lt;C6,((C6-B6)*24)-D6,(((1-B6)+C6)*24)-D6))</f>
        <v>0</v>
      </c>
      <c r="F6" s="9">
        <f>IF(AND(C6=0,G6=0),24,IF(C6=0,12+(G6*24),IF(C6&lt;G6,((G6-C6)*24),IF(G6=0,(1-C6+0.5)*24,((1-C6)+G6)*24))))</f>
        <v>24</v>
      </c>
      <c r="G6" s="77">
        <f>IFERROR(VLOOKUP(Vaktplan!$A$55,Vaktplan!$B$4:$CL$35,86-AH59,FALSE),0)</f>
        <v>0</v>
      </c>
      <c r="H6" s="77">
        <f>IFERROR(VLOOKUP(Vaktplan!$A$55,Vaktplan!$B$4:$CL$35,86-AG59,FALSE),0)</f>
        <v>0</v>
      </c>
      <c r="I6" s="9">
        <f>IFERROR(VLOOKUP(Vaktplan!$A$55,Vaktplan!$B$4:$CL$35,89-$AH59,FALSE),0)</f>
        <v>0</v>
      </c>
      <c r="J6" s="9">
        <f>IF(AND(G6=0,H6=0),0,IF(G6&lt;H6,((H6-G6)*24)-I6,(((1-G6)+H6)*24)-I6))</f>
        <v>0</v>
      </c>
      <c r="K6" s="9">
        <f>IF(AND(H6=0,L6=0),24,IF(H6=0,12+(L6*24),IF(H6&lt;L6,((L6-H6)*24),IF(L6=0,(1-H6+0.5)*24,((1-H6)+L6)*24))))</f>
        <v>24</v>
      </c>
      <c r="L6" s="77">
        <f>IFERROR(VLOOKUP(Vaktplan!$A$55,Vaktplan!$C$4:$CL$35,86-AI59,FALSE),0)</f>
        <v>0</v>
      </c>
      <c r="M6" s="77">
        <f>IFERROR(VLOOKUP(Vaktplan!$A$55,Vaktplan!$C$4:$CL$35,86-AH59,FALSE),0)</f>
        <v>0</v>
      </c>
      <c r="N6" s="9">
        <f>IFERROR(VLOOKUP(Vaktplan!$A$55,Vaktplan!$C$4:$CL$35,89-$AI59,FALSE),0)</f>
        <v>0</v>
      </c>
      <c r="O6" s="9">
        <f>IF(AND(L6=0,M6=0),0,IF(L6&lt;M6,((M6-L6)*24)-N6,(((1-L6)+M6)*24)-N6))</f>
        <v>0</v>
      </c>
      <c r="P6" s="9">
        <f>IF(AND(M6=0,Q6=0),24,IF(M6=0,12+(Q6*24),IF(M6&lt;Q6,((Q6-M6)*24),IF(Q6=0,(1-M6+0.5)*24,((1-M6)+Q6)*24))))</f>
        <v>24</v>
      </c>
      <c r="Q6" s="77">
        <f>IFERROR(VLOOKUP(Vaktplan!$A$55,Vaktplan!$D$4:$CL$35,86-AJ59,FALSE),0)</f>
        <v>0</v>
      </c>
      <c r="R6" s="77">
        <f>IFERROR(VLOOKUP(Vaktplan!$A$55,Vaktplan!$D$4:$CL$35,86-AI59,FALSE),0)</f>
        <v>0</v>
      </c>
      <c r="S6" s="9">
        <f>IFERROR(VLOOKUP(Vaktplan!$A$55,Vaktplan!$D$4:$CL$35,89-$AJ59,FALSE),0)</f>
        <v>0</v>
      </c>
      <c r="T6" s="9">
        <f t="shared" ref="T6:T17" si="0">IF(AND(Q6=0,R6=0),0,IF(Q6&lt;R6,((R6-Q6)*24)-S6,(((1-Q6)+R6)*24)-S6))</f>
        <v>0</v>
      </c>
      <c r="U6" s="9">
        <f>IF(AND(R6=0,V6=0),24,IF(R6=0,12+(V6*24),IF(R6&lt;V6,((V6-R6)*24),IF(V6=0,(1-R6+0.5)*24,((1-R6)+V6)*24))))</f>
        <v>24</v>
      </c>
      <c r="V6" s="77">
        <f>IFERROR(VLOOKUP(Vaktplan!$A$55,Vaktplan!$E$4:$CL$35,86-AK59,FALSE),0)</f>
        <v>0</v>
      </c>
      <c r="W6" s="77">
        <f>IFERROR(VLOOKUP(Vaktplan!$A$55,Vaktplan!$E$4:$CL$35,86-AJ59,FALSE),0)</f>
        <v>0</v>
      </c>
      <c r="X6" s="9">
        <f>IFERROR(VLOOKUP(Vaktplan!$A$55,Vaktplan!$E$4:$CL$35,89-$AK59,FALSE),0)</f>
        <v>0</v>
      </c>
      <c r="Y6" s="9">
        <f>IF(AND(V6=0,W6=0),0,IF(V6&lt;W6,((W6-V6)*24)-X6,(((1-V6)+W6)*24)-X6))</f>
        <v>0</v>
      </c>
      <c r="Z6" s="9">
        <f>IF(AND(W6=0,AA6=0),24,IF(W6=0,12+(AA6*24),IF(W6&lt;AA6,((AA6-W6)*24),IF(AA6=0,(1-W6+0.5)*24,((1-W6)+AA6)*24))))</f>
        <v>24</v>
      </c>
      <c r="AA6" s="77">
        <f>IFERROR(VLOOKUP(Vaktplan!$A$55,Vaktplan!$F$4:$CL$35,86-AL59,FALSE),0)</f>
        <v>0</v>
      </c>
      <c r="AB6" s="77">
        <f>IFERROR(VLOOKUP(Vaktplan!$A$55,Vaktplan!$F$4:$CL$35,86-AK59,FALSE),0)</f>
        <v>0</v>
      </c>
      <c r="AC6" s="9">
        <f>IFERROR(VLOOKUP(Vaktplan!$A$55,Vaktplan!$F$4:$CL$35,89-$AL59,FALSE),0)</f>
        <v>0</v>
      </c>
      <c r="AD6" s="9">
        <f>IF(AND(AA6=0,AB6=0),0,IF(AA6&lt;AB6,((AB6-AA6)*24)-AC6,(((1-AA6)+AB6)*24)-AC6))</f>
        <v>0</v>
      </c>
      <c r="AE6" s="9">
        <f>IF(AND(AB6=0,AF6=0),24,IF(AB6=0,12+(AF6*24),IF(AB6&lt;AF6,((AF6-AB6)*24),IF(AF6=0,(1-AB6+0.5)*24,((1-AB6)+AF6)*24))))</f>
        <v>24</v>
      </c>
      <c r="AF6" s="77">
        <f>IFERROR(VLOOKUP(Vaktplan!$A$55,Vaktplan!$G$4:$CL$35,86-AM59,FALSE),0)</f>
        <v>0</v>
      </c>
      <c r="AG6" s="77">
        <f>IFERROR(VLOOKUP(Vaktplan!$A$55,Vaktplan!$G$4:$CL$35,86-AL59,FALSE),0)</f>
        <v>0</v>
      </c>
      <c r="AH6" s="9">
        <f>IFERROR(VLOOKUP(Vaktplan!$A$55,Vaktplan!$G$4:$CL$35,89-$AM59,FALSE),0)</f>
        <v>0</v>
      </c>
      <c r="AI6" s="9">
        <f>IF(AND(AF6=0,AG6=0),0,IF(AF6&lt;AG6,((AG6-AF6)*24)-AH6,(((1-AF6)+AG6)*24)-AH6))</f>
        <v>0</v>
      </c>
      <c r="AJ6" s="9">
        <f>IF($M$1=AL28,IF(AND(AG6=0,B6=0),24,IF(AG6=0,12+($B$6*24),IF(AG6&lt;$B$6,(($B$6-AG6)*24),IF($B$6=0,(1-AG6+1)*24,((1-AG6)+$B$6)*24)))),IF(AND(AG6=0,B7=0),24,IF(AG6=0,12+(B7*24),IF(AG6&lt;B7,((B7-AG6)*24),IF(B7=0,(1-AG6+1)*24,((1-AG6)+B7)*24)))))</f>
        <v>24</v>
      </c>
      <c r="AK6" s="9">
        <f t="shared" ref="AK6:AK17" si="1">E6+J6+O6+T6+Y6+AD6+AI6</f>
        <v>0</v>
      </c>
      <c r="AL6" s="92">
        <f>AJ6</f>
        <v>24</v>
      </c>
      <c r="AM6" s="10">
        <f>AK6</f>
        <v>0</v>
      </c>
    </row>
    <row r="7" spans="1:39" ht="13" x14ac:dyDescent="0.25">
      <c r="A7" s="7">
        <f>IF($M$1&gt;=2,2,0)</f>
        <v>2</v>
      </c>
      <c r="B7" s="77">
        <f>IFERROR(VLOOKUP(Vaktplan!$A$55,Vaktplan!$H$4:$CL$35,87-AH60,FALSE),0)</f>
        <v>0</v>
      </c>
      <c r="C7" s="77">
        <f>IFERROR(VLOOKUP(Vaktplan!$A$55,Vaktplan!$H$4:$CL$35,87-AG60,FALSE),0)</f>
        <v>0</v>
      </c>
      <c r="D7" s="9">
        <f>IFERROR(VLOOKUP(Vaktplan!$A$55,Vaktplan!$H$4:$CL$35,89-AG60,FALSE),0)</f>
        <v>0</v>
      </c>
      <c r="E7" s="9">
        <f>IF(AND(B7=0,C7=0),0,IF(B7&lt;C7,((C7-B7)*24)-D7,(((1-B7)+C7)*24)-D7))</f>
        <v>0</v>
      </c>
      <c r="F7" s="9">
        <f t="shared" ref="F7:F17" si="2">IF(AND(C7=0,G7=0),24,IF(C7=0,12+(G7*24),IF(C7&lt;G7,((G7-C7)*24),IF(G7=0,(1-C7+0.5)*24,((1-C7)+G7)*24))))</f>
        <v>24</v>
      </c>
      <c r="G7" s="77">
        <f>IFERROR(VLOOKUP(Vaktplan!$A$55,Vaktplan!$I$4:$CL$35,86-AH60,FALSE),0)</f>
        <v>0</v>
      </c>
      <c r="H7" s="77">
        <f>IFERROR(VLOOKUP(Vaktplan!$A$55,Vaktplan!$I$4:$CL$35,86-AG60,FALSE),0)</f>
        <v>0</v>
      </c>
      <c r="I7" s="9">
        <f>IFERROR(VLOOKUP(Vaktplan!$A$55,Vaktplan!$I$4:$CL$35,89-$AH60,FALSE),0)</f>
        <v>0</v>
      </c>
      <c r="J7" s="9">
        <f t="shared" ref="J7:J17" si="3">IF(AND(G7=0,H7=0),0,IF(G7&lt;H7,((H7-G7)*24)-I7,(((1-G7)+H7)*24)-I7))</f>
        <v>0</v>
      </c>
      <c r="K7" s="9">
        <f t="shared" ref="K7:K17" si="4">IF(AND(H7=0,L7=0),24,IF(H7=0,12+(L7*24),IF(H7&lt;L7,((L7-H7)*24),IF(L7=0,(1-H7+0.5)*24,((1-H7)+L7)*24))))</f>
        <v>24</v>
      </c>
      <c r="L7" s="77">
        <f>IFERROR(VLOOKUP(Vaktplan!$A$55,Vaktplan!$J$4:$CL$35,86-AI60,FALSE),0)</f>
        <v>0</v>
      </c>
      <c r="M7" s="77">
        <f>IFERROR(VLOOKUP(Vaktplan!$A$55,Vaktplan!$J$4:$CL$35,86-AH60,FALSE),0)</f>
        <v>0</v>
      </c>
      <c r="N7" s="9">
        <f>IFERROR(VLOOKUP(Vaktplan!$A$55,Vaktplan!$J$4:$CL$35,89-$AI60,FALSE),0)</f>
        <v>0</v>
      </c>
      <c r="O7" s="9">
        <f t="shared" ref="O7:O17" si="5">IF(AND(L7=0,M7=0),0,IF(L7&lt;M7,((M7-L7)*24)-N7,(((1-L7)+M7)*24)-N7))</f>
        <v>0</v>
      </c>
      <c r="P7" s="9">
        <f t="shared" ref="P7:P17" si="6">IF(AND(M7=0,Q7=0),24,IF(M7=0,12+(Q7*24),IF(M7&lt;Q7,((Q7-M7)*24),IF(Q7=0,(1-M7+0.5)*24,((1-M7)+Q7)*24))))</f>
        <v>24</v>
      </c>
      <c r="Q7" s="77">
        <f>IFERROR(VLOOKUP(Vaktplan!$A$55,Vaktplan!$K$4:$CL$35,86-AJ60,FALSE),0)</f>
        <v>0</v>
      </c>
      <c r="R7" s="77">
        <f>IFERROR(VLOOKUP(Vaktplan!$A$55,Vaktplan!$K$4:$CL$35,86-AI60,FALSE),0)</f>
        <v>0</v>
      </c>
      <c r="S7" s="9">
        <f>IFERROR(VLOOKUP(Vaktplan!$A$55,Vaktplan!$K$4:$CL$35,89-$AJ60,FALSE),0)</f>
        <v>0</v>
      </c>
      <c r="T7" s="9">
        <f t="shared" si="0"/>
        <v>0</v>
      </c>
      <c r="U7" s="9">
        <f t="shared" ref="U7:U17" si="7">IF(AND(R7=0,V7=0),24,IF(R7=0,12+(V7*24),IF(R7&lt;V7,((V7-R7)*24),IF(V7=0,(1-R7+0.5)*24,((1-R7)+V7)*24))))</f>
        <v>24</v>
      </c>
      <c r="V7" s="77">
        <f>IFERROR(VLOOKUP(Vaktplan!$A$55,Vaktplan!$L$4:$CL$35,86-AK60,FALSE),0)</f>
        <v>0</v>
      </c>
      <c r="W7" s="77">
        <f>IFERROR(VLOOKUP(Vaktplan!$A$55,Vaktplan!$L$4:$CL$35,86-AJ60,FALSE),0)</f>
        <v>0</v>
      </c>
      <c r="X7" s="9">
        <f>IFERROR(VLOOKUP(Vaktplan!$A$55,Vaktplan!$L$4:$CL$35,89-$AK60,FALSE),0)</f>
        <v>0</v>
      </c>
      <c r="Y7" s="9">
        <f t="shared" ref="Y7:Y13" si="8">IF(AND(V7=0,W7=0),0,IF(V7&lt;W7,((W7-V7)*24)-X7,(((1-V7)+W7)*24)-X7))</f>
        <v>0</v>
      </c>
      <c r="Z7" s="9">
        <f t="shared" ref="Z7:Z17" si="9">IF(AND(W7=0,AA7=0),24,IF(W7=0,12+(AA7*24),IF(W7&lt;AA7,((AA7-W7)*24),IF(AA7=0,(1-W7+0.5)*24,((1-W7)+AA7)*24))))</f>
        <v>24</v>
      </c>
      <c r="AA7" s="77">
        <f>IFERROR(VLOOKUP(Vaktplan!$A$55,Vaktplan!$M$4:$CL$35,86-AL60,FALSE),0)</f>
        <v>0</v>
      </c>
      <c r="AB7" s="77">
        <f>IFERROR(VLOOKUP(Vaktplan!$A$55,Vaktplan!$M$4:$CL$35,86-AK60,FALSE),0)</f>
        <v>0</v>
      </c>
      <c r="AC7" s="9">
        <f>IFERROR(VLOOKUP(Vaktplan!$A$55,Vaktplan!$M$4:$CL$35,89-$AL60,FALSE),0)</f>
        <v>0</v>
      </c>
      <c r="AD7" s="9">
        <f t="shared" ref="AD7:AD13" si="10">IF(AND(AA7=0,AB7=0),0,IF(AA7&lt;AB7,((AB7-AA7)*24)-AC7,(((1-AA7)+AB7)*24)-AC7))</f>
        <v>0</v>
      </c>
      <c r="AE7" s="9">
        <f t="shared" ref="AE7:AE17" si="11">IF(AND(AB7=0,AF7=0),24,IF(AB7=0,12+(AF7*24),IF(AB7&lt;AF7,((AF7-AB7)*24),IF(AF7=0,(1-AB7+0.5)*24,((1-AB7)+AF7)*24))))</f>
        <v>24</v>
      </c>
      <c r="AF7" s="77">
        <f>IFERROR(VLOOKUP(Vaktplan!$A$55,Vaktplan!$N$4:$CL$35,86-AM60,FALSE),0)</f>
        <v>0</v>
      </c>
      <c r="AG7" s="77">
        <f>IFERROR(VLOOKUP(Vaktplan!$A$55,Vaktplan!$N$4:$CL$35,86-AL60,FALSE),0)</f>
        <v>0</v>
      </c>
      <c r="AH7" s="9">
        <f>IFERROR(VLOOKUP(Vaktplan!$A$55,Vaktplan!$N$4:$CL$35,89-$AM60,FALSE),0)</f>
        <v>0</v>
      </c>
      <c r="AI7" s="9">
        <f t="shared" ref="AI7:AI13" si="12">IF(AND(AF7=0,AG7=0),0,IF(AF7&lt;AG7,((AG7-AF7)*24)-AH7,(((1-AF7)+AG7)*24)-AH7))</f>
        <v>0</v>
      </c>
      <c r="AJ7" s="9">
        <f t="shared" ref="AJ7:AJ17" si="13">IF($M$1=AL29,IF(AND(AG7=0,B7=0),24,IF(AG7=0,12+($B$6*24),IF(AG7&lt;$B$6,(($B$6-AG7)*24),IF($B$6=0,(1-AG7+1)*24,((1-AG7)+$B$6)*24)))),IF(AND(AG7=0,B8=0),24,IF(AG7=0,12+(B8*24),IF(AG7&lt;B8,((B8-AG7)*24),IF(B8=0,(1-AG7+1)*24,((1-AG7)+B8)*24)))))</f>
        <v>24</v>
      </c>
      <c r="AK7" s="9">
        <f t="shared" si="1"/>
        <v>0</v>
      </c>
      <c r="AL7" s="92">
        <f t="shared" ref="AL7:AL13" si="14">AJ7</f>
        <v>24</v>
      </c>
      <c r="AM7" s="10">
        <f t="shared" ref="AM7:AM13" si="15">AK7</f>
        <v>0</v>
      </c>
    </row>
    <row r="8" spans="1:39" ht="13" x14ac:dyDescent="0.25">
      <c r="A8" s="7">
        <f>IF($M$1&gt;=3,3,0)</f>
        <v>3</v>
      </c>
      <c r="B8" s="77">
        <f>IFERROR(VLOOKUP(Vaktplan!$A$55,Vaktplan!$O$4:$CL$35,87-AH61,FALSE),0)</f>
        <v>0</v>
      </c>
      <c r="C8" s="77">
        <f>IFERROR(VLOOKUP(Vaktplan!$A$55,Vaktplan!$O$4:$CL$35,87-AG61,FALSE),0)</f>
        <v>0</v>
      </c>
      <c r="D8" s="9">
        <f>IFERROR(VLOOKUP(Vaktplan!$A$55,Vaktplan!$O$4:$CL$35,89-AG61,FALSE),0)</f>
        <v>0</v>
      </c>
      <c r="E8" s="9">
        <f t="shared" ref="E8:E17" si="16">IF(AND(B8=0,C8=0),0,IF(B8&lt;C8,((C8-B8)*24)-D8,(((1-B8)+C8)*24)-D8))</f>
        <v>0</v>
      </c>
      <c r="F8" s="9">
        <f t="shared" si="2"/>
        <v>24</v>
      </c>
      <c r="G8" s="77">
        <f>IFERROR(VLOOKUP(Vaktplan!$A$55,Vaktplan!$P$4:$CL$35,86-AH61,FALSE),0)</f>
        <v>0</v>
      </c>
      <c r="H8" s="77">
        <f>IFERROR(VLOOKUP(Vaktplan!$A$55,Vaktplan!$P$4:$CL$35,86-AG61,FALSE),0)</f>
        <v>0</v>
      </c>
      <c r="I8" s="9">
        <f>IFERROR(VLOOKUP(Vaktplan!$A$55,Vaktplan!$P$4:$CL$35,89-$AH61,FALSE),0)</f>
        <v>0</v>
      </c>
      <c r="J8" s="9">
        <f>IF(AND(G8=0,H8=0),0,IF(G8&lt;H8,((H8-G8)*24)-I8,(((1-G8)+H8)*24)-I8))</f>
        <v>0</v>
      </c>
      <c r="K8" s="9">
        <f t="shared" si="4"/>
        <v>24</v>
      </c>
      <c r="L8" s="77">
        <f>IFERROR(VLOOKUP(Vaktplan!$A$55,Vaktplan!$Q$4:$CL$35,86-AI61,FALSE),0)</f>
        <v>0</v>
      </c>
      <c r="M8" s="77">
        <f>IFERROR(VLOOKUP(Vaktplan!$A$55,Vaktplan!$Q$4:$CL$35,86-AH61,FALSE),0)</f>
        <v>0</v>
      </c>
      <c r="N8" s="9">
        <f>IFERROR(VLOOKUP(Vaktplan!$A$55,Vaktplan!$Q$4:$CL$35,89-$AI61,FALSE),0)</f>
        <v>0</v>
      </c>
      <c r="O8" s="9">
        <f t="shared" si="5"/>
        <v>0</v>
      </c>
      <c r="P8" s="9">
        <f t="shared" si="6"/>
        <v>24</v>
      </c>
      <c r="Q8" s="77">
        <f>IFERROR(VLOOKUP(Vaktplan!$A$55,Vaktplan!$R$4:$CL$35,86-AJ61,FALSE),0)</f>
        <v>0</v>
      </c>
      <c r="R8" s="77">
        <f>IFERROR(VLOOKUP(Vaktplan!$A$55,Vaktplan!$R$4:$CL$35,86-AI61,FALSE),0)</f>
        <v>0</v>
      </c>
      <c r="S8" s="9">
        <f>IFERROR(VLOOKUP(Vaktplan!$A$55,Vaktplan!$R$4:$CL$35,89-$AJ61,FALSE),0)</f>
        <v>0</v>
      </c>
      <c r="T8" s="9">
        <f t="shared" si="0"/>
        <v>0</v>
      </c>
      <c r="U8" s="9">
        <f t="shared" si="7"/>
        <v>24</v>
      </c>
      <c r="V8" s="77">
        <f>IFERROR(VLOOKUP(Vaktplan!$A$55,Vaktplan!$S$4:$CL$35,86-AK61,FALSE),0)</f>
        <v>0</v>
      </c>
      <c r="W8" s="77">
        <f>IFERROR(VLOOKUP(Vaktplan!$A$55,Vaktplan!$S$4:$CL$35,86-AJ61,FALSE),0)</f>
        <v>0</v>
      </c>
      <c r="X8" s="9">
        <f>IFERROR(VLOOKUP(Vaktplan!$A$55,Vaktplan!$S$4:$CL$35,89-$AK61,FALSE),0)</f>
        <v>0</v>
      </c>
      <c r="Y8" s="9">
        <f t="shared" si="8"/>
        <v>0</v>
      </c>
      <c r="Z8" s="9">
        <f t="shared" si="9"/>
        <v>24</v>
      </c>
      <c r="AA8" s="77">
        <f>IFERROR(VLOOKUP(Vaktplan!$A$55,Vaktplan!$T$4:$CL$35,86-AL61,FALSE),0)</f>
        <v>0</v>
      </c>
      <c r="AB8" s="77">
        <f>IFERROR(VLOOKUP(Vaktplan!$A$55,Vaktplan!$T$4:$CL$35,86-AK61,FALSE),0)</f>
        <v>0</v>
      </c>
      <c r="AC8" s="9">
        <f>IFERROR(VLOOKUP(Vaktplan!$A$55,Vaktplan!$T$4:$CL$35,89-$AL61,FALSE),0)</f>
        <v>0</v>
      </c>
      <c r="AD8" s="9">
        <f t="shared" si="10"/>
        <v>0</v>
      </c>
      <c r="AE8" s="9">
        <f t="shared" si="11"/>
        <v>24</v>
      </c>
      <c r="AF8" s="77">
        <f>IFERROR(VLOOKUP(Vaktplan!$A$55,Vaktplan!$U$4:$CL$35,86-AM61,FALSE),0)</f>
        <v>0</v>
      </c>
      <c r="AG8" s="77">
        <f>IFERROR(VLOOKUP(Vaktplan!$A$55,Vaktplan!$U$4:$CL$35,86-AL61,FALSE),0)</f>
        <v>0</v>
      </c>
      <c r="AH8" s="9">
        <f>IFERROR(VLOOKUP(Vaktplan!$A$55,Vaktplan!$U$4:$CL$35,89-$AM61,FALSE),0)</f>
        <v>0</v>
      </c>
      <c r="AI8" s="9">
        <f t="shared" si="12"/>
        <v>0</v>
      </c>
      <c r="AJ8" s="9">
        <f t="shared" si="13"/>
        <v>24</v>
      </c>
      <c r="AK8" s="9">
        <f t="shared" si="1"/>
        <v>0</v>
      </c>
      <c r="AL8" s="92">
        <f t="shared" si="14"/>
        <v>24</v>
      </c>
      <c r="AM8" s="10">
        <f t="shared" si="15"/>
        <v>0</v>
      </c>
    </row>
    <row r="9" spans="1:39" ht="13" x14ac:dyDescent="0.25">
      <c r="A9" s="7">
        <f>IF($M$1&gt;=4,4,0)</f>
        <v>4</v>
      </c>
      <c r="B9" s="77">
        <f>IFERROR(VLOOKUP(Vaktplan!$A$55,Vaktplan!$V$4:$CL$35,87-AH62,FALSE),0)</f>
        <v>0</v>
      </c>
      <c r="C9" s="77">
        <f>IFERROR(VLOOKUP(Vaktplan!$A$55,Vaktplan!$V$4:$CL$35,87-AG62,FALSE),0)</f>
        <v>0</v>
      </c>
      <c r="D9" s="9">
        <f>IFERROR(VLOOKUP(Vaktplan!$A$55,Vaktplan!$V$4:$CL$35,89-AG62,FALSE),0)</f>
        <v>0</v>
      </c>
      <c r="E9" s="9">
        <f t="shared" si="16"/>
        <v>0</v>
      </c>
      <c r="F9" s="9">
        <f t="shared" si="2"/>
        <v>24</v>
      </c>
      <c r="G9" s="77">
        <f>IFERROR(VLOOKUP(Vaktplan!$A$55,Vaktplan!$W$4:$CL$35,86-AH62,FALSE),0)</f>
        <v>0</v>
      </c>
      <c r="H9" s="77">
        <f>IFERROR(VLOOKUP(Vaktplan!$A$55,Vaktplan!$W$4:$CL$35,86-AG62,FALSE),0)</f>
        <v>0</v>
      </c>
      <c r="I9" s="9">
        <f>IFERROR(VLOOKUP(Vaktplan!$A$55,Vaktplan!$W$4:$CL$35,89-$AH62,FALSE),0)</f>
        <v>0</v>
      </c>
      <c r="J9" s="9">
        <f t="shared" si="3"/>
        <v>0</v>
      </c>
      <c r="K9" s="9">
        <f t="shared" si="4"/>
        <v>24</v>
      </c>
      <c r="L9" s="77">
        <f>IFERROR(VLOOKUP(Vaktplan!$A$55,Vaktplan!$X$4:$CL$35,86-AI62,FALSE),0)</f>
        <v>0</v>
      </c>
      <c r="M9" s="77">
        <f>IFERROR(VLOOKUP(Vaktplan!$A$55,Vaktplan!$X$4:$CL$35,86-AH62,FALSE),0)</f>
        <v>0</v>
      </c>
      <c r="N9" s="9">
        <f>IFERROR(VLOOKUP(Vaktplan!$A$55,Vaktplan!$X$4:$CL$35,89-$AI62,FALSE),0)</f>
        <v>0</v>
      </c>
      <c r="O9" s="9">
        <f t="shared" si="5"/>
        <v>0</v>
      </c>
      <c r="P9" s="9">
        <f t="shared" si="6"/>
        <v>24</v>
      </c>
      <c r="Q9" s="77">
        <f>IFERROR(VLOOKUP(Vaktplan!$A$55,Vaktplan!$Y$4:$CL$35,86-AJ62,FALSE),0)</f>
        <v>0</v>
      </c>
      <c r="R9" s="77">
        <f>IFERROR(VLOOKUP(Vaktplan!$A$55,Vaktplan!$Y$4:$CL$35,86-AI62,FALSE),0)</f>
        <v>0</v>
      </c>
      <c r="S9" s="9">
        <f>IFERROR(VLOOKUP(Vaktplan!$A$55,Vaktplan!$Y$4:$CL$35,89-$AJ62,FALSE),0)</f>
        <v>0</v>
      </c>
      <c r="T9" s="9">
        <f t="shared" si="0"/>
        <v>0</v>
      </c>
      <c r="U9" s="9">
        <f t="shared" si="7"/>
        <v>24</v>
      </c>
      <c r="V9" s="77">
        <f>IFERROR(VLOOKUP(Vaktplan!$A$55,Vaktplan!$Z$4:$CL$35,86-AK62,FALSE),0)</f>
        <v>0</v>
      </c>
      <c r="W9" s="77">
        <f>IFERROR(VLOOKUP(Vaktplan!$A$55,Vaktplan!$Z$4:$CL$35,86-AJ62,FALSE),0)</f>
        <v>0</v>
      </c>
      <c r="X9" s="9">
        <f>IFERROR(VLOOKUP(Vaktplan!$A$55,Vaktplan!$Z$4:$CL$35,89-$AK62,FALSE),0)</f>
        <v>0</v>
      </c>
      <c r="Y9" s="9">
        <f t="shared" si="8"/>
        <v>0</v>
      </c>
      <c r="Z9" s="9">
        <f t="shared" si="9"/>
        <v>24</v>
      </c>
      <c r="AA9" s="77">
        <f>IFERROR(VLOOKUP(Vaktplan!$A$55,Vaktplan!$AA$4:$CL$35,86-AL62,FALSE),0)</f>
        <v>0</v>
      </c>
      <c r="AB9" s="77">
        <f>IFERROR(VLOOKUP(Vaktplan!$A$55,Vaktplan!$AA$4:$CL$35,86-AK62,FALSE),0)</f>
        <v>0</v>
      </c>
      <c r="AC9" s="9">
        <f>IFERROR(VLOOKUP(Vaktplan!$A$55,Vaktplan!$AA$4:$CL$35,89-$AL62,FALSE),0)</f>
        <v>0</v>
      </c>
      <c r="AD9" s="9">
        <f t="shared" si="10"/>
        <v>0</v>
      </c>
      <c r="AE9" s="9">
        <f t="shared" si="11"/>
        <v>24</v>
      </c>
      <c r="AF9" s="77">
        <f>IFERROR(VLOOKUP(Vaktplan!$A$55,Vaktplan!$AB$4:$CL$35,86-AM62,FALSE),0)</f>
        <v>0</v>
      </c>
      <c r="AG9" s="77">
        <f>IFERROR(VLOOKUP(Vaktplan!$A$55,Vaktplan!$AB$4:$CL$35,86-AL62,FALSE),0)</f>
        <v>0</v>
      </c>
      <c r="AH9" s="9">
        <f>IFERROR(VLOOKUP(Vaktplan!$A$55,Vaktplan!$AB$4:$CL$35,89-$AM62,FALSE),0)</f>
        <v>0</v>
      </c>
      <c r="AI9" s="9">
        <f t="shared" si="12"/>
        <v>0</v>
      </c>
      <c r="AJ9" s="9">
        <f t="shared" si="13"/>
        <v>24</v>
      </c>
      <c r="AK9" s="9">
        <f t="shared" si="1"/>
        <v>0</v>
      </c>
      <c r="AL9" s="92">
        <f t="shared" si="14"/>
        <v>24</v>
      </c>
      <c r="AM9" s="10">
        <f t="shared" si="15"/>
        <v>0</v>
      </c>
    </row>
    <row r="10" spans="1:39" ht="13" x14ac:dyDescent="0.25">
      <c r="A10" s="7">
        <f>IF($M$1&gt;=5,5,0)</f>
        <v>5</v>
      </c>
      <c r="B10" s="77">
        <f>IFERROR(VLOOKUP(Vaktplan!$A$55,Vaktplan!$AC$4:$CL$35,87-AH63,FALSE),0)</f>
        <v>0</v>
      </c>
      <c r="C10" s="77">
        <f>IFERROR(VLOOKUP(Vaktplan!$A$55,Vaktplan!$AC$4:$CL$35,87-AG63,FALSE),0)</f>
        <v>0</v>
      </c>
      <c r="D10" s="9">
        <f>IFERROR(VLOOKUP(Vaktplan!$A$55,Vaktplan!$AC$4:$CL$35,89-AG63,FALSE),0)</f>
        <v>0</v>
      </c>
      <c r="E10" s="9">
        <f t="shared" si="16"/>
        <v>0</v>
      </c>
      <c r="F10" s="9">
        <f t="shared" si="2"/>
        <v>24</v>
      </c>
      <c r="G10" s="77">
        <f>IFERROR(VLOOKUP(Vaktplan!$A$55,Vaktplan!$AD$4:$CL$35,86-AH63,FALSE),0)</f>
        <v>0</v>
      </c>
      <c r="H10" s="77">
        <f>IFERROR(VLOOKUP(Vaktplan!$A$55,Vaktplan!$AD$4:$CL$35,86-AG63,FALSE),0)</f>
        <v>0</v>
      </c>
      <c r="I10" s="9">
        <f>IFERROR(VLOOKUP(Vaktplan!$A$55,Vaktplan!$AD$4:$CL$35,89-$AH63,FALSE),0)</f>
        <v>0</v>
      </c>
      <c r="J10" s="9">
        <f t="shared" si="3"/>
        <v>0</v>
      </c>
      <c r="K10" s="9">
        <f t="shared" si="4"/>
        <v>24</v>
      </c>
      <c r="L10" s="77">
        <f>IFERROR(VLOOKUP(Vaktplan!$A$55,Vaktplan!$AE$4:$CL$35,86-AI63,FALSE),0)</f>
        <v>0</v>
      </c>
      <c r="M10" s="77">
        <f>IFERROR(VLOOKUP(Vaktplan!$A$55,Vaktplan!$AE$4:$CL$35,86-AH63,FALSE),0)</f>
        <v>0</v>
      </c>
      <c r="N10" s="9">
        <f>IFERROR(VLOOKUP(Vaktplan!$A$55,Vaktplan!$AE$4:$CL$35,89-$AI63,FALSE),0)</f>
        <v>0</v>
      </c>
      <c r="O10" s="9">
        <f t="shared" si="5"/>
        <v>0</v>
      </c>
      <c r="P10" s="9">
        <f t="shared" si="6"/>
        <v>24</v>
      </c>
      <c r="Q10" s="77">
        <f>IFERROR(VLOOKUP(Vaktplan!$A$55,Vaktplan!$AF$4:$CL$35,86-AJ63,FALSE),0)</f>
        <v>0</v>
      </c>
      <c r="R10" s="77">
        <f>IFERROR(VLOOKUP(Vaktplan!$A$55,Vaktplan!$AF$4:$CL$35,86-AI63,FALSE),0)</f>
        <v>0</v>
      </c>
      <c r="S10" s="9">
        <f>IFERROR(VLOOKUP(Vaktplan!$A$55,Vaktplan!$AF$4:$CL$35,89-$AJ63,FALSE),0)</f>
        <v>0</v>
      </c>
      <c r="T10" s="9">
        <f t="shared" si="0"/>
        <v>0</v>
      </c>
      <c r="U10" s="9">
        <f t="shared" si="7"/>
        <v>24</v>
      </c>
      <c r="V10" s="77">
        <f>IFERROR(VLOOKUP(Vaktplan!$A$55,Vaktplan!$AG$4:$CL$35,86-AK63,FALSE),0)</f>
        <v>0</v>
      </c>
      <c r="W10" s="77">
        <f>IFERROR(VLOOKUP(Vaktplan!$A$55,Vaktplan!$AG$4:$CL$35,86-AJ63,FALSE),0)</f>
        <v>0</v>
      </c>
      <c r="X10" s="9">
        <f>IFERROR(VLOOKUP(Vaktplan!$A$55,Vaktplan!$AG$4:$CL$35,89-$AK63,FALSE),0)</f>
        <v>0</v>
      </c>
      <c r="Y10" s="9">
        <f t="shared" si="8"/>
        <v>0</v>
      </c>
      <c r="Z10" s="9">
        <f t="shared" si="9"/>
        <v>24</v>
      </c>
      <c r="AA10" s="77">
        <f>IFERROR(VLOOKUP(Vaktplan!$A$55,Vaktplan!$AH$4:$CL$35,86-AL63,FALSE),0)</f>
        <v>0</v>
      </c>
      <c r="AB10" s="77">
        <f>IFERROR(VLOOKUP(Vaktplan!$A$55,Vaktplan!$AH$4:$CL$35,86-AK63,FALSE),0)</f>
        <v>0</v>
      </c>
      <c r="AC10" s="9">
        <f>IFERROR(VLOOKUP(Vaktplan!$A$55,Vaktplan!$AH$4:$CL$35,89-$AL63,FALSE),0)</f>
        <v>0</v>
      </c>
      <c r="AD10" s="9">
        <f t="shared" si="10"/>
        <v>0</v>
      </c>
      <c r="AE10" s="9">
        <f t="shared" si="11"/>
        <v>24</v>
      </c>
      <c r="AF10" s="77">
        <f>IFERROR(VLOOKUP(Vaktplan!$A$55,Vaktplan!$AI$4:$CL$35,86-AM63,FALSE),0)</f>
        <v>0</v>
      </c>
      <c r="AG10" s="77">
        <f>IFERROR(VLOOKUP(Vaktplan!$A$55,Vaktplan!$AI$4:$CL$35,86-AL63,FALSE),0)</f>
        <v>0</v>
      </c>
      <c r="AH10" s="9">
        <f>IFERROR(VLOOKUP(Vaktplan!$A$55,Vaktplan!$AI$4:$CL$35,89-$AM63,FALSE),0)</f>
        <v>0</v>
      </c>
      <c r="AI10" s="9">
        <f t="shared" si="12"/>
        <v>0</v>
      </c>
      <c r="AJ10" s="9">
        <f t="shared" si="13"/>
        <v>24</v>
      </c>
      <c r="AK10" s="9">
        <f t="shared" si="1"/>
        <v>0</v>
      </c>
      <c r="AL10" s="92">
        <f t="shared" si="14"/>
        <v>24</v>
      </c>
      <c r="AM10" s="10">
        <f t="shared" si="15"/>
        <v>0</v>
      </c>
    </row>
    <row r="11" spans="1:39" ht="13" x14ac:dyDescent="0.25">
      <c r="A11" s="7">
        <f>IF($M$1&gt;=6,6,0)</f>
        <v>6</v>
      </c>
      <c r="B11" s="77">
        <f>IFERROR(VLOOKUP(Vaktplan!$A$55,Vaktplan!$AJ$4:$CL$35,87-AH64,FALSE),0)</f>
        <v>0</v>
      </c>
      <c r="C11" s="77">
        <f>IFERROR(VLOOKUP(Vaktplan!$A$55,Vaktplan!$AJ$4:$CL$35,87-AG64,FALSE),0)</f>
        <v>0</v>
      </c>
      <c r="D11" s="9">
        <f>IFERROR(VLOOKUP(Vaktplan!$A$55,Vaktplan!$AJ$4:$CL$35,89-AG64,FALSE),0)</f>
        <v>0</v>
      </c>
      <c r="E11" s="9">
        <f t="shared" si="16"/>
        <v>0</v>
      </c>
      <c r="F11" s="9">
        <f t="shared" si="2"/>
        <v>24</v>
      </c>
      <c r="G11" s="77">
        <f>IFERROR(VLOOKUP(Vaktplan!$A$55,Vaktplan!$AK$4:$CL$35,86-AH64,FALSE),0)</f>
        <v>0</v>
      </c>
      <c r="H11" s="77">
        <f>IFERROR(VLOOKUP(Vaktplan!$A$55,Vaktplan!$AK$4:$CL$35,86-AG64,FALSE),0)</f>
        <v>0</v>
      </c>
      <c r="I11" s="9">
        <f>IFERROR(VLOOKUP(Vaktplan!$A$55,Vaktplan!$AK$4:$CL$35,89-$AH64,FALSE),0)</f>
        <v>0</v>
      </c>
      <c r="J11" s="9">
        <f t="shared" si="3"/>
        <v>0</v>
      </c>
      <c r="K11" s="9">
        <f t="shared" si="4"/>
        <v>24</v>
      </c>
      <c r="L11" s="77">
        <f>IFERROR(VLOOKUP(Vaktplan!$A$55,Vaktplan!$AL$4:$CL$35,86-AI64,FALSE),0)</f>
        <v>0</v>
      </c>
      <c r="M11" s="77">
        <f>IFERROR(VLOOKUP(Vaktplan!$A$55,Vaktplan!$AL$4:$CL$35,86-AH64,FALSE),0)</f>
        <v>0</v>
      </c>
      <c r="N11" s="9">
        <f>IFERROR(VLOOKUP(Vaktplan!$A$55,Vaktplan!$AL$4:$CL$35,89-$AI64,FALSE),0)</f>
        <v>0</v>
      </c>
      <c r="O11" s="9">
        <f t="shared" si="5"/>
        <v>0</v>
      </c>
      <c r="P11" s="9">
        <f t="shared" si="6"/>
        <v>24</v>
      </c>
      <c r="Q11" s="77">
        <f>IFERROR(VLOOKUP(Vaktplan!$A$55,Vaktplan!$AM$4:$CL$35,86-AJ64,FALSE),0)</f>
        <v>0</v>
      </c>
      <c r="R11" s="77">
        <f>IFERROR(VLOOKUP(Vaktplan!$A$55,Vaktplan!$AM$4:$CL$35,86-AI64,FALSE),0)</f>
        <v>0</v>
      </c>
      <c r="S11" s="9">
        <f>IFERROR(VLOOKUP(Vaktplan!$A$55,Vaktplan!$AM$4:$CL$35,89-$AJ64,FALSE),0)</f>
        <v>0</v>
      </c>
      <c r="T11" s="9">
        <f t="shared" si="0"/>
        <v>0</v>
      </c>
      <c r="U11" s="9">
        <f t="shared" si="7"/>
        <v>24</v>
      </c>
      <c r="V11" s="77">
        <f>IFERROR(VLOOKUP(Vaktplan!$A$55,Vaktplan!$AN$4:$CL$35,86-AK64,FALSE),0)</f>
        <v>0</v>
      </c>
      <c r="W11" s="77">
        <f>IFERROR(VLOOKUP(Vaktplan!$A$55,Vaktplan!$AN$4:$CL$35,86-AJ64,FALSE),0)</f>
        <v>0</v>
      </c>
      <c r="X11" s="9">
        <f>IFERROR(VLOOKUP(Vaktplan!$A$55,Vaktplan!$AN$4:$CL$35,89-$AK64,FALSE),0)</f>
        <v>0</v>
      </c>
      <c r="Y11" s="9">
        <f t="shared" si="8"/>
        <v>0</v>
      </c>
      <c r="Z11" s="9">
        <f t="shared" si="9"/>
        <v>24</v>
      </c>
      <c r="AA11" s="77">
        <f>IFERROR(VLOOKUP(Vaktplan!$A$55,Vaktplan!$AO$4:$CL$35,86-AL64,FALSE),0)</f>
        <v>0</v>
      </c>
      <c r="AB11" s="77">
        <f>IFERROR(VLOOKUP(Vaktplan!$A$55,Vaktplan!$AO$4:$CL$35,86-AK64,FALSE),0)</f>
        <v>0</v>
      </c>
      <c r="AC11" s="9">
        <f>IFERROR(VLOOKUP(Vaktplan!$A$55,Vaktplan!$AO$4:$CL$35,89-$AL64,FALSE),0)</f>
        <v>0</v>
      </c>
      <c r="AD11" s="9">
        <f t="shared" si="10"/>
        <v>0</v>
      </c>
      <c r="AE11" s="9">
        <f t="shared" si="11"/>
        <v>24</v>
      </c>
      <c r="AF11" s="77">
        <f>IFERROR(VLOOKUP(Vaktplan!$A$55,Vaktplan!$AP$4:$CL$35,86-AM64,FALSE),0)</f>
        <v>0</v>
      </c>
      <c r="AG11" s="77">
        <f>IFERROR(VLOOKUP(Vaktplan!$A$55,Vaktplan!$AP$4:$CL$35,86-AL64,FALSE),0)</f>
        <v>0</v>
      </c>
      <c r="AH11" s="9">
        <f>IFERROR(VLOOKUP(Vaktplan!$A$55,Vaktplan!$AP$4:$CL$35,89-$AM64,FALSE),0)</f>
        <v>0</v>
      </c>
      <c r="AI11" s="9">
        <f t="shared" si="12"/>
        <v>0</v>
      </c>
      <c r="AJ11" s="9">
        <f t="shared" si="13"/>
        <v>24</v>
      </c>
      <c r="AK11" s="9">
        <f t="shared" si="1"/>
        <v>0</v>
      </c>
      <c r="AL11" s="92">
        <f t="shared" si="14"/>
        <v>24</v>
      </c>
      <c r="AM11" s="10">
        <f t="shared" si="15"/>
        <v>0</v>
      </c>
    </row>
    <row r="12" spans="1:39" ht="13" x14ac:dyDescent="0.25">
      <c r="A12" s="7">
        <f>IF($M$1&gt;=7,7,0)</f>
        <v>7</v>
      </c>
      <c r="B12" s="77">
        <f>IFERROR(VLOOKUP(Vaktplan!$A$55,Vaktplan!$AQ$4:$CL$35,87-AH65,FALSE),0)</f>
        <v>0</v>
      </c>
      <c r="C12" s="77">
        <f>IFERROR(VLOOKUP(Vaktplan!$A$55,Vaktplan!$AQ$4:$CL$35,87-AG65,FALSE),0)</f>
        <v>0</v>
      </c>
      <c r="D12" s="9">
        <f>IFERROR(VLOOKUP(Vaktplan!$A$55,Vaktplan!$AQ$4:$CL$35,89-AG65,FALSE),0)</f>
        <v>0</v>
      </c>
      <c r="E12" s="9">
        <f t="shared" si="16"/>
        <v>0</v>
      </c>
      <c r="F12" s="9">
        <f t="shared" si="2"/>
        <v>24</v>
      </c>
      <c r="G12" s="77">
        <f>IFERROR(VLOOKUP(Vaktplan!$A$55,Vaktplan!$AR$4:$CL$35,86-AH65,FALSE),0)</f>
        <v>0</v>
      </c>
      <c r="H12" s="77">
        <f>IFERROR(VLOOKUP(Vaktplan!$A$55,Vaktplan!$AR$4:$CL$35,86-AG65,FALSE),0)</f>
        <v>0</v>
      </c>
      <c r="I12" s="9">
        <f>IFERROR(VLOOKUP(Vaktplan!$A$55,Vaktplan!$AR$4:$CL$35,89-$AH65,FALSE),0)</f>
        <v>0</v>
      </c>
      <c r="J12" s="9">
        <f t="shared" si="3"/>
        <v>0</v>
      </c>
      <c r="K12" s="9">
        <f t="shared" si="4"/>
        <v>24</v>
      </c>
      <c r="L12" s="77">
        <f>IFERROR(VLOOKUP(Vaktplan!$A$55,Vaktplan!$AS$4:$CL$35,86-AI65,FALSE),0)</f>
        <v>0</v>
      </c>
      <c r="M12" s="77">
        <f>IFERROR(VLOOKUP(Vaktplan!$A$55,Vaktplan!$AS$4:$CL$35,86-AH65,FALSE),0)</f>
        <v>0</v>
      </c>
      <c r="N12" s="9">
        <f>IFERROR(VLOOKUP(Vaktplan!$A$55,Vaktplan!$AS$4:$CL$35,89-$AI65,FALSE),0)</f>
        <v>0</v>
      </c>
      <c r="O12" s="9">
        <f t="shared" si="5"/>
        <v>0</v>
      </c>
      <c r="P12" s="9">
        <f t="shared" si="6"/>
        <v>24</v>
      </c>
      <c r="Q12" s="77">
        <f>IFERROR(VLOOKUP(Vaktplan!$A$55,Vaktplan!$AT$4:$CL$35,86-AJ65,FALSE),0)</f>
        <v>0</v>
      </c>
      <c r="R12" s="77">
        <f>IFERROR(VLOOKUP(Vaktplan!$A$55,Vaktplan!$AT$4:$CL$35,86-AI65,FALSE),0)</f>
        <v>0</v>
      </c>
      <c r="S12" s="9">
        <f>IFERROR(VLOOKUP(Vaktplan!$A$55,Vaktplan!$AT$4:$CL$35,89-$AJ65,FALSE),0)</f>
        <v>0</v>
      </c>
      <c r="T12" s="9">
        <f t="shared" si="0"/>
        <v>0</v>
      </c>
      <c r="U12" s="9">
        <f t="shared" si="7"/>
        <v>24</v>
      </c>
      <c r="V12" s="77">
        <f>IFERROR(VLOOKUP(Vaktplan!$A$55,Vaktplan!$AU$4:$CL$35,86-AK65,FALSE),0)</f>
        <v>0</v>
      </c>
      <c r="W12" s="77">
        <f>IFERROR(VLOOKUP(Vaktplan!$A$55,Vaktplan!$AU$4:$CL$35,86-AJ65,FALSE),0)</f>
        <v>0</v>
      </c>
      <c r="X12" s="9">
        <f>IFERROR(VLOOKUP(Vaktplan!$A$55,Vaktplan!$AU$4:$CL$35,89-$AK65,FALSE),0)</f>
        <v>0</v>
      </c>
      <c r="Y12" s="9">
        <f t="shared" si="8"/>
        <v>0</v>
      </c>
      <c r="Z12" s="9">
        <f t="shared" si="9"/>
        <v>24</v>
      </c>
      <c r="AA12" s="77">
        <f>IFERROR(VLOOKUP(Vaktplan!$A$55,Vaktplan!$AV$4:$CL$35,86-AL65,FALSE),0)</f>
        <v>0</v>
      </c>
      <c r="AB12" s="77">
        <f>IFERROR(VLOOKUP(Vaktplan!$A$55,Vaktplan!$AV$4:$CL$35,86-AK65,FALSE),0)</f>
        <v>0</v>
      </c>
      <c r="AC12" s="9">
        <f>IFERROR(VLOOKUP(Vaktplan!$A$55,Vaktplan!$AV$4:$CL$35,89-$AL65,FALSE),0)</f>
        <v>0</v>
      </c>
      <c r="AD12" s="9">
        <f t="shared" si="10"/>
        <v>0</v>
      </c>
      <c r="AE12" s="9">
        <f t="shared" si="11"/>
        <v>24</v>
      </c>
      <c r="AF12" s="77">
        <f>IFERROR(VLOOKUP(Vaktplan!$A$55,Vaktplan!$AW$4:$CL$35,86-AM65,FALSE),0)</f>
        <v>0</v>
      </c>
      <c r="AG12" s="77">
        <f>IFERROR(VLOOKUP(Vaktplan!$A$55,Vaktplan!$AW$4:$CL$35,86-AL65,FALSE),0)</f>
        <v>0</v>
      </c>
      <c r="AH12" s="9">
        <f>IFERROR(VLOOKUP(Vaktplan!$A$55,Vaktplan!$AW$4:$CL$35,89-$AM65,FALSE),0)</f>
        <v>0</v>
      </c>
      <c r="AI12" s="9">
        <f t="shared" si="12"/>
        <v>0</v>
      </c>
      <c r="AJ12" s="9">
        <f t="shared" si="13"/>
        <v>24</v>
      </c>
      <c r="AK12" s="9">
        <f t="shared" si="1"/>
        <v>0</v>
      </c>
      <c r="AL12" s="92">
        <f t="shared" si="14"/>
        <v>24</v>
      </c>
      <c r="AM12" s="10">
        <f t="shared" si="15"/>
        <v>0</v>
      </c>
    </row>
    <row r="13" spans="1:39" ht="13" x14ac:dyDescent="0.25">
      <c r="A13" s="7">
        <f>IF($M$1&gt;=8,8,0)</f>
        <v>8</v>
      </c>
      <c r="B13" s="77">
        <f>IFERROR(VLOOKUP(Vaktplan!$A$55,Vaktplan!$AX$4:$CL$35,87-AH66,FALSE),0)</f>
        <v>0</v>
      </c>
      <c r="C13" s="77">
        <f>IFERROR(VLOOKUP(Vaktplan!$A$55,Vaktplan!$AX$4:$CL$35,87-AG66,FALSE),0)</f>
        <v>0</v>
      </c>
      <c r="D13" s="9">
        <f>IFERROR(VLOOKUP(Vaktplan!$A$55,Vaktplan!$AX$4:$CL$35,89-AG66,FALSE),0)</f>
        <v>0</v>
      </c>
      <c r="E13" s="9">
        <f t="shared" si="16"/>
        <v>0</v>
      </c>
      <c r="F13" s="9">
        <f t="shared" si="2"/>
        <v>24</v>
      </c>
      <c r="G13" s="77">
        <f>IFERROR(VLOOKUP(Vaktplan!$A$55,Vaktplan!$AY$4:$CL$35,86-AH66,FALSE),0)</f>
        <v>0</v>
      </c>
      <c r="H13" s="77">
        <f>IFERROR(VLOOKUP(Vaktplan!$A$55,Vaktplan!$AY$4:$CL$35,86-AG66,FALSE),0)</f>
        <v>0</v>
      </c>
      <c r="I13" s="9">
        <f>IFERROR(VLOOKUP(Vaktplan!$A$55,Vaktplan!$AY$4:$CL$35,89-$AH66,FALSE),0)</f>
        <v>0</v>
      </c>
      <c r="J13" s="9">
        <f t="shared" si="3"/>
        <v>0</v>
      </c>
      <c r="K13" s="9">
        <f t="shared" si="4"/>
        <v>24</v>
      </c>
      <c r="L13" s="77">
        <f>IFERROR(VLOOKUP(Vaktplan!$A$55,Vaktplan!$AZ$4:$CL$35,86-AI66,FALSE),0)</f>
        <v>0</v>
      </c>
      <c r="M13" s="77">
        <f>IFERROR(VLOOKUP(Vaktplan!$A$55,Vaktplan!$AZ$4:$CL$35,86-AH66,FALSE),0)</f>
        <v>0</v>
      </c>
      <c r="N13" s="9">
        <f>IFERROR(VLOOKUP(Vaktplan!$A$55,Vaktplan!$AZ$4:$CL$35,89-$AI66,FALSE),0)</f>
        <v>0</v>
      </c>
      <c r="O13" s="9">
        <f t="shared" si="5"/>
        <v>0</v>
      </c>
      <c r="P13" s="9">
        <f t="shared" si="6"/>
        <v>24</v>
      </c>
      <c r="Q13" s="77">
        <f>IFERROR(VLOOKUP(Vaktplan!$A$55,Vaktplan!$BA$4:$CL$35,86-AJ66,FALSE),0)</f>
        <v>0</v>
      </c>
      <c r="R13" s="77">
        <f>IFERROR(VLOOKUP(Vaktplan!$A$55,Vaktplan!$BA$4:$CL$35,86-AI66,FALSE),0)</f>
        <v>0</v>
      </c>
      <c r="S13" s="9">
        <f>IFERROR(VLOOKUP(Vaktplan!$A$55,Vaktplan!$BA$4:$CL$35,89-$AJ66,FALSE),0)</f>
        <v>0</v>
      </c>
      <c r="T13" s="9">
        <f t="shared" si="0"/>
        <v>0</v>
      </c>
      <c r="U13" s="9">
        <f t="shared" si="7"/>
        <v>24</v>
      </c>
      <c r="V13" s="77">
        <f>IFERROR(VLOOKUP(Vaktplan!$A$55,Vaktplan!$BB$4:$CL$35,86-AK66,FALSE),0)</f>
        <v>0</v>
      </c>
      <c r="W13" s="77">
        <f>IFERROR(VLOOKUP(Vaktplan!$A$55,Vaktplan!$BB$4:$CL$35,86-AJ66,FALSE),0)</f>
        <v>0</v>
      </c>
      <c r="X13" s="9">
        <f>IFERROR(VLOOKUP(Vaktplan!$A$55,Vaktplan!$BB$4:$CL$35,89-$AK66,FALSE),0)</f>
        <v>0</v>
      </c>
      <c r="Y13" s="9">
        <f t="shared" si="8"/>
        <v>0</v>
      </c>
      <c r="Z13" s="9">
        <f t="shared" si="9"/>
        <v>24</v>
      </c>
      <c r="AA13" s="77">
        <f>IFERROR(VLOOKUP(Vaktplan!$A$55,Vaktplan!$BC$4:$CL$35,86-AL66,FALSE),0)</f>
        <v>0</v>
      </c>
      <c r="AB13" s="77">
        <f>IFERROR(VLOOKUP(Vaktplan!$A$55,Vaktplan!$BC$4:$CL$35,86-AK66,FALSE),0)</f>
        <v>0</v>
      </c>
      <c r="AC13" s="9">
        <f>IFERROR(VLOOKUP(Vaktplan!$A$55,Vaktplan!$BC$4:$CL$35,89-$AL66,FALSE),0)</f>
        <v>0</v>
      </c>
      <c r="AD13" s="9">
        <f t="shared" si="10"/>
        <v>0</v>
      </c>
      <c r="AE13" s="9">
        <f t="shared" si="11"/>
        <v>24</v>
      </c>
      <c r="AF13" s="77">
        <f>IFERROR(VLOOKUP(Vaktplan!$A$55,Vaktplan!$BD$4:$CL$35,86-AM66,FALSE),0)</f>
        <v>0</v>
      </c>
      <c r="AG13" s="77">
        <f>IFERROR(VLOOKUP(Vaktplan!$A$55,Vaktplan!$BD$4:$CL$35,86-AL66,FALSE),0)</f>
        <v>0</v>
      </c>
      <c r="AH13" s="9">
        <f>IFERROR(VLOOKUP(Vaktplan!$A$55,Vaktplan!$BD$4:$CL$35,89-$AM66,FALSE),0)</f>
        <v>0</v>
      </c>
      <c r="AI13" s="9">
        <f t="shared" si="12"/>
        <v>0</v>
      </c>
      <c r="AJ13" s="9">
        <f t="shared" si="13"/>
        <v>24</v>
      </c>
      <c r="AK13" s="9">
        <f t="shared" si="1"/>
        <v>0</v>
      </c>
      <c r="AL13" s="92">
        <f t="shared" si="14"/>
        <v>24</v>
      </c>
      <c r="AM13" s="10">
        <f t="shared" si="15"/>
        <v>0</v>
      </c>
    </row>
    <row r="14" spans="1:39" ht="13" x14ac:dyDescent="0.25">
      <c r="A14" s="7">
        <v>9</v>
      </c>
      <c r="B14" s="77">
        <f>IFERROR(VLOOKUP(Vaktplan!$A$55,Vaktplan!$BE$4:$CL$35,87-AH67,FALSE),0)</f>
        <v>0</v>
      </c>
      <c r="C14" s="77">
        <f>IFERROR(VLOOKUP(Vaktplan!$A$55,Vaktplan!$BE$4:$CL$35,87-AG67,FALSE),0)</f>
        <v>0</v>
      </c>
      <c r="D14" s="9">
        <f>IFERROR(VLOOKUP(Vaktplan!$A$55,Vaktplan!$BE$4:$CL$35,89-AG67,FALSE),0)</f>
        <v>0</v>
      </c>
      <c r="E14" s="9">
        <f t="shared" si="16"/>
        <v>0</v>
      </c>
      <c r="F14" s="9">
        <f t="shared" si="2"/>
        <v>24</v>
      </c>
      <c r="G14" s="77">
        <f>IFERROR(VLOOKUP(Vaktplan!$A$55,Vaktplan!$BF$4:$CL$35,86-AH67,FALSE),0)</f>
        <v>0</v>
      </c>
      <c r="H14" s="77">
        <f>IFERROR(VLOOKUP(Vaktplan!$A$55,Vaktplan!$BF$4:$CL$35,86-AG67,FALSE),0)</f>
        <v>0</v>
      </c>
      <c r="I14" s="9">
        <f>IFERROR(VLOOKUP(Vaktplan!$A$55,Vaktplan!$BF$4:$CL$35,89-$AH67,FALSE),0)</f>
        <v>0</v>
      </c>
      <c r="J14" s="9">
        <f t="shared" si="3"/>
        <v>0</v>
      </c>
      <c r="K14" s="9">
        <f t="shared" si="4"/>
        <v>24</v>
      </c>
      <c r="L14" s="77">
        <f>IFERROR(VLOOKUP(Vaktplan!$A$55,Vaktplan!$BG$4:$CL$35,86-AI67,FALSE),0)</f>
        <v>0</v>
      </c>
      <c r="M14" s="77">
        <f>IFERROR(VLOOKUP(Vaktplan!$A$55,Vaktplan!$BG$4:$CL$35,86-AH67,FALSE),0)</f>
        <v>0</v>
      </c>
      <c r="N14" s="9">
        <f>IFERROR(VLOOKUP(Vaktplan!$A$55,Vaktplan!$BG$4:$CL$35,89-$AI67,FALSE),0)</f>
        <v>0</v>
      </c>
      <c r="O14" s="9">
        <f t="shared" si="5"/>
        <v>0</v>
      </c>
      <c r="P14" s="9">
        <f t="shared" si="6"/>
        <v>24</v>
      </c>
      <c r="Q14" s="77">
        <f>IFERROR(VLOOKUP(Vaktplan!$A$55,Vaktplan!$BH$4:$CL$35,86-AJ67,FALSE),0)</f>
        <v>0</v>
      </c>
      <c r="R14" s="77">
        <f>IFERROR(VLOOKUP(Vaktplan!$A$55,Vaktplan!$BH$4:$CL$35,86-AI67,FALSE),0)</f>
        <v>0</v>
      </c>
      <c r="S14" s="9">
        <f>IFERROR(VLOOKUP(Vaktplan!$A$55,Vaktplan!$BH$4:$CL$35,89-$AJ67,FALSE),0)</f>
        <v>0</v>
      </c>
      <c r="T14" s="9">
        <f t="shared" si="0"/>
        <v>0</v>
      </c>
      <c r="U14" s="9">
        <f t="shared" si="7"/>
        <v>24</v>
      </c>
      <c r="V14" s="77">
        <f>IFERROR(VLOOKUP(Vaktplan!$A$55,Vaktplan!$BI$4:$CL$35,86-AK67,FALSE),0)</f>
        <v>0</v>
      </c>
      <c r="W14" s="77">
        <f>IFERROR(VLOOKUP(Vaktplan!$A$55,Vaktplan!$BI$4:$CL$35,86-AJ67,FALSE),0)</f>
        <v>0</v>
      </c>
      <c r="X14" s="9">
        <f>IFERROR(VLOOKUP(Vaktplan!$A$55,Vaktplan!$BI$4:$CL$35,89-$AK67,FALSE),0)</f>
        <v>0</v>
      </c>
      <c r="Y14" s="9">
        <f>IF(AND(V14=0,W14=0),0,IF(V14&lt;W14,((W14-V14)*24)-X14,(((1-V14)+W14)*24)-X14))</f>
        <v>0</v>
      </c>
      <c r="Z14" s="9">
        <f t="shared" si="9"/>
        <v>24</v>
      </c>
      <c r="AA14" s="77">
        <f>IFERROR(VLOOKUP(Vaktplan!$A$55,Vaktplan!$BJ$4:$CL$35,86-AL67,FALSE),0)</f>
        <v>0</v>
      </c>
      <c r="AB14" s="77">
        <f>IFERROR(VLOOKUP(Vaktplan!$A$55,Vaktplan!$BJ$4:$CL$35,86-AK67,FALSE),0)</f>
        <v>0</v>
      </c>
      <c r="AC14" s="9">
        <f>IFERROR(VLOOKUP(Vaktplan!$A$55,Vaktplan!$BJ$4:$CL$35,89-$AL67,FALSE),0)</f>
        <v>0</v>
      </c>
      <c r="AD14" s="9">
        <f>IF(AND(AA14=0,AB14=0),0,IF(AA14&lt;AB14,((AB14-AA14)*24)-AC14,(((1-AA14)+AB14)*24)-AC14))</f>
        <v>0</v>
      </c>
      <c r="AE14" s="9">
        <f t="shared" si="11"/>
        <v>24</v>
      </c>
      <c r="AF14" s="77">
        <f>IFERROR(VLOOKUP(Vaktplan!$A$55,Vaktplan!$BK$4:$CL$35,86-AM67,FALSE),0)</f>
        <v>0</v>
      </c>
      <c r="AG14" s="77">
        <f>IFERROR(VLOOKUP(Vaktplan!$A$55,Vaktplan!$BK$4:$CL$35,86-AL67,FALSE),0)</f>
        <v>0</v>
      </c>
      <c r="AH14" s="9">
        <f>IFERROR(VLOOKUP(Vaktplan!$A$55,Vaktplan!$BK$4:$CL$35,89-$AM67,FALSE),0)</f>
        <v>0</v>
      </c>
      <c r="AI14" s="9">
        <f>IF(AND(AF14=0,AG14=0),0,IF(AF14&lt;AG14,((AG14-AF14)*24)-AH14,(((1-AF14)+AG14)*24)-AH14))</f>
        <v>0</v>
      </c>
      <c r="AJ14" s="9">
        <f t="shared" si="13"/>
        <v>24</v>
      </c>
      <c r="AK14" s="9">
        <f t="shared" si="1"/>
        <v>0</v>
      </c>
      <c r="AL14" s="92"/>
      <c r="AM14" s="10"/>
    </row>
    <row r="15" spans="1:39" ht="13" x14ac:dyDescent="0.25">
      <c r="A15" s="7">
        <v>10</v>
      </c>
      <c r="B15" s="77">
        <f>IFERROR(VLOOKUP(Vaktplan!$A$55,Vaktplan!$BL$4:$CL$35,87-AH68,FALSE),0)</f>
        <v>0</v>
      </c>
      <c r="C15" s="77">
        <f>IFERROR(VLOOKUP(Vaktplan!$A$55,Vaktplan!$BL$4:$CL$35,87-AG68,FALSE),0)</f>
        <v>0</v>
      </c>
      <c r="D15" s="9">
        <f>IFERROR(VLOOKUP(Vaktplan!$A$55,Vaktplan!$BL$4:$CL$35,89-AG68,FALSE),0)</f>
        <v>0</v>
      </c>
      <c r="E15" s="9">
        <f t="shared" si="16"/>
        <v>0</v>
      </c>
      <c r="F15" s="9">
        <f t="shared" si="2"/>
        <v>24</v>
      </c>
      <c r="G15" s="77">
        <f>IFERROR(VLOOKUP(Vaktplan!$A$55,Vaktplan!$BM$4:$CL$35,86-AH68,FALSE),0)</f>
        <v>0</v>
      </c>
      <c r="H15" s="77">
        <f>IFERROR(VLOOKUP(Vaktplan!$A$55,Vaktplan!$BM$4:$CL$35,86-AG68,FALSE),0)</f>
        <v>0</v>
      </c>
      <c r="I15" s="9">
        <f>IFERROR(VLOOKUP(Vaktplan!$A$55,Vaktplan!$BM$4:$CL$35,89-$AH68,FALSE),0)</f>
        <v>0</v>
      </c>
      <c r="J15" s="9">
        <f t="shared" si="3"/>
        <v>0</v>
      </c>
      <c r="K15" s="9">
        <f t="shared" si="4"/>
        <v>24</v>
      </c>
      <c r="L15" s="77">
        <f>IFERROR(VLOOKUP(Vaktplan!$A$55,Vaktplan!$BN$4:$CL$35,86-AI68,FALSE),0)</f>
        <v>0</v>
      </c>
      <c r="M15" s="77">
        <f>IFERROR(VLOOKUP(Vaktplan!$A$55,Vaktplan!$BN$4:$CL$35,86-AH68,FALSE),0)</f>
        <v>0</v>
      </c>
      <c r="N15" s="9">
        <f>IFERROR(VLOOKUP(Vaktplan!$A$55,Vaktplan!$BN$4:$CL$35,89-$AI68,FALSE),0)</f>
        <v>0</v>
      </c>
      <c r="O15" s="9">
        <f t="shared" si="5"/>
        <v>0</v>
      </c>
      <c r="P15" s="9">
        <f t="shared" si="6"/>
        <v>24</v>
      </c>
      <c r="Q15" s="77">
        <f>IFERROR(VLOOKUP(Vaktplan!$A$55,Vaktplan!$BO$4:$CL$35,86-AJ68,FALSE),0)</f>
        <v>0</v>
      </c>
      <c r="R15" s="77">
        <f>IFERROR(VLOOKUP(Vaktplan!$A$55,Vaktplan!$BO$4:$CL$35,86-AI68,FALSE),0)</f>
        <v>0</v>
      </c>
      <c r="S15" s="9">
        <f>IFERROR(VLOOKUP(Vaktplan!$A$55,Vaktplan!$BO$4:$CL$35,89-$AJ68,FALSE),0)</f>
        <v>0</v>
      </c>
      <c r="T15" s="9">
        <f t="shared" si="0"/>
        <v>0</v>
      </c>
      <c r="U15" s="9">
        <f t="shared" si="7"/>
        <v>24</v>
      </c>
      <c r="V15" s="77">
        <f>IFERROR(VLOOKUP(Vaktplan!$A$55,Vaktplan!$BP$4:$CL$35,86-AK68,FALSE),0)</f>
        <v>0</v>
      </c>
      <c r="W15" s="77">
        <f>IFERROR(VLOOKUP(Vaktplan!$A$55,Vaktplan!$BP$4:$CL$35,86-AJ68,FALSE),0)</f>
        <v>0</v>
      </c>
      <c r="X15" s="9">
        <f>IFERROR(VLOOKUP(Vaktplan!$A$55,Vaktplan!$BP$4:$CL$35,89-$AK68,FALSE),0)</f>
        <v>0</v>
      </c>
      <c r="Y15" s="9">
        <f>IF(AND(V15=0,W15=0),0,IF(V15&lt;W15,((W15-V15)*24)-X15,(((1-V15)+W15)*24)-X15))</f>
        <v>0</v>
      </c>
      <c r="Z15" s="9">
        <f t="shared" si="9"/>
        <v>24</v>
      </c>
      <c r="AA15" s="77">
        <f>IFERROR(VLOOKUP(Vaktplan!$A$55,Vaktplan!$BQ$4:$CL$35,86-AL68,FALSE),0)</f>
        <v>0</v>
      </c>
      <c r="AB15" s="77">
        <f>IFERROR(VLOOKUP(Vaktplan!$A$55,Vaktplan!$BQ$4:$CL$35,86-AK68,FALSE),0)</f>
        <v>0</v>
      </c>
      <c r="AC15" s="9">
        <f>IFERROR(VLOOKUP(Vaktplan!$A$55,Vaktplan!$BQ$4:$CL$35,89-$AL68,FALSE),0)</f>
        <v>0</v>
      </c>
      <c r="AD15" s="9">
        <f>IF(AND(AA15=0,AB15=0),0,IF(AA15&lt;AB15,((AB15-AA15)*24)-AC15,(((1-AA15)+AB15)*24)-AC15))</f>
        <v>0</v>
      </c>
      <c r="AE15" s="9">
        <f t="shared" si="11"/>
        <v>24</v>
      </c>
      <c r="AF15" s="77">
        <f>IFERROR(VLOOKUP(Vaktplan!$A$55,Vaktplan!$BR$4:$CL$35,86-AM68,FALSE),0)</f>
        <v>0</v>
      </c>
      <c r="AG15" s="77">
        <f>IFERROR(VLOOKUP(Vaktplan!$A$55,Vaktplan!$BR$4:$CL$35,86-AL68,FALSE),0)</f>
        <v>0</v>
      </c>
      <c r="AH15" s="9">
        <f>IFERROR(VLOOKUP(Vaktplan!$A$55,Vaktplan!$BR$4:$CL$35,89-$AM68,FALSE),0)</f>
        <v>0</v>
      </c>
      <c r="AI15" s="9">
        <f>IF(AND(AF15=0,AG15=0),0,IF(AF15&lt;AG15,((AG15-AF15)*24)-AH15,(((1-AF15)+AG15)*24)-AH15))</f>
        <v>0</v>
      </c>
      <c r="AJ15" s="9">
        <f t="shared" si="13"/>
        <v>24</v>
      </c>
      <c r="AK15" s="9">
        <f t="shared" si="1"/>
        <v>0</v>
      </c>
      <c r="AL15" s="92"/>
      <c r="AM15" s="10"/>
    </row>
    <row r="16" spans="1:39" ht="13" x14ac:dyDescent="0.25">
      <c r="A16" s="7">
        <v>11</v>
      </c>
      <c r="B16" s="77">
        <f>IFERROR(VLOOKUP(Vaktplan!$A$55,Vaktplan!$BS$4:$CL$35,87-AH69,FALSE),0)</f>
        <v>0</v>
      </c>
      <c r="C16" s="77">
        <f>IFERROR(VLOOKUP(Vaktplan!$A$55,Vaktplan!$BS$4:$CL$35,87-AG69,FALSE),0)</f>
        <v>0</v>
      </c>
      <c r="D16" s="9">
        <f>IFERROR(VLOOKUP(Vaktplan!$A$55,Vaktplan!$BS$4:$CL$35,89-AG69,FALSE),0)</f>
        <v>0</v>
      </c>
      <c r="E16" s="9">
        <f t="shared" si="16"/>
        <v>0</v>
      </c>
      <c r="F16" s="9">
        <f t="shared" si="2"/>
        <v>24</v>
      </c>
      <c r="G16" s="77">
        <f>IFERROR(VLOOKUP(Vaktplan!$A$55,Vaktplan!$BT$4:$CL$35,86-AH69,FALSE),0)</f>
        <v>0</v>
      </c>
      <c r="H16" s="77">
        <f>IFERROR(VLOOKUP(Vaktplan!$A$55,Vaktplan!$BT$4:$CL$35,86-AG69,FALSE),0)</f>
        <v>0</v>
      </c>
      <c r="I16" s="9">
        <f>IFERROR(VLOOKUP(Vaktplan!$A$55,Vaktplan!$BT$4:$CL$35,89-$AH69,FALSE),0)</f>
        <v>0</v>
      </c>
      <c r="J16" s="9">
        <f t="shared" si="3"/>
        <v>0</v>
      </c>
      <c r="K16" s="9">
        <f t="shared" si="4"/>
        <v>24</v>
      </c>
      <c r="L16" s="77">
        <f>IFERROR(VLOOKUP(Vaktplan!$A$55,Vaktplan!$BU$4:$CL$35,86-AI69,FALSE),0)</f>
        <v>0</v>
      </c>
      <c r="M16" s="77">
        <f>IFERROR(VLOOKUP(Vaktplan!$A$55,Vaktplan!$BU$4:$CL$35,86-AH69,FALSE),0)</f>
        <v>0</v>
      </c>
      <c r="N16" s="9">
        <f>IFERROR(VLOOKUP(Vaktplan!$A$55,Vaktplan!$BU$4:$CL$35,89-$AI69,FALSE),0)</f>
        <v>0</v>
      </c>
      <c r="O16" s="9">
        <f t="shared" si="5"/>
        <v>0</v>
      </c>
      <c r="P16" s="9">
        <f t="shared" si="6"/>
        <v>24</v>
      </c>
      <c r="Q16" s="77">
        <f>IFERROR(VLOOKUP(Vaktplan!$A$55,Vaktplan!$BV$4:$CL$35,86-AJ69,FALSE),0)</f>
        <v>0</v>
      </c>
      <c r="R16" s="77">
        <f>IFERROR(VLOOKUP(Vaktplan!$A$55,Vaktplan!$BV$4:$CL$35,86-AI69,FALSE),0)</f>
        <v>0</v>
      </c>
      <c r="S16" s="9">
        <f>IFERROR(VLOOKUP(Vaktplan!$A$55,Vaktplan!$BV$4:$CL$35,89-$AJ69,FALSE),0)</f>
        <v>0</v>
      </c>
      <c r="T16" s="9">
        <f t="shared" si="0"/>
        <v>0</v>
      </c>
      <c r="U16" s="9">
        <f t="shared" si="7"/>
        <v>24</v>
      </c>
      <c r="V16" s="77">
        <f>IFERROR(VLOOKUP(Vaktplan!$A$55,Vaktplan!$BW$4:$CL$35,86-AK69,FALSE),0)</f>
        <v>0</v>
      </c>
      <c r="W16" s="77">
        <f>IFERROR(VLOOKUP(Vaktplan!$A$55,Vaktplan!$BW$4:$CL$35,86-AJ69,FALSE),0)</f>
        <v>0</v>
      </c>
      <c r="X16" s="9">
        <f>IFERROR(VLOOKUP(Vaktplan!$A$55,Vaktplan!$BW$4:$CL$35,89-$AK69,FALSE),0)</f>
        <v>0</v>
      </c>
      <c r="Y16" s="9">
        <f>IF(AND(V16=0,W16=0),0,IF(V16&lt;W16,((W16-V16)*24)-X16,(((1-V16)+W16)*24)-X16))</f>
        <v>0</v>
      </c>
      <c r="Z16" s="9">
        <f t="shared" si="9"/>
        <v>24</v>
      </c>
      <c r="AA16" s="77">
        <f>IFERROR(VLOOKUP(Vaktplan!$A$55,Vaktplan!$BX$4:$CL$35,86-AL69,FALSE),0)</f>
        <v>0</v>
      </c>
      <c r="AB16" s="77">
        <f>IFERROR(VLOOKUP(Vaktplan!$A$55,Vaktplan!$BX$4:$CL$35,86-AK69,FALSE),0)</f>
        <v>0</v>
      </c>
      <c r="AC16" s="9">
        <f>IFERROR(VLOOKUP(Vaktplan!$A$55,Vaktplan!$BX$4:$CL$35,89-$AL69,FALSE),0)</f>
        <v>0</v>
      </c>
      <c r="AD16" s="9">
        <f>IF(AND(AA16=0,AB16=0),0,IF(AA16&lt;AB16,((AB16-AA16)*24)-AC16,(((1-AA16)+AB16)*24)-AC16))</f>
        <v>0</v>
      </c>
      <c r="AE16" s="9">
        <f t="shared" si="11"/>
        <v>24</v>
      </c>
      <c r="AF16" s="77">
        <f>IFERROR(VLOOKUP(Vaktplan!$A$55,Vaktplan!$BY$4:$CL$35,86-AM69,FALSE),0)</f>
        <v>0</v>
      </c>
      <c r="AG16" s="77">
        <f>IFERROR(VLOOKUP(Vaktplan!$A$55,Vaktplan!$BY$4:$CL$35,86-AL69,FALSE),0)</f>
        <v>0</v>
      </c>
      <c r="AH16" s="9">
        <f>IFERROR(VLOOKUP(Vaktplan!$A$55,Vaktplan!$BY$4:$CL$35,89-$AM69,FALSE),0)</f>
        <v>0</v>
      </c>
      <c r="AI16" s="9">
        <f>IF(AND(AF16=0,AG16=0),0,IF(AF16&lt;AG16,((AG16-AF16)*24)-AH16,(((1-AF16)+AG16)*24)-AH16))</f>
        <v>0</v>
      </c>
      <c r="AJ16" s="9">
        <f t="shared" si="13"/>
        <v>24</v>
      </c>
      <c r="AK16" s="9">
        <f t="shared" si="1"/>
        <v>0</v>
      </c>
      <c r="AL16" s="92"/>
      <c r="AM16" s="10"/>
    </row>
    <row r="17" spans="1:43" ht="13" x14ac:dyDescent="0.25">
      <c r="A17" s="7">
        <v>12</v>
      </c>
      <c r="B17" s="77">
        <f>IFERROR(VLOOKUP(Vaktplan!$A$55,Vaktplan!$BZ$4:$CL$35,87-AH70,FALSE),0)</f>
        <v>0</v>
      </c>
      <c r="C17" s="77">
        <f>IFERROR(VLOOKUP(Vaktplan!$A$55,Vaktplan!$BZ$4:$CL$35,87-AG70,FALSE),0)</f>
        <v>0</v>
      </c>
      <c r="D17" s="9">
        <f>IFERROR(VLOOKUP(Vaktplan!$A$55,Vaktplan!$BZ$4:$CL$35,89-AG70,FALSE),0)</f>
        <v>0</v>
      </c>
      <c r="E17" s="9">
        <f t="shared" si="16"/>
        <v>0</v>
      </c>
      <c r="F17" s="9">
        <f t="shared" si="2"/>
        <v>24</v>
      </c>
      <c r="G17" s="77">
        <f>IFERROR(VLOOKUP(Vaktplan!$A$55,Vaktplan!$CA$4:$CL$35,86-AH70,FALSE),0)</f>
        <v>0</v>
      </c>
      <c r="H17" s="77">
        <f>IFERROR(VLOOKUP(Vaktplan!$A$55,Vaktplan!$CA$4:$CL$35,86-AG70,FALSE),0)</f>
        <v>0</v>
      </c>
      <c r="I17" s="9">
        <f>IFERROR(VLOOKUP(Vaktplan!$A$55,Vaktplan!$CA$4:$CL$35,89-$AH70,FALSE),0)</f>
        <v>0</v>
      </c>
      <c r="J17" s="9">
        <f t="shared" si="3"/>
        <v>0</v>
      </c>
      <c r="K17" s="9">
        <f t="shared" si="4"/>
        <v>24</v>
      </c>
      <c r="L17" s="77">
        <f>IFERROR(VLOOKUP(Vaktplan!$A$55,Vaktplan!$CB$4:$CL$35,86-AI70,FALSE),0)</f>
        <v>0</v>
      </c>
      <c r="M17" s="77">
        <f>IFERROR(VLOOKUP(Vaktplan!$A$55,Vaktplan!$CB$4:$CL$35,86-AH70,FALSE),0)</f>
        <v>0</v>
      </c>
      <c r="N17" s="9">
        <f>IFERROR(VLOOKUP(Vaktplan!$A$55,Vaktplan!$CB$4:$CL$35,89-$AI70,FALSE),0)</f>
        <v>0</v>
      </c>
      <c r="O17" s="9">
        <f t="shared" si="5"/>
        <v>0</v>
      </c>
      <c r="P17" s="9">
        <f t="shared" si="6"/>
        <v>24</v>
      </c>
      <c r="Q17" s="77">
        <f>IFERROR(VLOOKUP(Vaktplan!$A$55,Vaktplan!$CC$4:$CL$35,86-AJ70,FALSE),0)</f>
        <v>0</v>
      </c>
      <c r="R17" s="77">
        <f>IFERROR(VLOOKUP(Vaktplan!$A$55,Vaktplan!$CC$4:$CL$35,86-AI70,FALSE),0)</f>
        <v>0</v>
      </c>
      <c r="S17" s="9">
        <f>IFERROR(VLOOKUP(Vaktplan!$A$55,Vaktplan!$CC$4:$CL$35,89-$AJ70,FALSE),0)</f>
        <v>0</v>
      </c>
      <c r="T17" s="9">
        <f t="shared" si="0"/>
        <v>0</v>
      </c>
      <c r="U17" s="9">
        <f t="shared" si="7"/>
        <v>24</v>
      </c>
      <c r="V17" s="77">
        <f>IFERROR(VLOOKUP(Vaktplan!$A$55,Vaktplan!$CD$4:$CL$35,86-AK70,FALSE),0)</f>
        <v>0</v>
      </c>
      <c r="W17" s="77">
        <f>IFERROR(VLOOKUP(Vaktplan!$A$55,Vaktplan!$CD$4:$CL$35,86-AJ70,FALSE),0)</f>
        <v>0</v>
      </c>
      <c r="X17" s="9">
        <f>IFERROR(VLOOKUP(Vaktplan!$A$55,Vaktplan!$CD$4:$CL$35,89-$AK70,FALSE),0)</f>
        <v>0</v>
      </c>
      <c r="Y17" s="9">
        <f>IF(AND(V17=0,W17=0),0,IF(V17&lt;W17,((W17-V17)*24)-X17,(((1-V17)+W17)*24)-X17))</f>
        <v>0</v>
      </c>
      <c r="Z17" s="9">
        <f t="shared" si="9"/>
        <v>24</v>
      </c>
      <c r="AA17" s="77">
        <f>IFERROR(VLOOKUP(Vaktplan!$A$55,Vaktplan!$CE$4:$CL$35,86-AL70,FALSE),0)</f>
        <v>0</v>
      </c>
      <c r="AB17" s="77">
        <f>IFERROR(VLOOKUP(Vaktplan!$A$55,Vaktplan!$CE$4:$CL$35,86-AK70,FALSE),0)</f>
        <v>0</v>
      </c>
      <c r="AC17" s="9">
        <f>IFERROR(VLOOKUP(Vaktplan!$A$55,Vaktplan!$CE$4:$FCE$35,89-$AL70,FALSE),0)</f>
        <v>0</v>
      </c>
      <c r="AD17" s="9">
        <f>IF(AND(AA17=0,AB17=0),0,IF(AA17&lt;AB17,((AB17-AA17)*24)-AC17,(((1-AA17)+AB17)*24)-AC17))</f>
        <v>0</v>
      </c>
      <c r="AE17" s="9">
        <f t="shared" si="11"/>
        <v>24</v>
      </c>
      <c r="AF17" s="77">
        <f>IFERROR(VLOOKUP(Vaktplan!$A$55,Vaktplan!$CF$4:$CL$35,86-AM70,FALSE),0)</f>
        <v>0</v>
      </c>
      <c r="AG17" s="77">
        <f>IFERROR(VLOOKUP(Vaktplan!$A$55,Vaktplan!$CF$4:$CL$35,86-AL70,FALSE),0)</f>
        <v>0</v>
      </c>
      <c r="AH17" s="9">
        <f>IFERROR(VLOOKUP(Vaktplan!$A$55,Vaktplan!$CF$4:$CL$35,89-$AM70,FALSE),0)</f>
        <v>0</v>
      </c>
      <c r="AI17" s="9">
        <f>IF(AND(AF17=0,AG17=0),0,IF(AF17&lt;AG17,((AG17-AF17)*24)-AH17,(((1-AF17)+AG17)*24)-AH17))</f>
        <v>0</v>
      </c>
      <c r="AJ17" s="9">
        <f t="shared" si="13"/>
        <v>24</v>
      </c>
      <c r="AK17" s="9">
        <f t="shared" si="1"/>
        <v>0</v>
      </c>
      <c r="AL17" s="92"/>
      <c r="AM17" s="10"/>
    </row>
    <row r="19" spans="1:43" ht="13" x14ac:dyDescent="0.3">
      <c r="A19" s="4" t="s">
        <v>76</v>
      </c>
    </row>
    <row r="20" spans="1:43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3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3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3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3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6" spans="1:43" ht="13" x14ac:dyDescent="0.3">
      <c r="A26" s="4" t="s">
        <v>77</v>
      </c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</row>
    <row r="27" spans="1:43" ht="13" x14ac:dyDescent="0.3">
      <c r="A27" s="3" t="s">
        <v>78</v>
      </c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80" t="s">
        <v>79</v>
      </c>
      <c r="AM27" s="78"/>
      <c r="AN27" s="78"/>
      <c r="AO27" s="78"/>
    </row>
    <row r="28" spans="1:43" ht="13" x14ac:dyDescent="0.3">
      <c r="A28" s="98" t="s">
        <v>36</v>
      </c>
      <c r="B28" s="98"/>
      <c r="C28" s="98"/>
      <c r="D28" s="88"/>
      <c r="E28" s="8">
        <f>E2</f>
        <v>0</v>
      </c>
      <c r="F28" s="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>
        <v>1</v>
      </c>
      <c r="AM28" s="78"/>
      <c r="AN28" s="78"/>
      <c r="AO28" s="78"/>
    </row>
    <row r="29" spans="1:43" ht="13" x14ac:dyDescent="0.3">
      <c r="A29" s="98" t="s">
        <v>80</v>
      </c>
      <c r="B29" s="98"/>
      <c r="C29" s="98"/>
      <c r="D29" s="88"/>
      <c r="E29" s="5">
        <f>E3</f>
        <v>0</v>
      </c>
      <c r="F29" s="5"/>
      <c r="T29" s="10"/>
      <c r="U29" s="10"/>
      <c r="V29" s="10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80" t="s">
        <v>81</v>
      </c>
      <c r="AH29" s="80"/>
      <c r="AI29" s="78"/>
      <c r="AJ29" s="78"/>
      <c r="AK29" s="78"/>
      <c r="AL29" s="78">
        <v>2</v>
      </c>
      <c r="AM29" s="78"/>
      <c r="AN29" s="78"/>
      <c r="AO29" s="78"/>
      <c r="AP29" s="10"/>
      <c r="AQ29" s="10"/>
    </row>
    <row r="30" spans="1:43" ht="13" x14ac:dyDescent="0.3">
      <c r="A30" s="98" t="s">
        <v>82</v>
      </c>
      <c r="B30" s="98"/>
      <c r="C30" s="98"/>
      <c r="D30" s="88"/>
      <c r="T30" s="10"/>
      <c r="U30" s="10"/>
      <c r="V30" s="10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>
        <v>3</v>
      </c>
      <c r="AM30" s="78"/>
      <c r="AN30" s="78"/>
      <c r="AO30" s="78"/>
      <c r="AP30" s="10"/>
      <c r="AQ30" s="10"/>
    </row>
    <row r="31" spans="1:43" ht="13" x14ac:dyDescent="0.3">
      <c r="A31" s="4" t="s">
        <v>83</v>
      </c>
      <c r="B31" s="4" t="s">
        <v>84</v>
      </c>
      <c r="C31" s="4" t="s">
        <v>85</v>
      </c>
      <c r="D31" s="98" t="s">
        <v>86</v>
      </c>
      <c r="E31" s="98"/>
      <c r="F31" s="4" t="s">
        <v>87</v>
      </c>
      <c r="G31" s="4" t="s">
        <v>88</v>
      </c>
      <c r="H31" s="98" t="s">
        <v>27</v>
      </c>
      <c r="I31" s="98"/>
      <c r="J31" s="4" t="s">
        <v>28</v>
      </c>
      <c r="K31" s="4" t="s">
        <v>29</v>
      </c>
      <c r="L31" s="4" t="s">
        <v>30</v>
      </c>
      <c r="M31" s="4" t="s">
        <v>31</v>
      </c>
      <c r="N31" s="98" t="s">
        <v>32</v>
      </c>
      <c r="O31" s="98"/>
      <c r="T31" s="10"/>
      <c r="U31" s="10"/>
      <c r="V31" s="10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80" t="s">
        <v>9</v>
      </c>
      <c r="AH31" s="80"/>
      <c r="AI31" s="78"/>
      <c r="AJ31" s="78"/>
      <c r="AK31" s="78"/>
      <c r="AL31" s="78">
        <v>4</v>
      </c>
      <c r="AM31" s="78"/>
      <c r="AN31" s="78"/>
      <c r="AO31" s="78"/>
      <c r="AP31" s="10"/>
      <c r="AQ31" s="10"/>
    </row>
    <row r="32" spans="1:43" ht="13" x14ac:dyDescent="0.3">
      <c r="A32" s="3">
        <f>AK6</f>
        <v>0</v>
      </c>
      <c r="B32" s="3">
        <f>AK7</f>
        <v>0</v>
      </c>
      <c r="C32" s="3">
        <f>AK8</f>
        <v>0</v>
      </c>
      <c r="D32" s="101">
        <f>AK9</f>
        <v>0</v>
      </c>
      <c r="E32" s="101"/>
      <c r="F32" s="3">
        <f>AK10</f>
        <v>0</v>
      </c>
      <c r="G32" s="3">
        <f>AK11</f>
        <v>0</v>
      </c>
      <c r="H32" s="101">
        <f>AK12</f>
        <v>0</v>
      </c>
      <c r="I32" s="101"/>
      <c r="J32" s="3">
        <f>AK13</f>
        <v>0</v>
      </c>
      <c r="K32" s="3">
        <f>AK14</f>
        <v>0</v>
      </c>
      <c r="L32" s="3">
        <f>AK15</f>
        <v>0</v>
      </c>
      <c r="M32" s="3">
        <f>AK16</f>
        <v>0</v>
      </c>
      <c r="N32" s="101">
        <f>AK17</f>
        <v>0</v>
      </c>
      <c r="O32" s="101"/>
      <c r="T32" s="11" t="s">
        <v>70</v>
      </c>
      <c r="U32" s="10" t="s">
        <v>89</v>
      </c>
      <c r="V32" s="10" t="s">
        <v>90</v>
      </c>
      <c r="W32" s="78" t="s">
        <v>91</v>
      </c>
      <c r="X32" s="78" t="s">
        <v>92</v>
      </c>
      <c r="Y32" s="78" t="s">
        <v>93</v>
      </c>
      <c r="Z32" s="78" t="s">
        <v>94</v>
      </c>
      <c r="AA32" s="78"/>
      <c r="AB32" s="78"/>
      <c r="AC32" s="78"/>
      <c r="AD32" s="78"/>
      <c r="AE32" s="78"/>
      <c r="AF32" s="78"/>
      <c r="AG32" s="78" t="s">
        <v>10</v>
      </c>
      <c r="AH32" s="78"/>
      <c r="AI32" s="79">
        <v>42177</v>
      </c>
      <c r="AJ32" s="79"/>
      <c r="AK32" s="78"/>
      <c r="AL32" s="78">
        <v>5</v>
      </c>
      <c r="AM32" s="78"/>
      <c r="AN32" s="78"/>
      <c r="AO32" s="78"/>
      <c r="AP32" s="10"/>
      <c r="AQ32" s="10"/>
    </row>
    <row r="33" spans="1:43" ht="13" x14ac:dyDescent="0.3">
      <c r="A33" s="98" t="s">
        <v>95</v>
      </c>
      <c r="B33" s="98"/>
      <c r="C33" s="98"/>
      <c r="D33" s="88"/>
      <c r="G33" s="101"/>
      <c r="H33" s="101"/>
      <c r="I33" s="90"/>
      <c r="T33" s="10">
        <v>1</v>
      </c>
      <c r="U33" s="10">
        <f>IF(AND(B6&gt;0,G6&gt;0),0,IF(AND(G6&gt;0),0,F6+K6))</f>
        <v>48</v>
      </c>
      <c r="V33" s="10">
        <f>IF(AND(G6&gt;0,L6&gt;0),0,IF(AND(L6&gt;0),0,K6+P6))</f>
        <v>48</v>
      </c>
      <c r="W33" s="78">
        <f>IF(AND(L6&gt;0,Q6&gt;0),0,IF(AND(Q6&gt;0),0,P6+U6))</f>
        <v>48</v>
      </c>
      <c r="X33" s="78">
        <f>IF(AND(Q6&gt;0,V6&gt;0),0,IF(AND(V6&gt;0),0,U6+Z6))</f>
        <v>48</v>
      </c>
      <c r="Y33" s="78">
        <f>IF(AND(V6&gt;0,AA6&gt;0),0,IF(AND(AA6&gt;0),0,Z6+AE6))</f>
        <v>48</v>
      </c>
      <c r="Z33" s="78">
        <f>IF(AND(AA6&gt;0,AF6&gt;0),0,IF(AND(AF6&gt;0),0,AE6+AJ6))</f>
        <v>48</v>
      </c>
      <c r="AA33" s="78"/>
      <c r="AB33" s="78"/>
      <c r="AC33" s="78"/>
      <c r="AD33" s="78"/>
      <c r="AE33" s="78"/>
      <c r="AF33" s="78"/>
      <c r="AG33" s="78" t="s">
        <v>11</v>
      </c>
      <c r="AH33" s="78"/>
      <c r="AI33" s="79">
        <v>42178</v>
      </c>
      <c r="AJ33" s="79"/>
      <c r="AK33" s="78"/>
      <c r="AL33" s="78">
        <v>6</v>
      </c>
      <c r="AM33" s="78"/>
      <c r="AN33" s="78"/>
      <c r="AO33" s="78"/>
      <c r="AP33" s="10"/>
      <c r="AQ33" s="10"/>
    </row>
    <row r="34" spans="1:43" x14ac:dyDescent="0.25">
      <c r="A34" s="101" t="s">
        <v>96</v>
      </c>
      <c r="B34" s="101"/>
      <c r="C34" s="3">
        <f>(AK6+AK7+AK8+AK9+AK10+AK11+AK12+AK13+AK14+AK15+AK16+AK17)/M1</f>
        <v>0</v>
      </c>
      <c r="T34" s="10">
        <v>2</v>
      </c>
      <c r="U34" s="10">
        <f t="shared" ref="U34:U40" si="17">IF(AND(B7&gt;0,G7&gt;0),0,IF(AND(G7&gt;0),0,F7+K7))</f>
        <v>48</v>
      </c>
      <c r="V34" s="10">
        <f t="shared" ref="V34:V40" si="18">IF(AND(G7&gt;0,L7&gt;0),0,IF(AND(L7&gt;0),0,K7+P7))</f>
        <v>48</v>
      </c>
      <c r="W34" s="78">
        <f t="shared" ref="W34:W44" si="19">IF(AND(L7&gt;0,Q7&gt;0),0,IF(AND(Q7&gt;0),0,P7+U7))</f>
        <v>48</v>
      </c>
      <c r="X34" s="78">
        <f t="shared" ref="X34:X44" si="20">IF(AND(Q7&gt;0,V7&gt;0),0,IF(AND(V7&gt;0),0,U7+Z7))</f>
        <v>48</v>
      </c>
      <c r="Y34" s="78">
        <f t="shared" ref="Y34:Y44" si="21">IF(AND(V7&gt;0,AA7&gt;0),0,IF(AND(AA7&gt;0),0,Z7+AE7))</f>
        <v>48</v>
      </c>
      <c r="Z34" s="78">
        <f t="shared" ref="Z34:Z44" si="22">IF(AND(AA7&gt;0,AF7&gt;0),0,IF(AND(AF7&gt;0),0,AE7+AJ7))</f>
        <v>48</v>
      </c>
      <c r="AA34" s="78"/>
      <c r="AB34" s="78"/>
      <c r="AC34" s="78"/>
      <c r="AD34" s="78"/>
      <c r="AE34" s="78"/>
      <c r="AF34" s="78"/>
      <c r="AG34" s="78" t="s">
        <v>12</v>
      </c>
      <c r="AH34" s="78"/>
      <c r="AI34" s="79">
        <v>42179</v>
      </c>
      <c r="AJ34" s="79"/>
      <c r="AK34" s="78"/>
      <c r="AL34" s="78">
        <v>7</v>
      </c>
      <c r="AM34" s="78"/>
      <c r="AN34" s="78"/>
      <c r="AO34" s="78"/>
      <c r="AP34" s="10"/>
      <c r="AQ34" s="10"/>
    </row>
    <row r="35" spans="1:43" x14ac:dyDescent="0.25">
      <c r="T35" s="10">
        <v>3</v>
      </c>
      <c r="U35" s="10">
        <f t="shared" si="17"/>
        <v>48</v>
      </c>
      <c r="V35" s="10">
        <f t="shared" si="18"/>
        <v>48</v>
      </c>
      <c r="W35" s="78">
        <f t="shared" si="19"/>
        <v>48</v>
      </c>
      <c r="X35" s="78">
        <f t="shared" si="20"/>
        <v>48</v>
      </c>
      <c r="Y35" s="78">
        <f t="shared" si="21"/>
        <v>48</v>
      </c>
      <c r="Z35" s="78">
        <f t="shared" si="22"/>
        <v>48</v>
      </c>
      <c r="AA35" s="78"/>
      <c r="AB35" s="78"/>
      <c r="AC35" s="78"/>
      <c r="AD35" s="78"/>
      <c r="AE35" s="78"/>
      <c r="AF35" s="78"/>
      <c r="AG35" s="78" t="s">
        <v>13</v>
      </c>
      <c r="AH35" s="78"/>
      <c r="AI35" s="79">
        <v>42180</v>
      </c>
      <c r="AJ35" s="79"/>
      <c r="AK35" s="78"/>
      <c r="AL35" s="78">
        <v>8</v>
      </c>
      <c r="AM35" s="78"/>
      <c r="AN35" s="78"/>
      <c r="AO35" s="78"/>
      <c r="AP35" s="78"/>
      <c r="AQ35" s="10"/>
    </row>
    <row r="36" spans="1:43" ht="13" x14ac:dyDescent="0.3">
      <c r="A36" s="98" t="s">
        <v>97</v>
      </c>
      <c r="B36" s="98"/>
      <c r="C36" s="98"/>
      <c r="D36" s="98"/>
      <c r="E36" s="98"/>
      <c r="F36" s="88"/>
      <c r="T36" s="10">
        <v>4</v>
      </c>
      <c r="U36" s="10">
        <f t="shared" si="17"/>
        <v>48</v>
      </c>
      <c r="V36" s="10">
        <f t="shared" si="18"/>
        <v>48</v>
      </c>
      <c r="W36" s="78">
        <f t="shared" si="19"/>
        <v>48</v>
      </c>
      <c r="X36" s="78">
        <f t="shared" si="20"/>
        <v>48</v>
      </c>
      <c r="Y36" s="78">
        <f t="shared" si="21"/>
        <v>48</v>
      </c>
      <c r="Z36" s="78">
        <f t="shared" si="22"/>
        <v>48</v>
      </c>
      <c r="AA36" s="78"/>
      <c r="AB36" s="78"/>
      <c r="AC36" s="78"/>
      <c r="AD36" s="78"/>
      <c r="AE36" s="78"/>
      <c r="AF36" s="78"/>
      <c r="AG36" s="78" t="s">
        <v>14</v>
      </c>
      <c r="AH36" s="78"/>
      <c r="AI36" s="79">
        <v>42181</v>
      </c>
      <c r="AJ36" s="79"/>
      <c r="AK36" s="78"/>
      <c r="AL36" s="3">
        <v>9</v>
      </c>
      <c r="AM36" s="78"/>
      <c r="AN36" s="78"/>
      <c r="AO36" s="78"/>
      <c r="AP36" s="78"/>
      <c r="AQ36" s="10"/>
    </row>
    <row r="37" spans="1:43" x14ac:dyDescent="0.25">
      <c r="A37" s="99" t="e">
        <f>C34/E3</f>
        <v>#DIV/0!</v>
      </c>
      <c r="B37" s="99"/>
      <c r="C37" s="99"/>
      <c r="T37" s="10">
        <v>5</v>
      </c>
      <c r="U37" s="10">
        <f t="shared" si="17"/>
        <v>48</v>
      </c>
      <c r="V37" s="10">
        <f t="shared" si="18"/>
        <v>48</v>
      </c>
      <c r="W37" s="78">
        <f t="shared" si="19"/>
        <v>48</v>
      </c>
      <c r="X37" s="78">
        <f t="shared" si="20"/>
        <v>48</v>
      </c>
      <c r="Y37" s="78">
        <f t="shared" si="21"/>
        <v>48</v>
      </c>
      <c r="Z37" s="78">
        <f t="shared" si="22"/>
        <v>48</v>
      </c>
      <c r="AA37" s="78"/>
      <c r="AB37" s="78"/>
      <c r="AC37" s="78"/>
      <c r="AD37" s="78"/>
      <c r="AE37" s="78"/>
      <c r="AF37" s="78"/>
      <c r="AG37" s="78" t="s">
        <v>15</v>
      </c>
      <c r="AH37" s="78"/>
      <c r="AI37" s="79">
        <v>42182</v>
      </c>
      <c r="AJ37" s="79"/>
      <c r="AK37" s="78"/>
      <c r="AL37" s="3">
        <v>10</v>
      </c>
      <c r="AM37" s="78"/>
      <c r="AN37" s="78"/>
      <c r="AO37" s="78"/>
      <c r="AP37" s="78"/>
      <c r="AQ37" s="10"/>
    </row>
    <row r="38" spans="1:43" x14ac:dyDescent="0.25">
      <c r="T38" s="10">
        <v>6</v>
      </c>
      <c r="U38" s="10">
        <f t="shared" si="17"/>
        <v>48</v>
      </c>
      <c r="V38" s="10">
        <f t="shared" si="18"/>
        <v>48</v>
      </c>
      <c r="W38" s="78">
        <f t="shared" si="19"/>
        <v>48</v>
      </c>
      <c r="X38" s="78">
        <f t="shared" si="20"/>
        <v>48</v>
      </c>
      <c r="Y38" s="78">
        <f t="shared" si="21"/>
        <v>48</v>
      </c>
      <c r="Z38" s="78">
        <f t="shared" si="22"/>
        <v>48</v>
      </c>
      <c r="AA38" s="78"/>
      <c r="AB38" s="78"/>
      <c r="AC38" s="78"/>
      <c r="AD38" s="78"/>
      <c r="AE38" s="78"/>
      <c r="AF38" s="78"/>
      <c r="AG38" s="78" t="s">
        <v>16</v>
      </c>
      <c r="AH38" s="78"/>
      <c r="AI38" s="79">
        <v>42183</v>
      </c>
      <c r="AJ38" s="79"/>
      <c r="AK38" s="78"/>
      <c r="AL38" s="3">
        <v>11</v>
      </c>
      <c r="AM38" s="78"/>
      <c r="AN38" s="78"/>
      <c r="AO38" s="78"/>
      <c r="AP38" s="78"/>
      <c r="AQ38" s="10"/>
    </row>
    <row r="39" spans="1:43" x14ac:dyDescent="0.25">
      <c r="T39" s="10">
        <v>7</v>
      </c>
      <c r="U39" s="10">
        <f t="shared" si="17"/>
        <v>48</v>
      </c>
      <c r="V39" s="10">
        <f t="shared" si="18"/>
        <v>48</v>
      </c>
      <c r="W39" s="78">
        <f t="shared" si="19"/>
        <v>48</v>
      </c>
      <c r="X39" s="78">
        <f t="shared" si="20"/>
        <v>48</v>
      </c>
      <c r="Y39" s="78">
        <f t="shared" si="21"/>
        <v>48</v>
      </c>
      <c r="Z39" s="78">
        <f t="shared" si="22"/>
        <v>48</v>
      </c>
      <c r="AA39" s="78"/>
      <c r="AB39" s="78"/>
      <c r="AC39" s="78"/>
      <c r="AD39" s="78"/>
      <c r="AE39" s="78"/>
      <c r="AF39" s="78"/>
      <c r="AG39" s="100">
        <f>IF(E1=AG32,AI32,IF(E1=AG33,AI33,IF(E1=AG34,AI34,IF(E1=AG35,AI35,IF(E1=AG36,AI36,IF(E1=AG37,AI37,IF(E1=AG38,AI38,AI32)))))))</f>
        <v>42177</v>
      </c>
      <c r="AH39" s="100"/>
      <c r="AI39" s="100"/>
      <c r="AJ39" s="100"/>
      <c r="AK39" s="100"/>
      <c r="AL39" s="3">
        <v>12</v>
      </c>
      <c r="AM39" s="78"/>
      <c r="AN39" s="78"/>
      <c r="AO39" s="78"/>
      <c r="AP39" s="78"/>
      <c r="AQ39" s="10"/>
    </row>
    <row r="40" spans="1:43" ht="13" x14ac:dyDescent="0.3">
      <c r="A40" s="4" t="s">
        <v>98</v>
      </c>
      <c r="T40" s="10">
        <v>8</v>
      </c>
      <c r="U40" s="10">
        <f t="shared" si="17"/>
        <v>48</v>
      </c>
      <c r="V40" s="10">
        <f t="shared" si="18"/>
        <v>48</v>
      </c>
      <c r="W40" s="78">
        <f t="shared" si="19"/>
        <v>48</v>
      </c>
      <c r="X40" s="78">
        <f t="shared" si="20"/>
        <v>48</v>
      </c>
      <c r="Y40" s="78">
        <f t="shared" si="21"/>
        <v>48</v>
      </c>
      <c r="Z40" s="78">
        <f t="shared" si="22"/>
        <v>48</v>
      </c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10"/>
    </row>
    <row r="41" spans="1:43" x14ac:dyDescent="0.25">
      <c r="A41" s="3" t="s">
        <v>99</v>
      </c>
      <c r="T41" s="10"/>
      <c r="U41" s="10"/>
      <c r="V41" s="10"/>
      <c r="W41" s="78">
        <f t="shared" si="19"/>
        <v>48</v>
      </c>
      <c r="X41" s="78">
        <f t="shared" si="20"/>
        <v>48</v>
      </c>
      <c r="Y41" s="78">
        <f t="shared" si="21"/>
        <v>48</v>
      </c>
      <c r="Z41" s="78">
        <f t="shared" si="22"/>
        <v>48</v>
      </c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10"/>
    </row>
    <row r="42" spans="1:43" ht="13" x14ac:dyDescent="0.3">
      <c r="A42" s="3" t="s">
        <v>100</v>
      </c>
      <c r="O42" s="81">
        <v>0.29166666666666669</v>
      </c>
      <c r="P42" s="81">
        <v>0.33333333333333331</v>
      </c>
      <c r="Q42" s="3">
        <f>(P42-O42)*24</f>
        <v>0.99999999999999911</v>
      </c>
      <c r="T42" s="10"/>
      <c r="U42" s="10"/>
      <c r="V42" s="10"/>
      <c r="W42" s="78">
        <f t="shared" si="19"/>
        <v>48</v>
      </c>
      <c r="X42" s="78">
        <f t="shared" si="20"/>
        <v>48</v>
      </c>
      <c r="Y42" s="78">
        <f t="shared" si="21"/>
        <v>48</v>
      </c>
      <c r="Z42" s="78">
        <f t="shared" si="22"/>
        <v>48</v>
      </c>
      <c r="AA42" s="78"/>
      <c r="AB42" s="78"/>
      <c r="AC42" s="78"/>
      <c r="AD42" s="78"/>
      <c r="AE42" s="78"/>
      <c r="AF42" s="78"/>
      <c r="AG42" s="80" t="s">
        <v>101</v>
      </c>
      <c r="AH42" s="80"/>
      <c r="AI42" s="78"/>
      <c r="AJ42" s="78"/>
      <c r="AK42" s="78"/>
      <c r="AL42" s="80" t="s">
        <v>102</v>
      </c>
      <c r="AM42" s="78"/>
      <c r="AN42" s="78"/>
      <c r="AO42" s="78"/>
      <c r="AP42" s="78"/>
      <c r="AQ42" s="10"/>
    </row>
    <row r="43" spans="1:43" x14ac:dyDescent="0.25">
      <c r="T43" s="10"/>
      <c r="U43" s="10"/>
      <c r="V43" s="10"/>
      <c r="W43" s="78">
        <f t="shared" si="19"/>
        <v>48</v>
      </c>
      <c r="X43" s="78">
        <f t="shared" si="20"/>
        <v>48</v>
      </c>
      <c r="Y43" s="78">
        <f t="shared" si="21"/>
        <v>48</v>
      </c>
      <c r="Z43" s="78">
        <f t="shared" si="22"/>
        <v>48</v>
      </c>
      <c r="AA43" s="78"/>
      <c r="AB43" s="78"/>
      <c r="AC43" s="78"/>
      <c r="AD43" s="78"/>
      <c r="AE43" s="78"/>
      <c r="AF43" s="78"/>
      <c r="AG43" s="78">
        <v>33.6</v>
      </c>
      <c r="AH43" s="78"/>
      <c r="AI43" s="78"/>
      <c r="AJ43" s="78"/>
      <c r="AK43" s="78"/>
      <c r="AL43" s="78" t="s">
        <v>103</v>
      </c>
      <c r="AM43" s="78"/>
      <c r="AN43" s="78"/>
      <c r="AO43" s="78"/>
      <c r="AP43" s="78"/>
      <c r="AQ43" s="10"/>
    </row>
    <row r="44" spans="1:43" x14ac:dyDescent="0.25">
      <c r="A44" s="3" t="s">
        <v>104</v>
      </c>
      <c r="T44" s="10"/>
      <c r="U44" s="10"/>
      <c r="V44" s="10"/>
      <c r="W44" s="78">
        <f t="shared" si="19"/>
        <v>48</v>
      </c>
      <c r="X44" s="78">
        <f t="shared" si="20"/>
        <v>48</v>
      </c>
      <c r="Y44" s="78">
        <f t="shared" si="21"/>
        <v>48</v>
      </c>
      <c r="Z44" s="78">
        <f t="shared" si="22"/>
        <v>48</v>
      </c>
      <c r="AA44" s="78"/>
      <c r="AB44" s="78"/>
      <c r="AC44" s="78"/>
      <c r="AD44" s="78"/>
      <c r="AE44" s="78"/>
      <c r="AF44" s="78"/>
      <c r="AG44" s="78">
        <v>35.5</v>
      </c>
      <c r="AH44" s="78"/>
      <c r="AI44" s="78"/>
      <c r="AJ44" s="78"/>
      <c r="AK44" s="78"/>
      <c r="AL44" s="78" t="s">
        <v>105</v>
      </c>
      <c r="AM44" s="78"/>
      <c r="AN44" s="78"/>
      <c r="AO44" s="78"/>
      <c r="AP44" s="78"/>
      <c r="AQ44" s="10"/>
    </row>
    <row r="45" spans="1:43" x14ac:dyDescent="0.25">
      <c r="A45" s="1">
        <v>11</v>
      </c>
      <c r="B45" s="5">
        <f>COUNTIF($F$6:$F$13,"&lt;" &amp; A45)+COUNTIF($K$6:$K$13,"&lt;" &amp; A45)+COUNTIF($P$6:$P$13,"&lt;" &amp; A45)+COUNTIF($U$6:$U$13,"&lt;" &amp; A45)+COUNTIF($Z$6:$Z$13,"&lt;" &amp; A45)+COUNTIF($AE$6:$AE$13,"&lt;" &amp; A45)+COUNTIF($AJ$6:$AJ$13,"&lt;" &amp; A45)</f>
        <v>0</v>
      </c>
      <c r="T45" s="10"/>
      <c r="U45" s="10"/>
      <c r="V45" s="10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>
        <v>37.5</v>
      </c>
      <c r="AH45" s="78"/>
      <c r="AI45" s="78"/>
      <c r="AJ45" s="78"/>
      <c r="AK45" s="78"/>
      <c r="AL45" s="78"/>
      <c r="AM45" s="78"/>
      <c r="AN45" s="78"/>
      <c r="AO45" s="78"/>
      <c r="AP45" s="78"/>
      <c r="AQ45" s="10"/>
    </row>
    <row r="46" spans="1:43" x14ac:dyDescent="0.25">
      <c r="T46" s="10"/>
      <c r="U46" s="10"/>
      <c r="V46" s="10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78"/>
      <c r="AQ46" s="10"/>
    </row>
    <row r="47" spans="1:43" x14ac:dyDescent="0.25">
      <c r="T47" s="10"/>
      <c r="U47" s="10"/>
      <c r="V47" s="10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10"/>
    </row>
    <row r="48" spans="1:43" x14ac:dyDescent="0.25">
      <c r="T48" s="10"/>
      <c r="U48" s="10"/>
      <c r="V48" s="10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78"/>
      <c r="AO48" s="78"/>
      <c r="AP48" s="78"/>
      <c r="AQ48" s="10"/>
    </row>
    <row r="49" spans="1:43" ht="13" x14ac:dyDescent="0.3">
      <c r="A49" s="4" t="s">
        <v>106</v>
      </c>
      <c r="T49" s="10"/>
      <c r="U49" s="10"/>
      <c r="V49" s="10"/>
      <c r="W49" s="78"/>
      <c r="X49" s="78"/>
      <c r="Y49" s="78"/>
      <c r="Z49" s="78"/>
      <c r="AA49" s="78"/>
      <c r="AB49" s="80" t="s">
        <v>107</v>
      </c>
      <c r="AC49" s="80"/>
      <c r="AD49" s="78"/>
      <c r="AE49" s="78"/>
      <c r="AF49" s="78"/>
      <c r="AG49" s="78"/>
      <c r="AH49" s="78"/>
      <c r="AI49" s="78"/>
      <c r="AJ49" s="78"/>
      <c r="AK49" s="78"/>
      <c r="AL49" s="78"/>
      <c r="AM49" s="78"/>
      <c r="AN49" s="78"/>
      <c r="AO49" s="78"/>
      <c r="AP49" s="78"/>
      <c r="AQ49" s="10"/>
    </row>
    <row r="50" spans="1:43" x14ac:dyDescent="0.25">
      <c r="A50" s="3" t="s">
        <v>108</v>
      </c>
      <c r="T50" s="10"/>
      <c r="U50" s="10"/>
      <c r="V50" s="10"/>
      <c r="W50" s="78"/>
      <c r="X50" s="78"/>
      <c r="Y50" s="78"/>
      <c r="Z50" s="78"/>
      <c r="AA50" s="78"/>
      <c r="AB50" s="78" t="s">
        <v>109</v>
      </c>
      <c r="AC50" s="78"/>
      <c r="AD50" s="78"/>
      <c r="AE50" s="78"/>
      <c r="AF50" s="78"/>
      <c r="AG50" s="78"/>
      <c r="AH50" s="78"/>
      <c r="AI50" s="78"/>
      <c r="AJ50" s="78"/>
      <c r="AK50" s="78"/>
      <c r="AL50" s="78"/>
      <c r="AM50" s="78"/>
      <c r="AN50" s="78"/>
      <c r="AO50" s="78"/>
      <c r="AP50" s="78"/>
      <c r="AQ50" s="10"/>
    </row>
    <row r="51" spans="1:43" ht="13" x14ac:dyDescent="0.3">
      <c r="A51" s="4" t="s">
        <v>110</v>
      </c>
      <c r="T51" s="10"/>
      <c r="U51" s="10"/>
      <c r="V51" s="10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  <c r="AN51" s="78"/>
      <c r="AO51" s="78"/>
      <c r="AP51" s="78"/>
      <c r="AQ51" s="10"/>
    </row>
    <row r="52" spans="1:43" x14ac:dyDescent="0.25">
      <c r="A52" s="3" t="s">
        <v>111</v>
      </c>
      <c r="T52" s="10"/>
      <c r="U52" s="10"/>
      <c r="V52" s="10"/>
      <c r="W52" s="78"/>
      <c r="X52" s="78"/>
      <c r="Y52" s="78"/>
      <c r="Z52" s="78"/>
      <c r="AA52" s="78"/>
      <c r="AB52" s="78" t="s">
        <v>112</v>
      </c>
      <c r="AC52" s="78"/>
      <c r="AD52" s="78"/>
      <c r="AE52" s="78"/>
      <c r="AF52" s="78"/>
      <c r="AG52" s="78"/>
      <c r="AH52" s="78"/>
      <c r="AI52" s="78"/>
      <c r="AJ52" s="78"/>
      <c r="AK52" s="78"/>
      <c r="AL52" s="78"/>
      <c r="AM52" s="78"/>
      <c r="AN52" s="78"/>
      <c r="AO52" s="78"/>
      <c r="AP52" s="78"/>
      <c r="AQ52" s="10"/>
    </row>
    <row r="53" spans="1:43" x14ac:dyDescent="0.25">
      <c r="A53" s="3" t="s">
        <v>113</v>
      </c>
      <c r="T53" s="10"/>
      <c r="U53" s="10"/>
      <c r="V53" s="10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78"/>
      <c r="AO53" s="78"/>
      <c r="AP53" s="78"/>
      <c r="AQ53" s="10"/>
    </row>
    <row r="54" spans="1:43" x14ac:dyDescent="0.25">
      <c r="A54" s="3" t="s">
        <v>114</v>
      </c>
      <c r="T54" s="10"/>
      <c r="U54" s="10"/>
      <c r="V54" s="10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78"/>
      <c r="AL54" s="78"/>
      <c r="AM54" s="78"/>
      <c r="AN54" s="78"/>
      <c r="AO54" s="78"/>
      <c r="AP54" s="78"/>
      <c r="AQ54" s="10"/>
    </row>
    <row r="55" spans="1:43" x14ac:dyDescent="0.25">
      <c r="T55" s="10"/>
      <c r="U55" s="10"/>
      <c r="V55" s="10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10"/>
    </row>
    <row r="56" spans="1:43" ht="13" x14ac:dyDescent="0.3">
      <c r="A56" s="4" t="s">
        <v>115</v>
      </c>
      <c r="T56" s="10"/>
      <c r="U56" s="10"/>
      <c r="V56" s="10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78"/>
      <c r="AO56" s="78"/>
      <c r="AP56" s="78"/>
      <c r="AQ56" s="10"/>
    </row>
    <row r="57" spans="1:43" x14ac:dyDescent="0.25">
      <c r="A57" s="3" t="s">
        <v>116</v>
      </c>
      <c r="T57" s="10"/>
      <c r="U57" s="10"/>
      <c r="V57" s="10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/>
      <c r="AO57" s="78"/>
      <c r="AP57" s="78"/>
      <c r="AQ57" s="10"/>
    </row>
    <row r="58" spans="1:43" ht="13" x14ac:dyDescent="0.3">
      <c r="A58" s="4" t="s">
        <v>110</v>
      </c>
      <c r="T58" s="10"/>
      <c r="U58" s="10"/>
      <c r="V58" s="10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 t="s">
        <v>117</v>
      </c>
      <c r="AH58" s="78"/>
      <c r="AI58" s="78"/>
      <c r="AJ58" s="78"/>
      <c r="AK58" s="78"/>
      <c r="AL58" s="78"/>
      <c r="AM58" s="78"/>
      <c r="AN58" s="78"/>
      <c r="AO58" s="78"/>
      <c r="AP58" s="78"/>
      <c r="AQ58" s="10"/>
    </row>
    <row r="59" spans="1:43" x14ac:dyDescent="0.25">
      <c r="A59" s="3" t="s">
        <v>111</v>
      </c>
      <c r="T59" s="10"/>
      <c r="U59" s="10"/>
      <c r="V59" s="10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>
        <v>0</v>
      </c>
      <c r="AH59" s="78">
        <v>1</v>
      </c>
      <c r="AI59" s="78">
        <v>2</v>
      </c>
      <c r="AJ59" s="78">
        <v>3</v>
      </c>
      <c r="AK59" s="78">
        <v>4</v>
      </c>
      <c r="AL59" s="78">
        <v>5</v>
      </c>
      <c r="AM59" s="78">
        <v>6</v>
      </c>
      <c r="AN59" s="78"/>
      <c r="AO59" s="78"/>
      <c r="AP59" s="78"/>
      <c r="AQ59" s="10"/>
    </row>
    <row r="60" spans="1:43" x14ac:dyDescent="0.25">
      <c r="A60" s="3" t="s">
        <v>113</v>
      </c>
      <c r="T60" s="10"/>
      <c r="U60" s="10"/>
      <c r="V60" s="10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>
        <v>7</v>
      </c>
      <c r="AH60" s="78">
        <v>8</v>
      </c>
      <c r="AI60" s="78">
        <v>9</v>
      </c>
      <c r="AJ60" s="78">
        <v>10</v>
      </c>
      <c r="AK60" s="78">
        <v>11</v>
      </c>
      <c r="AL60" s="78">
        <v>12</v>
      </c>
      <c r="AM60" s="78">
        <v>13</v>
      </c>
      <c r="AN60" s="78"/>
      <c r="AO60" s="78"/>
      <c r="AP60" s="78"/>
      <c r="AQ60" s="10"/>
    </row>
    <row r="61" spans="1:43" x14ac:dyDescent="0.25">
      <c r="T61" s="10"/>
      <c r="U61" s="10"/>
      <c r="V61" s="10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>
        <v>14</v>
      </c>
      <c r="AH61" s="78">
        <v>15</v>
      </c>
      <c r="AI61" s="78">
        <v>16</v>
      </c>
      <c r="AJ61" s="78">
        <v>17</v>
      </c>
      <c r="AK61" s="78">
        <v>18</v>
      </c>
      <c r="AL61" s="78">
        <v>19</v>
      </c>
      <c r="AM61" s="78">
        <v>20</v>
      </c>
      <c r="AN61" s="78"/>
      <c r="AO61" s="78"/>
      <c r="AP61" s="78"/>
      <c r="AQ61" s="10"/>
    </row>
    <row r="62" spans="1:43" ht="13" x14ac:dyDescent="0.3">
      <c r="A62" s="4" t="s">
        <v>118</v>
      </c>
      <c r="T62" s="10"/>
      <c r="U62" s="10"/>
      <c r="V62" s="10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>
        <v>21</v>
      </c>
      <c r="AH62" s="78">
        <v>22</v>
      </c>
      <c r="AI62" s="78">
        <v>23</v>
      </c>
      <c r="AJ62" s="78">
        <v>24</v>
      </c>
      <c r="AK62" s="78">
        <v>25</v>
      </c>
      <c r="AL62" s="78">
        <v>26</v>
      </c>
      <c r="AM62" s="78">
        <v>27</v>
      </c>
      <c r="AN62" s="78"/>
      <c r="AO62" s="78"/>
      <c r="AP62" s="78"/>
      <c r="AQ62" s="10"/>
    </row>
    <row r="63" spans="1:43" x14ac:dyDescent="0.25">
      <c r="A63" s="3" t="s">
        <v>119</v>
      </c>
      <c r="T63" s="10"/>
      <c r="U63" s="10"/>
      <c r="V63" s="10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>
        <v>28</v>
      </c>
      <c r="AH63" s="78">
        <v>29</v>
      </c>
      <c r="AI63" s="78">
        <v>30</v>
      </c>
      <c r="AJ63" s="78">
        <v>31</v>
      </c>
      <c r="AK63" s="78">
        <v>32</v>
      </c>
      <c r="AL63" s="78">
        <v>33</v>
      </c>
      <c r="AM63" s="78">
        <v>34</v>
      </c>
      <c r="AN63" s="78"/>
      <c r="AO63" s="78"/>
      <c r="AP63" s="78"/>
      <c r="AQ63" s="10"/>
    </row>
    <row r="64" spans="1:43" x14ac:dyDescent="0.25">
      <c r="A64" s="3" t="s">
        <v>120</v>
      </c>
      <c r="T64" s="10"/>
      <c r="U64" s="10"/>
      <c r="V64" s="10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>
        <v>35</v>
      </c>
      <c r="AH64" s="78">
        <v>36</v>
      </c>
      <c r="AI64" s="78">
        <v>37</v>
      </c>
      <c r="AJ64" s="78">
        <v>38</v>
      </c>
      <c r="AK64" s="78">
        <v>39</v>
      </c>
      <c r="AL64" s="78">
        <v>40</v>
      </c>
      <c r="AM64" s="78">
        <v>41</v>
      </c>
      <c r="AN64" s="78"/>
      <c r="AO64" s="78"/>
      <c r="AP64" s="78"/>
      <c r="AQ64" s="10"/>
    </row>
    <row r="65" spans="1:43" x14ac:dyDescent="0.25">
      <c r="T65" s="10"/>
      <c r="U65" s="10"/>
      <c r="V65" s="10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>
        <v>42</v>
      </c>
      <c r="AH65" s="78">
        <v>43</v>
      </c>
      <c r="AI65" s="78">
        <v>44</v>
      </c>
      <c r="AJ65" s="78">
        <v>45</v>
      </c>
      <c r="AK65" s="78">
        <v>46</v>
      </c>
      <c r="AL65" s="78">
        <v>47</v>
      </c>
      <c r="AM65" s="78">
        <v>48</v>
      </c>
      <c r="AN65" s="78"/>
      <c r="AO65" s="78"/>
      <c r="AP65" s="78"/>
      <c r="AQ65" s="10"/>
    </row>
    <row r="66" spans="1:43" ht="13" x14ac:dyDescent="0.3">
      <c r="A66" s="3" t="s">
        <v>121</v>
      </c>
      <c r="B66" s="4"/>
      <c r="T66" s="10"/>
      <c r="U66" s="10"/>
      <c r="V66" s="10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>
        <v>49</v>
      </c>
      <c r="AH66" s="78">
        <v>50</v>
      </c>
      <c r="AI66" s="78">
        <v>51</v>
      </c>
      <c r="AJ66" s="78">
        <v>52</v>
      </c>
      <c r="AK66" s="78">
        <v>53</v>
      </c>
      <c r="AL66" s="78">
        <v>54</v>
      </c>
      <c r="AM66" s="78">
        <v>55</v>
      </c>
      <c r="AN66" s="78"/>
      <c r="AO66" s="78"/>
      <c r="AP66" s="78"/>
      <c r="AQ66" s="10"/>
    </row>
    <row r="67" spans="1:43" ht="13" x14ac:dyDescent="0.3">
      <c r="A67" s="1">
        <v>9</v>
      </c>
      <c r="B67" s="5">
        <f>COUNTIF($E$6:$E$13,"&gt;" &amp; A67)+COUNTIF($J$6:$J$13,"&gt;" &amp; A67)+COUNTIF($O$6:$O$13,"&gt;" &amp; A67)+COUNTIF($T$6:$T$13,"&gt;" &amp; A67)+COUNTIF($Y$6:$Y$13,"&gt;" &amp; A67)+COUNTIF($AD$6:$AD$13,"&gt;" &amp; A67)+COUNTIF($AI$6:$AI$13,"&gt;" &amp; A67)</f>
        <v>0</v>
      </c>
      <c r="C67" s="3" t="s">
        <v>122</v>
      </c>
      <c r="E67" s="3" t="s">
        <v>123</v>
      </c>
      <c r="H67" s="1" t="s">
        <v>124</v>
      </c>
      <c r="L67" s="3" t="s">
        <v>125</v>
      </c>
      <c r="T67" s="10"/>
      <c r="U67" s="10"/>
      <c r="V67" s="10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>
        <v>56</v>
      </c>
      <c r="AH67" s="78">
        <v>57</v>
      </c>
      <c r="AI67" s="78">
        <v>58</v>
      </c>
      <c r="AJ67" s="78">
        <v>59</v>
      </c>
      <c r="AK67" s="78">
        <v>60</v>
      </c>
      <c r="AL67" s="78">
        <v>61</v>
      </c>
      <c r="AM67" s="78">
        <v>62</v>
      </c>
      <c r="AN67" s="78"/>
      <c r="AO67" s="78"/>
      <c r="AP67" s="78"/>
      <c r="AQ67" s="10"/>
    </row>
    <row r="68" spans="1:43" x14ac:dyDescent="0.25">
      <c r="T68" s="10"/>
      <c r="U68" s="10"/>
      <c r="V68" s="10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>
        <v>63</v>
      </c>
      <c r="AH68" s="78">
        <v>64</v>
      </c>
      <c r="AI68" s="78">
        <v>65</v>
      </c>
      <c r="AJ68" s="78">
        <v>66</v>
      </c>
      <c r="AK68" s="78">
        <v>67</v>
      </c>
      <c r="AL68" s="78">
        <v>68</v>
      </c>
      <c r="AM68" s="78">
        <v>69</v>
      </c>
      <c r="AN68" s="78"/>
      <c r="AO68" s="78"/>
      <c r="AP68" s="78"/>
      <c r="AQ68" s="10"/>
    </row>
    <row r="69" spans="1:43" x14ac:dyDescent="0.25">
      <c r="A69" s="3" t="s">
        <v>126</v>
      </c>
      <c r="T69" s="10"/>
      <c r="U69" s="10"/>
      <c r="V69" s="10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>
        <v>70</v>
      </c>
      <c r="AH69" s="78">
        <v>71</v>
      </c>
      <c r="AI69" s="78">
        <v>72</v>
      </c>
      <c r="AJ69" s="78">
        <v>73</v>
      </c>
      <c r="AK69" s="78">
        <v>74</v>
      </c>
      <c r="AL69" s="78">
        <v>75</v>
      </c>
      <c r="AM69" s="78">
        <v>76</v>
      </c>
      <c r="AN69" s="78"/>
      <c r="AO69" s="78"/>
      <c r="AP69" s="78"/>
      <c r="AQ69" s="10"/>
    </row>
    <row r="70" spans="1:43" x14ac:dyDescent="0.25">
      <c r="A70" s="1">
        <v>20</v>
      </c>
      <c r="B70" s="5">
        <f>COUNTIF($AK$6:$AK$13,"&gt;" &amp; A70)</f>
        <v>0</v>
      </c>
      <c r="C70" s="3" t="s">
        <v>127</v>
      </c>
      <c r="E70" s="3" t="s">
        <v>128</v>
      </c>
      <c r="H70" s="1" t="s">
        <v>124</v>
      </c>
      <c r="T70" s="10"/>
      <c r="U70" s="10"/>
      <c r="V70" s="10"/>
      <c r="W70" s="78"/>
      <c r="X70" s="78"/>
      <c r="Y70" s="78"/>
      <c r="Z70" s="78"/>
      <c r="AA70" s="78"/>
      <c r="AB70" s="78"/>
      <c r="AC70" s="78"/>
      <c r="AD70" s="78"/>
      <c r="AE70" s="78"/>
      <c r="AF70" s="78"/>
      <c r="AG70" s="78">
        <v>77</v>
      </c>
      <c r="AH70" s="78">
        <v>78</v>
      </c>
      <c r="AI70" s="78">
        <v>79</v>
      </c>
      <c r="AJ70" s="78">
        <v>80</v>
      </c>
      <c r="AK70" s="78">
        <v>81</v>
      </c>
      <c r="AL70" s="78">
        <v>82</v>
      </c>
      <c r="AM70" s="78">
        <v>83</v>
      </c>
      <c r="AN70" s="78"/>
      <c r="AO70" s="78"/>
      <c r="AP70" s="78"/>
      <c r="AQ70" s="10"/>
    </row>
    <row r="71" spans="1:43" x14ac:dyDescent="0.25">
      <c r="W71" s="78"/>
      <c r="X71" s="78"/>
      <c r="Y71" s="78"/>
      <c r="Z71" s="78"/>
      <c r="AA71" s="78"/>
      <c r="AB71" s="78"/>
      <c r="AC71" s="78"/>
      <c r="AD71" s="78"/>
      <c r="AE71" s="78"/>
      <c r="AF71" s="78"/>
      <c r="AG71" s="78">
        <v>84</v>
      </c>
      <c r="AH71" s="78">
        <v>85</v>
      </c>
      <c r="AI71" s="78">
        <v>86</v>
      </c>
      <c r="AJ71" s="78">
        <v>87</v>
      </c>
      <c r="AK71" s="78">
        <v>88</v>
      </c>
      <c r="AL71" s="78">
        <v>89</v>
      </c>
      <c r="AM71" s="78">
        <v>90</v>
      </c>
      <c r="AN71" s="78"/>
      <c r="AO71" s="78"/>
      <c r="AP71" s="78"/>
    </row>
    <row r="72" spans="1:43" x14ac:dyDescent="0.25"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  <c r="AL72" s="78"/>
      <c r="AM72" s="78"/>
      <c r="AN72" s="78"/>
      <c r="AO72" s="78"/>
      <c r="AP72" s="78"/>
    </row>
    <row r="73" spans="1:43" x14ac:dyDescent="0.25">
      <c r="W73" s="78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8"/>
      <c r="AK73" s="78"/>
      <c r="AL73" s="78"/>
      <c r="AM73" s="78"/>
      <c r="AN73" s="78"/>
      <c r="AO73" s="78"/>
      <c r="AP73" s="78"/>
    </row>
    <row r="74" spans="1:43" x14ac:dyDescent="0.25"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78"/>
      <c r="AO74" s="78"/>
      <c r="AP74" s="78"/>
    </row>
    <row r="75" spans="1:43" x14ac:dyDescent="0.25"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  <c r="AK75" s="78"/>
      <c r="AL75" s="78"/>
      <c r="AM75" s="78"/>
      <c r="AN75" s="78"/>
      <c r="AO75" s="78"/>
      <c r="AP75" s="78"/>
    </row>
    <row r="76" spans="1:43" x14ac:dyDescent="0.25">
      <c r="W76" s="78"/>
      <c r="X76" s="78"/>
      <c r="Y76" s="78"/>
      <c r="Z76" s="78"/>
      <c r="AA76" s="78"/>
      <c r="AB76" s="78"/>
      <c r="AC76" s="78"/>
      <c r="AD76" s="78"/>
      <c r="AE76" s="78"/>
      <c r="AF76" s="78"/>
      <c r="AG76" s="78"/>
      <c r="AH76" s="78"/>
      <c r="AI76" s="78"/>
      <c r="AJ76" s="78"/>
      <c r="AK76" s="78"/>
      <c r="AL76" s="78"/>
      <c r="AM76" s="78"/>
      <c r="AN76" s="78"/>
      <c r="AO76" s="78"/>
      <c r="AP76" s="78"/>
    </row>
    <row r="77" spans="1:43" x14ac:dyDescent="0.25"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78"/>
      <c r="AK77" s="78"/>
      <c r="AL77" s="78"/>
      <c r="AM77" s="78"/>
      <c r="AN77" s="78"/>
      <c r="AO77" s="78"/>
      <c r="AP77" s="78"/>
    </row>
    <row r="78" spans="1:43" x14ac:dyDescent="0.25">
      <c r="W78" s="78"/>
      <c r="X78" s="78"/>
      <c r="Y78" s="78"/>
      <c r="Z78" s="78"/>
      <c r="AA78" s="78"/>
      <c r="AB78" s="78"/>
      <c r="AC78" s="78"/>
      <c r="AD78" s="78"/>
      <c r="AE78" s="78"/>
      <c r="AF78" s="78"/>
      <c r="AG78" s="78"/>
      <c r="AH78" s="78"/>
      <c r="AI78" s="78"/>
      <c r="AJ78" s="78"/>
      <c r="AK78" s="78"/>
      <c r="AL78" s="78"/>
      <c r="AM78" s="78"/>
      <c r="AN78" s="78"/>
      <c r="AO78" s="78"/>
      <c r="AP78" s="78"/>
    </row>
    <row r="79" spans="1:43" x14ac:dyDescent="0.25">
      <c r="W79" s="78"/>
      <c r="X79" s="78"/>
      <c r="Y79" s="78"/>
      <c r="Z79" s="78"/>
      <c r="AA79" s="78"/>
      <c r="AB79" s="78"/>
      <c r="AC79" s="78"/>
      <c r="AD79" s="78"/>
      <c r="AE79" s="78"/>
      <c r="AF79" s="78"/>
      <c r="AG79" s="78"/>
      <c r="AH79" s="78"/>
      <c r="AI79" s="78"/>
      <c r="AJ79" s="78"/>
      <c r="AK79" s="78"/>
      <c r="AL79" s="78"/>
      <c r="AM79" s="78"/>
      <c r="AN79" s="78"/>
      <c r="AO79" s="78"/>
      <c r="AP79" s="78"/>
    </row>
    <row r="80" spans="1:43" x14ac:dyDescent="0.25">
      <c r="W80" s="78"/>
      <c r="X80" s="78"/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  <c r="AJ80" s="78"/>
      <c r="AK80" s="78"/>
      <c r="AL80" s="78"/>
      <c r="AM80" s="78"/>
      <c r="AN80" s="78"/>
      <c r="AO80" s="78"/>
      <c r="AP80" s="78"/>
    </row>
    <row r="81" spans="1:42" x14ac:dyDescent="0.25"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  <c r="AJ81" s="78"/>
      <c r="AK81" s="78"/>
      <c r="AL81" s="78"/>
      <c r="AM81" s="78"/>
      <c r="AN81" s="78"/>
      <c r="AO81" s="78"/>
      <c r="AP81" s="78"/>
    </row>
    <row r="82" spans="1:42" x14ac:dyDescent="0.25"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8"/>
      <c r="AH82" s="78"/>
      <c r="AI82" s="78"/>
      <c r="AJ82" s="78"/>
      <c r="AK82" s="78"/>
      <c r="AL82" s="78"/>
      <c r="AM82" s="78"/>
      <c r="AN82" s="78"/>
      <c r="AO82" s="78"/>
      <c r="AP82" s="78"/>
    </row>
    <row r="83" spans="1:42" x14ac:dyDescent="0.25"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</row>
    <row r="84" spans="1:42" x14ac:dyDescent="0.25"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</row>
    <row r="85" spans="1:42" x14ac:dyDescent="0.25"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</row>
    <row r="86" spans="1:42" x14ac:dyDescent="0.25"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8"/>
      <c r="AO86" s="78"/>
      <c r="AP86" s="78"/>
    </row>
    <row r="87" spans="1:42" x14ac:dyDescent="0.25"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  <c r="AN87" s="78"/>
      <c r="AO87" s="78"/>
      <c r="AP87" s="78"/>
    </row>
    <row r="95" spans="1:42" ht="13" x14ac:dyDescent="0.3">
      <c r="A95" s="4"/>
    </row>
    <row r="106" spans="1:1" ht="13" x14ac:dyDescent="0.3">
      <c r="A106" s="4"/>
    </row>
  </sheetData>
  <sheetProtection algorithmName="SHA-512" hashValue="3CFHAmQ++tsNZEMa5ZInE8RR2PRiRYcLelv4UWXqXxuCW5b02FsHo4oWHqDBNxdtp+8JdqW5qXofrmcQgVJadA==" saltValue="hfgrKh7JtFXSa7FwJANr5g==" spinCount="100000" sheet="1" objects="1" scenarios="1"/>
  <mergeCells count="27">
    <mergeCell ref="A1:C1"/>
    <mergeCell ref="H1:L1"/>
    <mergeCell ref="A2:C2"/>
    <mergeCell ref="A3:C3"/>
    <mergeCell ref="B4:F4"/>
    <mergeCell ref="G4:J4"/>
    <mergeCell ref="L4:O4"/>
    <mergeCell ref="I2:J2"/>
    <mergeCell ref="Q4:T4"/>
    <mergeCell ref="V4:Y4"/>
    <mergeCell ref="AA4:AD4"/>
    <mergeCell ref="AF4:AI4"/>
    <mergeCell ref="AG39:AK39"/>
    <mergeCell ref="A28:C28"/>
    <mergeCell ref="A29:C29"/>
    <mergeCell ref="A30:C30"/>
    <mergeCell ref="D32:E32"/>
    <mergeCell ref="H32:I32"/>
    <mergeCell ref="A37:C37"/>
    <mergeCell ref="D31:E31"/>
    <mergeCell ref="H31:I31"/>
    <mergeCell ref="A36:E36"/>
    <mergeCell ref="N32:O32"/>
    <mergeCell ref="A33:C33"/>
    <mergeCell ref="G33:H33"/>
    <mergeCell ref="A34:B34"/>
    <mergeCell ref="N31:O31"/>
  </mergeCells>
  <conditionalFormatting sqref="A6:A17">
    <cfRule type="cellIs" dxfId="516" priority="363" operator="equal">
      <formula>0</formula>
    </cfRule>
  </conditionalFormatting>
  <conditionalFormatting sqref="A37">
    <cfRule type="cellIs" dxfId="515" priority="243" operator="notEqual">
      <formula>$E$2</formula>
    </cfRule>
    <cfRule type="cellIs" dxfId="514" priority="244" operator="equal">
      <formula>$E$2</formula>
    </cfRule>
  </conditionalFormatting>
  <conditionalFormatting sqref="A32:D32 F32:H32 C34">
    <cfRule type="cellIs" dxfId="513" priority="241" operator="notEqual">
      <formula>$E$3</formula>
    </cfRule>
    <cfRule type="cellIs" dxfId="512" priority="242" operator="equal">
      <formula>$E$3</formula>
    </cfRule>
  </conditionalFormatting>
  <conditionalFormatting sqref="B6:D17">
    <cfRule type="expression" dxfId="511" priority="112">
      <formula>$A6=0</formula>
    </cfRule>
  </conditionalFormatting>
  <conditionalFormatting sqref="E6:E17">
    <cfRule type="expression" dxfId="510" priority="116">
      <formula>AND($H$67="ja",E6&gt;$A$67)</formula>
    </cfRule>
    <cfRule type="cellIs" dxfId="509" priority="117" operator="greaterThanOrEqual">
      <formula>0</formula>
    </cfRule>
  </conditionalFormatting>
  <conditionalFormatting sqref="F6:F17">
    <cfRule type="cellIs" dxfId="508" priority="31" operator="lessThan">
      <formula>$A$45</formula>
    </cfRule>
    <cfRule type="cellIs" dxfId="507" priority="32" operator="equal">
      <formula>0</formula>
    </cfRule>
    <cfRule type="cellIs" dxfId="506" priority="33" operator="notEqual">
      <formula>0</formula>
    </cfRule>
  </conditionalFormatting>
  <conditionalFormatting sqref="G6:I17">
    <cfRule type="expression" dxfId="505" priority="52">
      <formula>$A6=0</formula>
    </cfRule>
  </conditionalFormatting>
  <conditionalFormatting sqref="J6:J17">
    <cfRule type="expression" dxfId="504" priority="104">
      <formula>AND($H$67="ja",J6&gt;$A$67)</formula>
    </cfRule>
    <cfRule type="cellIs" dxfId="503" priority="105" operator="greaterThanOrEqual">
      <formula>0</formula>
    </cfRule>
  </conditionalFormatting>
  <conditionalFormatting sqref="J32:N32">
    <cfRule type="cellIs" dxfId="502" priority="239" operator="notEqual">
      <formula>$E$3</formula>
    </cfRule>
    <cfRule type="cellIs" dxfId="501" priority="240" operator="equal">
      <formula>$E$3</formula>
    </cfRule>
  </conditionalFormatting>
  <conditionalFormatting sqref="K6:K17">
    <cfRule type="cellIs" dxfId="500" priority="28" operator="lessThan">
      <formula>$A$45</formula>
    </cfRule>
    <cfRule type="cellIs" dxfId="499" priority="29" operator="equal">
      <formula>0</formula>
    </cfRule>
    <cfRule type="cellIs" dxfId="498" priority="30" operator="notEqual">
      <formula>0</formula>
    </cfRule>
  </conditionalFormatting>
  <conditionalFormatting sqref="L6:N17">
    <cfRule type="expression" dxfId="497" priority="48">
      <formula>$A6=0</formula>
    </cfRule>
  </conditionalFormatting>
  <conditionalFormatting sqref="O6:O17">
    <cfRule type="cellIs" dxfId="496" priority="97" operator="greaterThanOrEqual">
      <formula>0</formula>
    </cfRule>
    <cfRule type="expression" dxfId="495" priority="96">
      <formula>AND($H$67="ja",O6&gt;$A$67)</formula>
    </cfRule>
  </conditionalFormatting>
  <conditionalFormatting sqref="P6:P17">
    <cfRule type="cellIs" dxfId="494" priority="22" operator="lessThan">
      <formula>$A$45</formula>
    </cfRule>
    <cfRule type="cellIs" dxfId="493" priority="23" operator="equal">
      <formula>0</formula>
    </cfRule>
    <cfRule type="cellIs" dxfId="492" priority="24" operator="notEqual">
      <formula>0</formula>
    </cfRule>
  </conditionalFormatting>
  <conditionalFormatting sqref="Q6:S17">
    <cfRule type="expression" dxfId="491" priority="47">
      <formula>$A6=0</formula>
    </cfRule>
  </conditionalFormatting>
  <conditionalFormatting sqref="T6:T17">
    <cfRule type="cellIs" dxfId="490" priority="89" operator="greaterThanOrEqual">
      <formula>0</formula>
    </cfRule>
    <cfRule type="expression" dxfId="489" priority="88">
      <formula>AND($H$67="ja",T6&gt;$A$67)</formula>
    </cfRule>
  </conditionalFormatting>
  <conditionalFormatting sqref="U6:U17">
    <cfRule type="cellIs" dxfId="488" priority="17" operator="equal">
      <formula>0</formula>
    </cfRule>
    <cfRule type="cellIs" dxfId="487" priority="16" operator="lessThan">
      <formula>$A$45</formula>
    </cfRule>
    <cfRule type="cellIs" dxfId="486" priority="18" operator="notEqual">
      <formula>0</formula>
    </cfRule>
  </conditionalFormatting>
  <conditionalFormatting sqref="V6:X17">
    <cfRule type="expression" dxfId="485" priority="46">
      <formula>$A6=0</formula>
    </cfRule>
  </conditionalFormatting>
  <conditionalFormatting sqref="Y6:Y17 AD6:AD17 AI6:AI17">
    <cfRule type="expression" dxfId="484" priority="59">
      <formula>AND($H$67="ja",Y6&gt;$A$67)</formula>
    </cfRule>
    <cfRule type="cellIs" dxfId="483" priority="60" operator="greaterThanOrEqual">
      <formula>0</formula>
    </cfRule>
  </conditionalFormatting>
  <conditionalFormatting sqref="Z6:Z17">
    <cfRule type="cellIs" dxfId="482" priority="11" operator="equal">
      <formula>0</formula>
    </cfRule>
    <cfRule type="cellIs" dxfId="481" priority="10" operator="lessThan">
      <formula>$A$45</formula>
    </cfRule>
    <cfRule type="cellIs" dxfId="480" priority="12" operator="notEqual">
      <formula>0</formula>
    </cfRule>
  </conditionalFormatting>
  <conditionalFormatting sqref="AA6:AC17">
    <cfRule type="expression" dxfId="479" priority="43">
      <formula>$A6=0</formula>
    </cfRule>
  </conditionalFormatting>
  <conditionalFormatting sqref="AE6:AE17">
    <cfRule type="cellIs" dxfId="478" priority="5" operator="equal">
      <formula>0</formula>
    </cfRule>
    <cfRule type="cellIs" dxfId="477" priority="4" operator="lessThan">
      <formula>$A$45</formula>
    </cfRule>
    <cfRule type="cellIs" dxfId="476" priority="6" operator="notEqual">
      <formula>0</formula>
    </cfRule>
  </conditionalFormatting>
  <conditionalFormatting sqref="AF6:AH17">
    <cfRule type="expression" dxfId="475" priority="34">
      <formula>$A6=0</formula>
    </cfRule>
  </conditionalFormatting>
  <conditionalFormatting sqref="AJ6:AJ17">
    <cfRule type="cellIs" dxfId="474" priority="3" operator="notEqual">
      <formula>0</formula>
    </cfRule>
    <cfRule type="cellIs" dxfId="473" priority="2" operator="equal">
      <formula>0</formula>
    </cfRule>
    <cfRule type="cellIs" dxfId="472" priority="1" operator="lessThan">
      <formula>$A$45</formula>
    </cfRule>
  </conditionalFormatting>
  <conditionalFormatting sqref="AK6:AK17">
    <cfRule type="expression" dxfId="471" priority="58">
      <formula>AND($H$70="ja",AK6&gt;$A$70)</formula>
    </cfRule>
    <cfRule type="cellIs" dxfId="470" priority="61" operator="greaterThanOrEqual">
      <formula>0</formula>
    </cfRule>
  </conditionalFormatting>
  <dataValidations count="2">
    <dataValidation type="list" showInputMessage="1" showErrorMessage="1" promptTitle="Velg Turnus startdag" prompt="Velg hvilken dag turnusen starte å telle ifra. (Typisk Mandag)" sqref="E1" xr:uid="{00000000-0002-0000-1000-000000000000}">
      <formula1>Ukedager</formula1>
    </dataValidation>
    <dataValidation type="list" allowBlank="1" showInputMessage="1" showErrorMessage="1" sqref="H67 H70" xr:uid="{00000000-0002-0000-1000-000001000000}">
      <formula1>Ja_og_nei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0"/>
  <dimension ref="A1:AQ95"/>
  <sheetViews>
    <sheetView zoomScale="85" zoomScaleNormal="85" workbookViewId="0">
      <pane ySplit="24" topLeftCell="A25" activePane="bottomLeft" state="frozen"/>
      <selection pane="bottomLeft" activeCell="C11" sqref="C11"/>
    </sheetView>
  </sheetViews>
  <sheetFormatPr defaultColWidth="9.08984375" defaultRowHeight="12.5" x14ac:dyDescent="0.25"/>
  <cols>
    <col min="1" max="1" width="10.7265625" style="3" customWidth="1"/>
    <col min="2" max="2" width="7.6328125" style="3" customWidth="1"/>
    <col min="3" max="3" width="7.81640625" style="3" customWidth="1"/>
    <col min="4" max="4" width="4.36328125" style="3" bestFit="1" customWidth="1"/>
    <col min="5" max="6" width="10" style="3" customWidth="1"/>
    <col min="7" max="7" width="7" style="3" customWidth="1"/>
    <col min="8" max="8" width="7.6328125" style="3" customWidth="1"/>
    <col min="9" max="9" width="4.36328125" style="3" bestFit="1" customWidth="1"/>
    <col min="10" max="11" width="10" style="3" customWidth="1"/>
    <col min="12" max="12" width="7.26953125" style="3" customWidth="1"/>
    <col min="13" max="13" width="7.7265625" style="3" customWidth="1"/>
    <col min="14" max="14" width="4.36328125" style="3" bestFit="1" customWidth="1"/>
    <col min="15" max="15" width="10.08984375" style="3" bestFit="1" customWidth="1"/>
    <col min="16" max="16" width="10.08984375" style="3" customWidth="1"/>
    <col min="17" max="17" width="7.6328125" style="3" customWidth="1"/>
    <col min="18" max="18" width="7.7265625" style="3" customWidth="1"/>
    <col min="19" max="19" width="4.36328125" style="3" bestFit="1" customWidth="1"/>
    <col min="20" max="20" width="10.08984375" style="3" bestFit="1" customWidth="1"/>
    <col min="21" max="21" width="10.08984375" style="3" customWidth="1"/>
    <col min="22" max="22" width="8.36328125" style="3" customWidth="1"/>
    <col min="23" max="23" width="8.81640625" style="3" customWidth="1"/>
    <col min="24" max="24" width="4.36328125" style="3" bestFit="1" customWidth="1"/>
    <col min="25" max="26" width="10" style="3" customWidth="1"/>
    <col min="27" max="28" width="7.81640625" style="3" customWidth="1"/>
    <col min="29" max="29" width="4.36328125" style="3" bestFit="1" customWidth="1"/>
    <col min="30" max="31" width="9.7265625" style="3" customWidth="1"/>
    <col min="32" max="32" width="6.81640625" style="3" customWidth="1"/>
    <col min="33" max="33" width="7.6328125" style="3" customWidth="1"/>
    <col min="34" max="34" width="4.36328125" style="3" bestFit="1" customWidth="1"/>
    <col min="35" max="36" width="9.6328125" style="3" customWidth="1"/>
    <col min="37" max="37" width="15.6328125" style="3" bestFit="1" customWidth="1"/>
    <col min="38" max="16384" width="9.08984375" style="3"/>
  </cols>
  <sheetData>
    <row r="1" spans="1:39" ht="13" x14ac:dyDescent="0.3">
      <c r="A1" s="98" t="s">
        <v>66</v>
      </c>
      <c r="B1" s="98"/>
      <c r="C1" s="98"/>
      <c r="D1" s="88"/>
      <c r="E1" s="5" t="str">
        <f>Vaktplan!G38</f>
        <v>mandag</v>
      </c>
      <c r="H1" s="98" t="s">
        <v>67</v>
      </c>
      <c r="I1" s="98"/>
      <c r="J1" s="98"/>
      <c r="K1" s="98"/>
      <c r="L1" s="98"/>
      <c r="M1" s="5">
        <f>Vaktplan!AJ56</f>
        <v>12</v>
      </c>
    </row>
    <row r="2" spans="1:39" ht="13" x14ac:dyDescent="0.3">
      <c r="A2" s="98" t="s">
        <v>36</v>
      </c>
      <c r="B2" s="98"/>
      <c r="C2" s="98"/>
      <c r="D2" s="88"/>
      <c r="E2" s="8">
        <f>Vaktplan!AM56</f>
        <v>0</v>
      </c>
      <c r="I2" s="106"/>
      <c r="J2" s="106"/>
    </row>
    <row r="3" spans="1:39" ht="13" x14ac:dyDescent="0.3">
      <c r="A3" s="98" t="s">
        <v>68</v>
      </c>
      <c r="B3" s="98"/>
      <c r="C3" s="98"/>
      <c r="D3" s="88"/>
      <c r="E3" s="5">
        <f>Vaktplan!AQ56</f>
        <v>0</v>
      </c>
      <c r="F3" s="4" t="s">
        <v>69</v>
      </c>
    </row>
    <row r="4" spans="1:39" ht="13" x14ac:dyDescent="0.3">
      <c r="A4" s="89" t="s">
        <v>70</v>
      </c>
      <c r="B4" s="103" t="str">
        <f>TEXT(AG39,"DDDD")</f>
        <v>Monday</v>
      </c>
      <c r="C4" s="104"/>
      <c r="D4" s="104"/>
      <c r="E4" s="104"/>
      <c r="F4" s="105"/>
      <c r="G4" s="102" t="str">
        <f>TEXT($AG$39+1,"DDDD")</f>
        <v>Tuesday</v>
      </c>
      <c r="H4" s="102"/>
      <c r="I4" s="102"/>
      <c r="J4" s="102"/>
      <c r="K4" s="89"/>
      <c r="L4" s="102" t="str">
        <f>TEXT($AG$39+2,"DDDD")</f>
        <v>Wednesday</v>
      </c>
      <c r="M4" s="102"/>
      <c r="N4" s="102"/>
      <c r="O4" s="102"/>
      <c r="P4" s="89"/>
      <c r="Q4" s="102" t="str">
        <f>TEXT($AG$39+3,"DDDD")</f>
        <v>Thursday</v>
      </c>
      <c r="R4" s="102"/>
      <c r="S4" s="102"/>
      <c r="T4" s="102"/>
      <c r="U4" s="89"/>
      <c r="V4" s="102" t="str">
        <f>TEXT($AG$39+4,"DDDD")</f>
        <v>Friday</v>
      </c>
      <c r="W4" s="102"/>
      <c r="X4" s="102"/>
      <c r="Y4" s="102"/>
      <c r="Z4" s="89"/>
      <c r="AA4" s="102" t="str">
        <f>TEXT($AG$39+5,"DDDD")</f>
        <v>Saturday</v>
      </c>
      <c r="AB4" s="102"/>
      <c r="AC4" s="102"/>
      <c r="AD4" s="102"/>
      <c r="AE4" s="89"/>
      <c r="AF4" s="102" t="str">
        <f>TEXT($AG$39+6,"DDDD")</f>
        <v>Sunday</v>
      </c>
      <c r="AG4" s="102"/>
      <c r="AH4" s="102"/>
      <c r="AI4" s="102"/>
      <c r="AJ4" s="89"/>
      <c r="AK4" s="7" t="s">
        <v>71</v>
      </c>
      <c r="AL4" s="91"/>
    </row>
    <row r="5" spans="1:39" x14ac:dyDescent="0.25">
      <c r="A5" s="6"/>
      <c r="B5" s="6" t="s">
        <v>72</v>
      </c>
      <c r="C5" s="6" t="s">
        <v>73</v>
      </c>
      <c r="D5" s="6" t="s">
        <v>55</v>
      </c>
      <c r="E5" s="6" t="s">
        <v>74</v>
      </c>
      <c r="F5" s="6" t="s">
        <v>75</v>
      </c>
      <c r="G5" s="6" t="s">
        <v>72</v>
      </c>
      <c r="H5" s="6" t="s">
        <v>73</v>
      </c>
      <c r="I5" s="6" t="s">
        <v>55</v>
      </c>
      <c r="J5" s="6" t="s">
        <v>74</v>
      </c>
      <c r="K5" s="6" t="s">
        <v>75</v>
      </c>
      <c r="L5" s="6" t="s">
        <v>72</v>
      </c>
      <c r="M5" s="6" t="s">
        <v>73</v>
      </c>
      <c r="N5" s="6" t="s">
        <v>55</v>
      </c>
      <c r="O5" s="6" t="s">
        <v>74</v>
      </c>
      <c r="P5" s="6" t="s">
        <v>75</v>
      </c>
      <c r="Q5" s="6" t="s">
        <v>72</v>
      </c>
      <c r="R5" s="6" t="s">
        <v>73</v>
      </c>
      <c r="S5" s="6" t="s">
        <v>55</v>
      </c>
      <c r="T5" s="6" t="s">
        <v>74</v>
      </c>
      <c r="U5" s="6" t="s">
        <v>75</v>
      </c>
      <c r="V5" s="6" t="s">
        <v>72</v>
      </c>
      <c r="W5" s="6" t="s">
        <v>73</v>
      </c>
      <c r="X5" s="6" t="s">
        <v>55</v>
      </c>
      <c r="Y5" s="6" t="s">
        <v>74</v>
      </c>
      <c r="Z5" s="6" t="s">
        <v>75</v>
      </c>
      <c r="AA5" s="6" t="s">
        <v>72</v>
      </c>
      <c r="AB5" s="6" t="s">
        <v>73</v>
      </c>
      <c r="AC5" s="6" t="s">
        <v>55</v>
      </c>
      <c r="AD5" s="6" t="s">
        <v>74</v>
      </c>
      <c r="AE5" s="6" t="s">
        <v>75</v>
      </c>
      <c r="AF5" s="6" t="s">
        <v>72</v>
      </c>
      <c r="AG5" s="6" t="s">
        <v>73</v>
      </c>
      <c r="AH5" s="6" t="s">
        <v>55</v>
      </c>
      <c r="AI5" s="6" t="s">
        <v>74</v>
      </c>
      <c r="AJ5" s="6" t="s">
        <v>75</v>
      </c>
      <c r="AK5" s="6"/>
      <c r="AL5" s="91"/>
    </row>
    <row r="6" spans="1:39" ht="13" x14ac:dyDescent="0.25">
      <c r="A6" s="7">
        <f>IF(M1&gt;=1,1,0)</f>
        <v>1</v>
      </c>
      <c r="B6" s="77">
        <f>IFERROR(VLOOKUP(Vaktplan!$A$56,Vaktplan!$A$4:$CL$35,87-AH59,FALSE),0)</f>
        <v>0</v>
      </c>
      <c r="C6" s="77">
        <f>IFERROR(VLOOKUP(Vaktplan!$A$56,Vaktplan!$A$4:$CL$35,87-AG59,FALSE),0)</f>
        <v>0</v>
      </c>
      <c r="D6" s="9">
        <f>IFERROR(VLOOKUP(Vaktplan!$A$56,Vaktplan!$A$4:$CL$35,89-AG59,FALSE),0)</f>
        <v>0</v>
      </c>
      <c r="E6" s="9">
        <f>IF(AND(B6=0,C6=0),0,IF(B6&lt;C6,((C6-B6)*24)-D6,(((1-B6)+C6)*24)-D6))</f>
        <v>0</v>
      </c>
      <c r="F6" s="9">
        <f>IF(AND(C6=0,G6=0),24,IF(C6=0,12+(G6*24),IF(C6&lt;G6,((G6-C6)*24),IF(G6=0,(1-C6+0.5)*24,((1-C6)+G6)*24))))</f>
        <v>24</v>
      </c>
      <c r="G6" s="77">
        <f>IFERROR(VLOOKUP(Vaktplan!$A$56,Vaktplan!$B$4:$CL$35,86-AH59,FALSE),0)</f>
        <v>0</v>
      </c>
      <c r="H6" s="77">
        <f>IFERROR(VLOOKUP(Vaktplan!$A$56,Vaktplan!$B$4:$CL$35,86-AG59,FALSE),0)</f>
        <v>0</v>
      </c>
      <c r="I6" s="9">
        <f>IFERROR(VLOOKUP(Vaktplan!$A$56,Vaktplan!$B$4:$CL$35,89-$AH59,FALSE),0)</f>
        <v>0</v>
      </c>
      <c r="J6" s="9">
        <f>IF(AND(G6=0,H6=0),0,IF(G6&lt;H6,((H6-G6)*24)-I6,(((1-G6)+H6)*24)-I6))</f>
        <v>0</v>
      </c>
      <c r="K6" s="9">
        <f>IF(AND(H6=0,L6=0),24,IF(H6=0,12+(L6*24),IF(H6&lt;L6,((L6-H6)*24),IF(L6=0,(1-H6+0.5)*24,((1-H6)+L6)*24))))</f>
        <v>24</v>
      </c>
      <c r="L6" s="77">
        <f>IFERROR(VLOOKUP(Vaktplan!$A$56,Vaktplan!$C$4:$CL$35,86-AI59,FALSE),0)</f>
        <v>0</v>
      </c>
      <c r="M6" s="77">
        <f>IFERROR(VLOOKUP(Vaktplan!$A$56,Vaktplan!$C$4:$CL$35,86-AH59,FALSE),0)</f>
        <v>0</v>
      </c>
      <c r="N6" s="9">
        <f>IFERROR(VLOOKUP(Vaktplan!$A$56,Vaktplan!$C$4:$CL$35,89-$AI59,FALSE),0)</f>
        <v>0</v>
      </c>
      <c r="O6" s="9">
        <f>IF(AND(L6=0,M6=0),0,IF(L6&lt;M6,((M6-L6)*24)-N6,(((1-L6)+M6)*24)-N6))</f>
        <v>0</v>
      </c>
      <c r="P6" s="9">
        <f>IF(AND(M6=0,Q6=0),24,IF(M6=0,12+(Q6*24),IF(M6&lt;Q6,((Q6-M6)*24),IF(Q6=0,(1-M6+0.5)*24,((1-M6)+Q6)*24))))</f>
        <v>24</v>
      </c>
      <c r="Q6" s="77">
        <f>IFERROR(VLOOKUP(Vaktplan!$A$56,Vaktplan!$D$4:$CL$35,86-AJ59,FALSE),0)</f>
        <v>0</v>
      </c>
      <c r="R6" s="77">
        <f>IFERROR(VLOOKUP(Vaktplan!$A$56,Vaktplan!$D$4:$CL$35,86-AI59,FALSE),0)</f>
        <v>0</v>
      </c>
      <c r="S6" s="9">
        <f>IFERROR(VLOOKUP(Vaktplan!$A$56,Vaktplan!$D$4:$CL$35,89-$AJ59,FALSE),0)</f>
        <v>0</v>
      </c>
      <c r="T6" s="9">
        <f t="shared" ref="T6:T17" si="0">IF(AND(Q6=0,R6=0),0,IF(Q6&lt;R6,((R6-Q6)*24)-S6,(((1-Q6)+R6)*24)-S6))</f>
        <v>0</v>
      </c>
      <c r="U6" s="9">
        <f>IF(AND(R6=0,V6=0),24,IF(R6=0,12+(V6*24),IF(R6&lt;V6,((V6-R6)*24),IF(V6=0,(1-R6+0.5)*24,((1-R6)+V6)*24))))</f>
        <v>24</v>
      </c>
      <c r="V6" s="77">
        <f>IFERROR(VLOOKUP(Vaktplan!$A$56,Vaktplan!$E$4:$CL$35,86-AK59,FALSE),0)</f>
        <v>0</v>
      </c>
      <c r="W6" s="77">
        <f>IFERROR(VLOOKUP(Vaktplan!$A$56,Vaktplan!$E$4:$CL$35,86-AJ59,FALSE),0)</f>
        <v>0</v>
      </c>
      <c r="X6" s="9">
        <f>IFERROR(VLOOKUP(Vaktplan!$A$56,Vaktplan!$E$4:$CL$35,89-$AK59,FALSE),0)</f>
        <v>0</v>
      </c>
      <c r="Y6" s="9">
        <f>IF(AND(V6=0,W6=0),0,IF(V6&lt;W6,((W6-V6)*24)-X6,(((1-V6)+W6)*24)-X6))</f>
        <v>0</v>
      </c>
      <c r="Z6" s="9">
        <f>IF(AND(W6=0,AA6=0),24,IF(W6=0,12+(AA6*24),IF(W6&lt;AA6,((AA6-W6)*24),IF(AA6=0,(1-W6+0.5)*24,((1-W6)+AA6)*24))))</f>
        <v>24</v>
      </c>
      <c r="AA6" s="77">
        <f>IFERROR(VLOOKUP(Vaktplan!$A$56,Vaktplan!$F$4:$CL$35,86-AL59,FALSE),0)</f>
        <v>0</v>
      </c>
      <c r="AB6" s="77">
        <f>IFERROR(VLOOKUP(Vaktplan!$A$56,Vaktplan!$F$4:$CL$35,86-AK59,FALSE),0)</f>
        <v>0</v>
      </c>
      <c r="AC6" s="9">
        <f>IFERROR(VLOOKUP(Vaktplan!$A$56,Vaktplan!$F$4:$CL$35,89-$AL59,FALSE),0)</f>
        <v>0</v>
      </c>
      <c r="AD6" s="9">
        <f>IF(AND(AA6=0,AB6=0),0,IF(AA6&lt;AB6,((AB6-AA6)*24)-AC6,(((1-AA6)+AB6)*24)-AC6))</f>
        <v>0</v>
      </c>
      <c r="AE6" s="9">
        <f>IF(AND(AB6=0,AF6=0),24,IF(AB6=0,12+(AF6*24),IF(AB6&lt;AF6,((AF6-AB6)*24),IF(AF6=0,(1-AB6+0.5)*24,((1-AB6)+AF6)*24))))</f>
        <v>24</v>
      </c>
      <c r="AF6" s="77">
        <f>IFERROR(VLOOKUP(Vaktplan!$A$56,Vaktplan!$G$4:$CL$35,86-AM59,FALSE),0)</f>
        <v>0</v>
      </c>
      <c r="AG6" s="77">
        <f>IFERROR(VLOOKUP(Vaktplan!$A$56,Vaktplan!$G$4:$CL$35,86-AL59,FALSE),0)</f>
        <v>0</v>
      </c>
      <c r="AH6" s="9">
        <f>IFERROR(VLOOKUP(Vaktplan!$A$56,Vaktplan!$G$4:$CL$35,89-$AM59,FALSE),0)</f>
        <v>0</v>
      </c>
      <c r="AI6" s="9">
        <f>IF(AND(AF6=0,AG6=0),0,IF(AF6&lt;AG6,((AG6-AF6)*24)-AH6,(((1-AF6)+AG6)*24)-AH6))</f>
        <v>0</v>
      </c>
      <c r="AJ6" s="9">
        <f>IF($M$1=AL28,IF(AND(AG6=0,B6=0),24,IF(AG6=0,12+($B$6*24),IF(AG6&lt;$B$6,(($B$6-AG6)*24),IF($B$6=0,(1-AG6+1)*24,((1-AG6)+$B$6)*24)))),IF(AND(AG6=0,B7=0),24,IF(AG6=0,12+(B7*24),IF(AG6&lt;B7,((B7-AG6)*24),IF(B7=0,(1-AG6+1)*24,((1-AG6)+B7)*24)))))</f>
        <v>24</v>
      </c>
      <c r="AK6" s="9">
        <f t="shared" ref="AK6:AK17" si="1">E6+J6+O6+T6+Y6+AD6+AI6</f>
        <v>0</v>
      </c>
      <c r="AL6" s="92">
        <f>AJ6</f>
        <v>24</v>
      </c>
      <c r="AM6" s="10">
        <f>AK6</f>
        <v>0</v>
      </c>
    </row>
    <row r="7" spans="1:39" ht="13" x14ac:dyDescent="0.25">
      <c r="A7" s="7">
        <f>IF($M$1&gt;=2,2,0)</f>
        <v>2</v>
      </c>
      <c r="B7" s="77">
        <f>IFERROR(VLOOKUP(Vaktplan!$A$56,Vaktplan!$H$4:$CL$35,87-AH60,FALSE),0)</f>
        <v>0</v>
      </c>
      <c r="C7" s="77">
        <f>IFERROR(VLOOKUP(Vaktplan!$A$56,Vaktplan!$H$4:$CL$35,87-AG60,FALSE),0)</f>
        <v>0</v>
      </c>
      <c r="D7" s="9">
        <f>IFERROR(VLOOKUP(Vaktplan!$A$56,Vaktplan!$H$4:$CL$35,89-AG60,FALSE),0)</f>
        <v>0</v>
      </c>
      <c r="E7" s="9">
        <f>IF(AND(B7=0,C7=0),0,IF(B7&lt;C7,((C7-B7)*24)-D7,(((1-B7)+C7)*24)-D7))</f>
        <v>0</v>
      </c>
      <c r="F7" s="9">
        <f t="shared" ref="F7:F17" si="2">IF(AND(C7=0,G7=0),24,IF(C7=0,12+(G7*24),IF(C7&lt;G7,((G7-C7)*24),IF(G7=0,(1-C7+0.5)*24,((1-C7)+G7)*24))))</f>
        <v>24</v>
      </c>
      <c r="G7" s="77">
        <f>IFERROR(VLOOKUP(Vaktplan!$A$56,Vaktplan!$I$4:$CL$35,86-AH60,FALSE),0)</f>
        <v>0</v>
      </c>
      <c r="H7" s="77">
        <f>IFERROR(VLOOKUP(Vaktplan!$A$56,Vaktplan!$I$4:$CL$35,86-AG60,FALSE),0)</f>
        <v>0</v>
      </c>
      <c r="I7" s="9">
        <f>IFERROR(VLOOKUP(Vaktplan!$A$56,Vaktplan!$I$4:$CL$35,89-$AH60,FALSE),0)</f>
        <v>0</v>
      </c>
      <c r="J7" s="9">
        <f t="shared" ref="J7:J17" si="3">IF(AND(G7=0,H7=0),0,IF(G7&lt;H7,((H7-G7)*24)-I7,(((1-G7)+H7)*24)-I7))</f>
        <v>0</v>
      </c>
      <c r="K7" s="9">
        <f t="shared" ref="K7:K17" si="4">IF(AND(H7=0,L7=0),24,IF(H7=0,12+(L7*24),IF(H7&lt;L7,((L7-H7)*24),IF(L7=0,(1-H7+0.5)*24,((1-H7)+L7)*24))))</f>
        <v>24</v>
      </c>
      <c r="L7" s="77">
        <f>IFERROR(VLOOKUP(Vaktplan!$A$56,Vaktplan!$J$4:$CL$35,86-AI60,FALSE),0)</f>
        <v>0</v>
      </c>
      <c r="M7" s="77">
        <f>IFERROR(VLOOKUP(Vaktplan!$A$56,Vaktplan!$J$4:$CL$35,86-AH60,FALSE),0)</f>
        <v>0</v>
      </c>
      <c r="N7" s="9">
        <f>IFERROR(VLOOKUP(Vaktplan!$A$56,Vaktplan!$J$4:$CL$35,89-$AI60,FALSE),0)</f>
        <v>0</v>
      </c>
      <c r="O7" s="9">
        <f t="shared" ref="O7:O17" si="5">IF(AND(L7=0,M7=0),0,IF(L7&lt;M7,((M7-L7)*24)-N7,(((1-L7)+M7)*24)-N7))</f>
        <v>0</v>
      </c>
      <c r="P7" s="9">
        <f t="shared" ref="P7:P17" si="6">IF(AND(M7=0,Q7=0),24,IF(M7=0,12+(Q7*24),IF(M7&lt;Q7,((Q7-M7)*24),IF(Q7=0,(1-M7+0.5)*24,((1-M7)+Q7)*24))))</f>
        <v>24</v>
      </c>
      <c r="Q7" s="77">
        <f>IFERROR(VLOOKUP(Vaktplan!$A$56,Vaktplan!$K$4:$CL$35,86-AJ60,FALSE),0)</f>
        <v>0</v>
      </c>
      <c r="R7" s="77">
        <f>IFERROR(VLOOKUP(Vaktplan!$A$56,Vaktplan!$K$4:$CL$35,86-AI60,FALSE),0)</f>
        <v>0</v>
      </c>
      <c r="S7" s="9">
        <f>IFERROR(VLOOKUP(Vaktplan!$A$56,Vaktplan!$K$4:$CL$35,89-$AJ60,FALSE),0)</f>
        <v>0</v>
      </c>
      <c r="T7" s="9">
        <f t="shared" si="0"/>
        <v>0</v>
      </c>
      <c r="U7" s="9">
        <f t="shared" ref="U7:U17" si="7">IF(AND(R7=0,V7=0),24,IF(R7=0,12+(V7*24),IF(R7&lt;V7,((V7-R7)*24),IF(V7=0,(1-R7+0.5)*24,((1-R7)+V7)*24))))</f>
        <v>24</v>
      </c>
      <c r="V7" s="77">
        <f>IFERROR(VLOOKUP(Vaktplan!$A$56,Vaktplan!$L$4:$CL$35,86-AK60,FALSE),0)</f>
        <v>0</v>
      </c>
      <c r="W7" s="77">
        <f>IFERROR(VLOOKUP(Vaktplan!$A$56,Vaktplan!$L$4:$CL$35,86-AJ60,FALSE),0)</f>
        <v>0</v>
      </c>
      <c r="X7" s="9">
        <f>IFERROR(VLOOKUP(Vaktplan!$A$56,Vaktplan!$L$4:$CL$35,89-$AK60,FALSE),0)</f>
        <v>0</v>
      </c>
      <c r="Y7" s="9">
        <f t="shared" ref="Y7:Y13" si="8">IF(AND(V7=0,W7=0),0,IF(V7&lt;W7,((W7-V7)*24)-X7,(((1-V7)+W7)*24)-X7))</f>
        <v>0</v>
      </c>
      <c r="Z7" s="9">
        <f t="shared" ref="Z7:Z17" si="9">IF(AND(W7=0,AA7=0),24,IF(W7=0,12+(AA7*24),IF(W7&lt;AA7,((AA7-W7)*24),IF(AA7=0,(1-W7+0.5)*24,((1-W7)+AA7)*24))))</f>
        <v>24</v>
      </c>
      <c r="AA7" s="77">
        <f>IFERROR(VLOOKUP(Vaktplan!$A$56,Vaktplan!$M$4:$CL$35,86-AL60,FALSE),0)</f>
        <v>0</v>
      </c>
      <c r="AB7" s="77">
        <f>IFERROR(VLOOKUP(Vaktplan!$A$56,Vaktplan!$M$4:$CL$35,86-AK60,FALSE),0)</f>
        <v>0</v>
      </c>
      <c r="AC7" s="9">
        <f>IFERROR(VLOOKUP(Vaktplan!$A$56,Vaktplan!$M$4:$CL$35,89-$AL60,FALSE),0)</f>
        <v>0</v>
      </c>
      <c r="AD7" s="9">
        <f t="shared" ref="AD7:AD13" si="10">IF(AND(AA7=0,AB7=0),0,IF(AA7&lt;AB7,((AB7-AA7)*24)-AC7,(((1-AA7)+AB7)*24)-AC7))</f>
        <v>0</v>
      </c>
      <c r="AE7" s="9">
        <f t="shared" ref="AE7:AE17" si="11">IF(AND(AB7=0,AF7=0),24,IF(AB7=0,12+(AF7*24),IF(AB7&lt;AF7,((AF7-AB7)*24),IF(AF7=0,(1-AB7+0.5)*24,((1-AB7)+AF7)*24))))</f>
        <v>24</v>
      </c>
      <c r="AF7" s="77">
        <f>IFERROR(VLOOKUP(Vaktplan!$A$56,Vaktplan!$N$4:$CL$35,86-AM60,FALSE),0)</f>
        <v>0</v>
      </c>
      <c r="AG7" s="77">
        <f>IFERROR(VLOOKUP(Vaktplan!$A$56,Vaktplan!$N$4:$CL$35,86-AL60,FALSE),0)</f>
        <v>0</v>
      </c>
      <c r="AH7" s="9">
        <f>IFERROR(VLOOKUP(Vaktplan!$A$56,Vaktplan!$N$4:$CL$35,89-$AM60,FALSE),0)</f>
        <v>0</v>
      </c>
      <c r="AI7" s="9">
        <f t="shared" ref="AI7:AI13" si="12">IF(AND(AF7=0,AG7=0),0,IF(AF7&lt;AG7,((AG7-AF7)*24)-AH7,(((1-AF7)+AG7)*24)-AH7))</f>
        <v>0</v>
      </c>
      <c r="AJ7" s="9">
        <f t="shared" ref="AJ7:AJ17" si="13">IF($M$1=AL29,IF(AND(AG7=0,B7=0),24,IF(AG7=0,12+($B$6*24),IF(AG7&lt;$B$6,(($B$6-AG7)*24),IF($B$6=0,(1-AG7+1)*24,((1-AG7)+$B$6)*24)))),IF(AND(AG7=0,B8=0),24,IF(AG7=0,12+(B8*24),IF(AG7&lt;B8,((B8-AG7)*24),IF(B8=0,(1-AG7+1)*24,((1-AG7)+B8)*24)))))</f>
        <v>24</v>
      </c>
      <c r="AK7" s="9">
        <f t="shared" si="1"/>
        <v>0</v>
      </c>
      <c r="AL7" s="92">
        <f t="shared" ref="AL7:AL13" si="14">AJ7</f>
        <v>24</v>
      </c>
      <c r="AM7" s="10">
        <f t="shared" ref="AM7:AM13" si="15">AK7</f>
        <v>0</v>
      </c>
    </row>
    <row r="8" spans="1:39" ht="13" x14ac:dyDescent="0.25">
      <c r="A8" s="7">
        <f>IF($M$1&gt;=3,3,0)</f>
        <v>3</v>
      </c>
      <c r="B8" s="77">
        <f>IFERROR(VLOOKUP(Vaktplan!$A$56,Vaktplan!$O$4:$CL$35,87-AH61,FALSE),0)</f>
        <v>0</v>
      </c>
      <c r="C8" s="77">
        <f>IFERROR(VLOOKUP(Vaktplan!$A$56,Vaktplan!$O$4:$CL$35,87-AG61,FALSE),0)</f>
        <v>0</v>
      </c>
      <c r="D8" s="9">
        <f>IFERROR(VLOOKUP(Vaktplan!$A$56,Vaktplan!$O$4:$CL$35,89-AG61,FALSE),0)</f>
        <v>0</v>
      </c>
      <c r="E8" s="9">
        <f t="shared" ref="E8:E17" si="16">IF(AND(B8=0,C8=0),0,IF(B8&lt;C8,((C8-B8)*24)-D8,(((1-B8)+C8)*24)-D8))</f>
        <v>0</v>
      </c>
      <c r="F8" s="9">
        <f t="shared" si="2"/>
        <v>24</v>
      </c>
      <c r="G8" s="77">
        <f>IFERROR(VLOOKUP(Vaktplan!$A$56,Vaktplan!$P$4:$CL$35,86-AH61,FALSE),0)</f>
        <v>0</v>
      </c>
      <c r="H8" s="77">
        <f>IFERROR(VLOOKUP(Vaktplan!$A$56,Vaktplan!$P$4:$CL$35,86-AG61,FALSE),0)</f>
        <v>0</v>
      </c>
      <c r="I8" s="9">
        <f>IFERROR(VLOOKUP(Vaktplan!$A$56,Vaktplan!$P$4:$CL$35,89-$AH61,FALSE),0)</f>
        <v>0</v>
      </c>
      <c r="J8" s="9">
        <f>IF(AND(G8=0,H8=0),0,IF(G8&lt;H8,((H8-G8)*24)-I8,(((1-G8)+H8)*24)-I8))</f>
        <v>0</v>
      </c>
      <c r="K8" s="9">
        <f t="shared" si="4"/>
        <v>24</v>
      </c>
      <c r="L8" s="77">
        <f>IFERROR(VLOOKUP(Vaktplan!$A$56,Vaktplan!$Q$4:$CL$35,86-AI61,FALSE),0)</f>
        <v>0</v>
      </c>
      <c r="M8" s="77">
        <f>IFERROR(VLOOKUP(Vaktplan!$A$56,Vaktplan!$Q$4:$CL$35,86-AH61,FALSE),0)</f>
        <v>0</v>
      </c>
      <c r="N8" s="9">
        <f>IFERROR(VLOOKUP(Vaktplan!$A$56,Vaktplan!$Q$4:$CL$35,89-$AI61,FALSE),0)</f>
        <v>0</v>
      </c>
      <c r="O8" s="9">
        <f t="shared" si="5"/>
        <v>0</v>
      </c>
      <c r="P8" s="9">
        <f t="shared" si="6"/>
        <v>24</v>
      </c>
      <c r="Q8" s="77">
        <f>IFERROR(VLOOKUP(Vaktplan!$A$56,Vaktplan!$R$4:$CL$35,86-AJ61,FALSE),0)</f>
        <v>0</v>
      </c>
      <c r="R8" s="77">
        <f>IFERROR(VLOOKUP(Vaktplan!$A$56,Vaktplan!$R$4:$CL$35,86-AI61,FALSE),0)</f>
        <v>0</v>
      </c>
      <c r="S8" s="9">
        <f>IFERROR(VLOOKUP(Vaktplan!$A$56,Vaktplan!$R$4:$CL$35,89-$AJ61,FALSE),0)</f>
        <v>0</v>
      </c>
      <c r="T8" s="9">
        <f t="shared" si="0"/>
        <v>0</v>
      </c>
      <c r="U8" s="9">
        <f t="shared" si="7"/>
        <v>24</v>
      </c>
      <c r="V8" s="77">
        <f>IFERROR(VLOOKUP(Vaktplan!$A$56,Vaktplan!$S$4:$CL$35,86-AK61,FALSE),0)</f>
        <v>0</v>
      </c>
      <c r="W8" s="77">
        <f>IFERROR(VLOOKUP(Vaktplan!$A$56,Vaktplan!$S$4:$CL$35,86-AJ61,FALSE),0)</f>
        <v>0</v>
      </c>
      <c r="X8" s="9">
        <f>IFERROR(VLOOKUP(Vaktplan!$A$56,Vaktplan!$S$4:$CL$35,89-$AK61,FALSE),0)</f>
        <v>0</v>
      </c>
      <c r="Y8" s="9">
        <f t="shared" si="8"/>
        <v>0</v>
      </c>
      <c r="Z8" s="9">
        <f t="shared" si="9"/>
        <v>24</v>
      </c>
      <c r="AA8" s="77">
        <f>IFERROR(VLOOKUP(Vaktplan!$A$56,Vaktplan!$T$4:$CL$35,86-AL61,FALSE),0)</f>
        <v>0</v>
      </c>
      <c r="AB8" s="77">
        <f>IFERROR(VLOOKUP(Vaktplan!$A$56,Vaktplan!$T$4:$CL$35,86-AK61,FALSE),0)</f>
        <v>0</v>
      </c>
      <c r="AC8" s="9">
        <f>IFERROR(VLOOKUP(Vaktplan!$A$56,Vaktplan!$T$4:$CL$35,89-$AL61,FALSE),0)</f>
        <v>0</v>
      </c>
      <c r="AD8" s="9">
        <f t="shared" si="10"/>
        <v>0</v>
      </c>
      <c r="AE8" s="9">
        <f t="shared" si="11"/>
        <v>24</v>
      </c>
      <c r="AF8" s="77">
        <f>IFERROR(VLOOKUP(Vaktplan!$A$56,Vaktplan!$U$4:$CL$35,86-AM61,FALSE),0)</f>
        <v>0</v>
      </c>
      <c r="AG8" s="77">
        <f>IFERROR(VLOOKUP(Vaktplan!$A$56,Vaktplan!$U$4:$CL$35,86-AL61,FALSE),0)</f>
        <v>0</v>
      </c>
      <c r="AH8" s="9">
        <f>IFERROR(VLOOKUP(Vaktplan!$A$56,Vaktplan!$U$4:$CL$35,89-$AM61,FALSE),0)</f>
        <v>0</v>
      </c>
      <c r="AI8" s="9">
        <f t="shared" si="12"/>
        <v>0</v>
      </c>
      <c r="AJ8" s="9">
        <f t="shared" si="13"/>
        <v>24</v>
      </c>
      <c r="AK8" s="9">
        <f t="shared" si="1"/>
        <v>0</v>
      </c>
      <c r="AL8" s="92">
        <f t="shared" si="14"/>
        <v>24</v>
      </c>
      <c r="AM8" s="10">
        <f t="shared" si="15"/>
        <v>0</v>
      </c>
    </row>
    <row r="9" spans="1:39" ht="13" x14ac:dyDescent="0.25">
      <c r="A9" s="7">
        <f>IF($M$1&gt;=4,4,0)</f>
        <v>4</v>
      </c>
      <c r="B9" s="77">
        <f>IFERROR(VLOOKUP(Vaktplan!$A$56,Vaktplan!$V$4:$CL$35,87-AH62,FALSE),0)</f>
        <v>0</v>
      </c>
      <c r="C9" s="77">
        <f>IFERROR(VLOOKUP(Vaktplan!$A$56,Vaktplan!$V$4:$CL$35,87-AG62,FALSE),0)</f>
        <v>0</v>
      </c>
      <c r="D9" s="9">
        <f>IFERROR(VLOOKUP(Vaktplan!$A$56,Vaktplan!$V$4:$CL$35,89-AG62,FALSE),0)</f>
        <v>0</v>
      </c>
      <c r="E9" s="9">
        <f t="shared" si="16"/>
        <v>0</v>
      </c>
      <c r="F9" s="9">
        <f t="shared" si="2"/>
        <v>24</v>
      </c>
      <c r="G9" s="77">
        <f>IFERROR(VLOOKUP(Vaktplan!$A$56,Vaktplan!$W$4:$CL$35,86-AH62,FALSE),0)</f>
        <v>0</v>
      </c>
      <c r="H9" s="77">
        <f>IFERROR(VLOOKUP(Vaktplan!$A$56,Vaktplan!$W$4:$CL$35,86-AG62,FALSE),0)</f>
        <v>0</v>
      </c>
      <c r="I9" s="9">
        <f>IFERROR(VLOOKUP(Vaktplan!$A$56,Vaktplan!$W$4:$CL$35,89-$AH62,FALSE),0)</f>
        <v>0</v>
      </c>
      <c r="J9" s="9">
        <f t="shared" si="3"/>
        <v>0</v>
      </c>
      <c r="K9" s="9">
        <f t="shared" si="4"/>
        <v>24</v>
      </c>
      <c r="L9" s="77">
        <f>IFERROR(VLOOKUP(Vaktplan!$A$56,Vaktplan!$X$4:$CL$35,86-AI62,FALSE),0)</f>
        <v>0</v>
      </c>
      <c r="M9" s="77">
        <f>IFERROR(VLOOKUP(Vaktplan!$A$56,Vaktplan!$X$4:$CL$35,86-AH62,FALSE),0)</f>
        <v>0</v>
      </c>
      <c r="N9" s="9">
        <f>IFERROR(VLOOKUP(Vaktplan!$A$56,Vaktplan!$X$4:$CL$35,89-$AI62,FALSE),0)</f>
        <v>0</v>
      </c>
      <c r="O9" s="9">
        <f t="shared" si="5"/>
        <v>0</v>
      </c>
      <c r="P9" s="9">
        <f t="shared" si="6"/>
        <v>24</v>
      </c>
      <c r="Q9" s="77">
        <f>IFERROR(VLOOKUP(Vaktplan!$A$56,Vaktplan!$Y$4:$CL$35,86-AJ62,FALSE),0)</f>
        <v>0</v>
      </c>
      <c r="R9" s="77">
        <f>IFERROR(VLOOKUP(Vaktplan!$A$56,Vaktplan!$Y$4:$CL$35,86-AI62,FALSE),0)</f>
        <v>0</v>
      </c>
      <c r="S9" s="9">
        <f>IFERROR(VLOOKUP(Vaktplan!$A$56,Vaktplan!$Y$4:$CL$35,89-$AJ62,FALSE),0)</f>
        <v>0</v>
      </c>
      <c r="T9" s="9">
        <f t="shared" si="0"/>
        <v>0</v>
      </c>
      <c r="U9" s="9">
        <f t="shared" si="7"/>
        <v>24</v>
      </c>
      <c r="V9" s="77">
        <f>IFERROR(VLOOKUP(Vaktplan!$A$56,Vaktplan!$Z$4:$CL$35,86-AK62,FALSE),0)</f>
        <v>0</v>
      </c>
      <c r="W9" s="77">
        <f>IFERROR(VLOOKUP(Vaktplan!$A$56,Vaktplan!$Z$4:$CL$35,86-AJ62,FALSE),0)</f>
        <v>0</v>
      </c>
      <c r="X9" s="9">
        <f>IFERROR(VLOOKUP(Vaktplan!$A$56,Vaktplan!$Z$4:$CL$35,89-$AK62,FALSE),0)</f>
        <v>0</v>
      </c>
      <c r="Y9" s="9">
        <f t="shared" si="8"/>
        <v>0</v>
      </c>
      <c r="Z9" s="9">
        <f t="shared" si="9"/>
        <v>24</v>
      </c>
      <c r="AA9" s="77">
        <f>IFERROR(VLOOKUP(Vaktplan!$A$56,Vaktplan!$AA$4:$CL$35,86-AL62,FALSE),0)</f>
        <v>0</v>
      </c>
      <c r="AB9" s="77">
        <f>IFERROR(VLOOKUP(Vaktplan!$A$56,Vaktplan!$AA$4:$CL$35,86-AK62,FALSE),0)</f>
        <v>0</v>
      </c>
      <c r="AC9" s="9">
        <f>IFERROR(VLOOKUP(Vaktplan!$A$56,Vaktplan!$AA$4:$CL$35,89-$AL62,FALSE),0)</f>
        <v>0</v>
      </c>
      <c r="AD9" s="9">
        <f t="shared" si="10"/>
        <v>0</v>
      </c>
      <c r="AE9" s="9">
        <f t="shared" si="11"/>
        <v>24</v>
      </c>
      <c r="AF9" s="77">
        <f>IFERROR(VLOOKUP(Vaktplan!$A$56,Vaktplan!$AB$4:$CL$35,86-AM62,FALSE),0)</f>
        <v>0</v>
      </c>
      <c r="AG9" s="77">
        <f>IFERROR(VLOOKUP(Vaktplan!$A$56,Vaktplan!$AB$4:$CL$35,86-AL62,FALSE),0)</f>
        <v>0</v>
      </c>
      <c r="AH9" s="9">
        <f>IFERROR(VLOOKUP(Vaktplan!$A$56,Vaktplan!$AB$4:$CL$35,89-$AM62,FALSE),0)</f>
        <v>0</v>
      </c>
      <c r="AI9" s="9">
        <f t="shared" si="12"/>
        <v>0</v>
      </c>
      <c r="AJ9" s="9">
        <f t="shared" si="13"/>
        <v>24</v>
      </c>
      <c r="AK9" s="9">
        <f t="shared" si="1"/>
        <v>0</v>
      </c>
      <c r="AL9" s="92">
        <f t="shared" si="14"/>
        <v>24</v>
      </c>
      <c r="AM9" s="10">
        <f t="shared" si="15"/>
        <v>0</v>
      </c>
    </row>
    <row r="10" spans="1:39" ht="13" x14ac:dyDescent="0.25">
      <c r="A10" s="7">
        <f>IF($M$1&gt;=5,5,0)</f>
        <v>5</v>
      </c>
      <c r="B10" s="77">
        <f>IFERROR(VLOOKUP(Vaktplan!$A$56,Vaktplan!$AC$4:$CL$35,87-AH63,FALSE),0)</f>
        <v>0</v>
      </c>
      <c r="C10" s="77">
        <f>IFERROR(VLOOKUP(Vaktplan!$A$56,Vaktplan!$AC$4:$CL$35,87-AG63,FALSE),0)</f>
        <v>0</v>
      </c>
      <c r="D10" s="9">
        <f>IFERROR(VLOOKUP(Vaktplan!$A$56,Vaktplan!$AC$4:$CL$35,89-AG63,FALSE),0)</f>
        <v>0</v>
      </c>
      <c r="E10" s="9">
        <f t="shared" si="16"/>
        <v>0</v>
      </c>
      <c r="F10" s="9">
        <f t="shared" si="2"/>
        <v>24</v>
      </c>
      <c r="G10" s="77">
        <f>IFERROR(VLOOKUP(Vaktplan!$A$56,Vaktplan!$AD$4:$CL$35,86-AH63,FALSE),0)</f>
        <v>0</v>
      </c>
      <c r="H10" s="77">
        <f>IFERROR(VLOOKUP(Vaktplan!$A$56,Vaktplan!$AD$4:$CL$35,86-AG63,FALSE),0)</f>
        <v>0</v>
      </c>
      <c r="I10" s="9">
        <f>IFERROR(VLOOKUP(Vaktplan!$A$56,Vaktplan!$AD$4:$CL$35,89-$AH63,FALSE),0)</f>
        <v>0</v>
      </c>
      <c r="J10" s="9">
        <f t="shared" si="3"/>
        <v>0</v>
      </c>
      <c r="K10" s="9">
        <f t="shared" si="4"/>
        <v>24</v>
      </c>
      <c r="L10" s="77">
        <f>IFERROR(VLOOKUP(Vaktplan!$A$56,Vaktplan!$AE$4:$CL$35,86-AI63,FALSE),0)</f>
        <v>0</v>
      </c>
      <c r="M10" s="77">
        <f>IFERROR(VLOOKUP(Vaktplan!$A$56,Vaktplan!$AE$4:$CL$35,86-AH63,FALSE),0)</f>
        <v>0</v>
      </c>
      <c r="N10" s="9">
        <f>IFERROR(VLOOKUP(Vaktplan!$A$56,Vaktplan!$AE$4:$CL$35,89-$AI63,FALSE),0)</f>
        <v>0</v>
      </c>
      <c r="O10" s="9">
        <f t="shared" si="5"/>
        <v>0</v>
      </c>
      <c r="P10" s="9">
        <f t="shared" si="6"/>
        <v>24</v>
      </c>
      <c r="Q10" s="77">
        <f>IFERROR(VLOOKUP(Vaktplan!$A$56,Vaktplan!$AF$4:$CL$35,86-AJ63,FALSE),0)</f>
        <v>0</v>
      </c>
      <c r="R10" s="77">
        <f>IFERROR(VLOOKUP(Vaktplan!$A$56,Vaktplan!$AF$4:$CL$35,86-AI63,FALSE),0)</f>
        <v>0</v>
      </c>
      <c r="S10" s="9">
        <f>IFERROR(VLOOKUP(Vaktplan!$A$56,Vaktplan!$AF$4:$CL$35,89-$AJ63,FALSE),0)</f>
        <v>0</v>
      </c>
      <c r="T10" s="9">
        <f t="shared" si="0"/>
        <v>0</v>
      </c>
      <c r="U10" s="9">
        <f t="shared" si="7"/>
        <v>24</v>
      </c>
      <c r="V10" s="77">
        <f>IFERROR(VLOOKUP(Vaktplan!$A$56,Vaktplan!$AG$4:$CL$35,86-AK63,FALSE),0)</f>
        <v>0</v>
      </c>
      <c r="W10" s="77">
        <f>IFERROR(VLOOKUP(Vaktplan!$A$56,Vaktplan!$AG$4:$CL$35,86-AJ63,FALSE),0)</f>
        <v>0</v>
      </c>
      <c r="X10" s="9">
        <f>IFERROR(VLOOKUP(Vaktplan!$A$56,Vaktplan!$AG$4:$CL$35,89-$AK63,FALSE),0)</f>
        <v>0</v>
      </c>
      <c r="Y10" s="9">
        <f t="shared" si="8"/>
        <v>0</v>
      </c>
      <c r="Z10" s="9">
        <f t="shared" si="9"/>
        <v>24</v>
      </c>
      <c r="AA10" s="77">
        <f>IFERROR(VLOOKUP(Vaktplan!$A$56,Vaktplan!$AH$4:$CL$35,86-AL63,FALSE),0)</f>
        <v>0</v>
      </c>
      <c r="AB10" s="77">
        <f>IFERROR(VLOOKUP(Vaktplan!$A$56,Vaktplan!$AH$4:$CL$35,86-AK63,FALSE),0)</f>
        <v>0</v>
      </c>
      <c r="AC10" s="9">
        <f>IFERROR(VLOOKUP(Vaktplan!$A$56,Vaktplan!$AH$4:$CL$35,89-$AL63,FALSE),0)</f>
        <v>0</v>
      </c>
      <c r="AD10" s="9">
        <f t="shared" si="10"/>
        <v>0</v>
      </c>
      <c r="AE10" s="9">
        <f t="shared" si="11"/>
        <v>24</v>
      </c>
      <c r="AF10" s="77">
        <f>IFERROR(VLOOKUP(Vaktplan!$A$56,Vaktplan!$AI$4:$CL$35,86-AM63,FALSE),0)</f>
        <v>0</v>
      </c>
      <c r="AG10" s="77">
        <f>IFERROR(VLOOKUP(Vaktplan!$A$56,Vaktplan!$AI$4:$CL$35,86-AL63,FALSE),0)</f>
        <v>0</v>
      </c>
      <c r="AH10" s="9">
        <f>IFERROR(VLOOKUP(Vaktplan!$A$56,Vaktplan!$AI$4:$CL$35,89-$AM63,FALSE),0)</f>
        <v>0</v>
      </c>
      <c r="AI10" s="9">
        <f t="shared" si="12"/>
        <v>0</v>
      </c>
      <c r="AJ10" s="9">
        <f t="shared" si="13"/>
        <v>24</v>
      </c>
      <c r="AK10" s="9">
        <f t="shared" si="1"/>
        <v>0</v>
      </c>
      <c r="AL10" s="92">
        <f t="shared" si="14"/>
        <v>24</v>
      </c>
      <c r="AM10" s="10">
        <f t="shared" si="15"/>
        <v>0</v>
      </c>
    </row>
    <row r="11" spans="1:39" ht="13" x14ac:dyDescent="0.25">
      <c r="A11" s="7">
        <f>IF($M$1&gt;=6,6,0)</f>
        <v>6</v>
      </c>
      <c r="B11" s="77">
        <f>IFERROR(VLOOKUP(Vaktplan!$A$56,Vaktplan!$AJ$4:$CL$35,87-AH64,FALSE),0)</f>
        <v>0</v>
      </c>
      <c r="C11" s="77">
        <f>IFERROR(VLOOKUP(Vaktplan!$A$56,Vaktplan!$AJ$4:$CL$35,87-AG64,FALSE),0)</f>
        <v>0</v>
      </c>
      <c r="D11" s="9">
        <f>IFERROR(VLOOKUP(Vaktplan!$A$56,Vaktplan!$AJ$4:$CL$35,89-AG64,FALSE),0)</f>
        <v>0</v>
      </c>
      <c r="E11" s="9">
        <f t="shared" si="16"/>
        <v>0</v>
      </c>
      <c r="F11" s="9">
        <f t="shared" si="2"/>
        <v>24</v>
      </c>
      <c r="G11" s="77">
        <f>IFERROR(VLOOKUP(Vaktplan!$A$56,Vaktplan!$AK$4:$CL$35,86-AH64,FALSE),0)</f>
        <v>0</v>
      </c>
      <c r="H11" s="77">
        <f>IFERROR(VLOOKUP(Vaktplan!$A$56,Vaktplan!$AK$4:$CL$35,86-AG64,FALSE),0)</f>
        <v>0</v>
      </c>
      <c r="I11" s="9">
        <f>IFERROR(VLOOKUP(Vaktplan!$A$56,Vaktplan!$AK$4:$CL$35,89-$AH64,FALSE),0)</f>
        <v>0</v>
      </c>
      <c r="J11" s="9">
        <f t="shared" si="3"/>
        <v>0</v>
      </c>
      <c r="K11" s="9">
        <f t="shared" si="4"/>
        <v>24</v>
      </c>
      <c r="L11" s="77">
        <f>IFERROR(VLOOKUP(Vaktplan!$A$56,Vaktplan!$AL$4:$CL$35,86-AI64,FALSE),0)</f>
        <v>0</v>
      </c>
      <c r="M11" s="77">
        <f>IFERROR(VLOOKUP(Vaktplan!$A$56,Vaktplan!$AL$4:$CL$35,86-AH64,FALSE),0)</f>
        <v>0</v>
      </c>
      <c r="N11" s="9">
        <f>IFERROR(VLOOKUP(Vaktplan!$A$56,Vaktplan!$AL$4:$CL$35,89-$AI64,FALSE),0)</f>
        <v>0</v>
      </c>
      <c r="O11" s="9">
        <f t="shared" si="5"/>
        <v>0</v>
      </c>
      <c r="P11" s="9">
        <f t="shared" si="6"/>
        <v>24</v>
      </c>
      <c r="Q11" s="77">
        <f>IFERROR(VLOOKUP(Vaktplan!$A$56,Vaktplan!$AM$4:$CL$35,86-AJ64,FALSE),0)</f>
        <v>0</v>
      </c>
      <c r="R11" s="77">
        <f>IFERROR(VLOOKUP(Vaktplan!$A$56,Vaktplan!$AM$4:$CL$35,86-AI64,FALSE),0)</f>
        <v>0</v>
      </c>
      <c r="S11" s="9">
        <f>IFERROR(VLOOKUP(Vaktplan!$A$56,Vaktplan!$AM$4:$CL$35,89-$AJ64,FALSE),0)</f>
        <v>0</v>
      </c>
      <c r="T11" s="9">
        <f t="shared" si="0"/>
        <v>0</v>
      </c>
      <c r="U11" s="9">
        <f t="shared" si="7"/>
        <v>24</v>
      </c>
      <c r="V11" s="77">
        <f>IFERROR(VLOOKUP(Vaktplan!$A$56,Vaktplan!$AN$4:$CL$35,86-AK64,FALSE),0)</f>
        <v>0</v>
      </c>
      <c r="W11" s="77">
        <f>IFERROR(VLOOKUP(Vaktplan!$A$56,Vaktplan!$AN$4:$CL$35,86-AJ64,FALSE),0)</f>
        <v>0</v>
      </c>
      <c r="X11" s="9">
        <f>IFERROR(VLOOKUP(Vaktplan!$A$56,Vaktplan!$AN$4:$CL$35,89-$AK64,FALSE),0)</f>
        <v>0</v>
      </c>
      <c r="Y11" s="9">
        <f t="shared" si="8"/>
        <v>0</v>
      </c>
      <c r="Z11" s="9">
        <f t="shared" si="9"/>
        <v>24</v>
      </c>
      <c r="AA11" s="77">
        <f>IFERROR(VLOOKUP(Vaktplan!$A$56,Vaktplan!$AO$4:$CL$35,86-AL64,FALSE),0)</f>
        <v>0</v>
      </c>
      <c r="AB11" s="77">
        <f>IFERROR(VLOOKUP(Vaktplan!$A$56,Vaktplan!$AO$4:$CL$35,86-AK64,FALSE),0)</f>
        <v>0</v>
      </c>
      <c r="AC11" s="9">
        <f>IFERROR(VLOOKUP(Vaktplan!$A$56,Vaktplan!$AO$4:$CL$35,89-$AL64,FALSE),0)</f>
        <v>0</v>
      </c>
      <c r="AD11" s="9">
        <f t="shared" si="10"/>
        <v>0</v>
      </c>
      <c r="AE11" s="9">
        <f t="shared" si="11"/>
        <v>24</v>
      </c>
      <c r="AF11" s="77">
        <f>IFERROR(VLOOKUP(Vaktplan!$A$56,Vaktplan!$AP$4:$CL$35,86-AM64,FALSE),0)</f>
        <v>0</v>
      </c>
      <c r="AG11" s="77">
        <f>IFERROR(VLOOKUP(Vaktplan!$A$56,Vaktplan!$AP$4:$CL$35,86-AL64,FALSE),0)</f>
        <v>0</v>
      </c>
      <c r="AH11" s="9">
        <f>IFERROR(VLOOKUP(Vaktplan!$A$56,Vaktplan!$AP$4:$CL$35,89-$AM64,FALSE),0)</f>
        <v>0</v>
      </c>
      <c r="AI11" s="9">
        <f t="shared" si="12"/>
        <v>0</v>
      </c>
      <c r="AJ11" s="9">
        <f t="shared" si="13"/>
        <v>24</v>
      </c>
      <c r="AK11" s="9">
        <f t="shared" si="1"/>
        <v>0</v>
      </c>
      <c r="AL11" s="92">
        <f t="shared" si="14"/>
        <v>24</v>
      </c>
      <c r="AM11" s="10">
        <f t="shared" si="15"/>
        <v>0</v>
      </c>
    </row>
    <row r="12" spans="1:39" ht="13" x14ac:dyDescent="0.25">
      <c r="A12" s="7">
        <f>IF($M$1&gt;=7,7,0)</f>
        <v>7</v>
      </c>
      <c r="B12" s="77">
        <f>IFERROR(VLOOKUP(Vaktplan!$A$56,Vaktplan!$AQ$4:$CL$35,87-AH65,FALSE),0)</f>
        <v>0</v>
      </c>
      <c r="C12" s="77">
        <f>IFERROR(VLOOKUP(Vaktplan!$A$56,Vaktplan!$AQ$4:$CL$35,87-AG65,FALSE),0)</f>
        <v>0</v>
      </c>
      <c r="D12" s="9">
        <f>IFERROR(VLOOKUP(Vaktplan!$A$56,Vaktplan!$AQ$4:$CL$35,89-AG65,FALSE),0)</f>
        <v>0</v>
      </c>
      <c r="E12" s="9">
        <f t="shared" si="16"/>
        <v>0</v>
      </c>
      <c r="F12" s="9">
        <f t="shared" si="2"/>
        <v>24</v>
      </c>
      <c r="G12" s="77">
        <f>IFERROR(VLOOKUP(Vaktplan!$A$56,Vaktplan!$AR$4:$CL$35,86-AH65,FALSE),0)</f>
        <v>0</v>
      </c>
      <c r="H12" s="77">
        <f>IFERROR(VLOOKUP(Vaktplan!$A$56,Vaktplan!$AR$4:$CL$35,86-AG65,FALSE),0)</f>
        <v>0</v>
      </c>
      <c r="I12" s="9">
        <f>IFERROR(VLOOKUP(Vaktplan!$A$56,Vaktplan!$AR$4:$CL$35,89-$AH65,FALSE),0)</f>
        <v>0</v>
      </c>
      <c r="J12" s="9">
        <f t="shared" si="3"/>
        <v>0</v>
      </c>
      <c r="K12" s="9">
        <f t="shared" si="4"/>
        <v>24</v>
      </c>
      <c r="L12" s="77">
        <f>IFERROR(VLOOKUP(Vaktplan!$A$56,Vaktplan!$AS$4:$CL$35,86-AI65,FALSE),0)</f>
        <v>0</v>
      </c>
      <c r="M12" s="77">
        <f>IFERROR(VLOOKUP(Vaktplan!$A$56,Vaktplan!$AS$4:$CL$35,86-AH65,FALSE),0)</f>
        <v>0</v>
      </c>
      <c r="N12" s="9">
        <f>IFERROR(VLOOKUP(Vaktplan!$A$56,Vaktplan!$AS$4:$CL$35,89-$AI65,FALSE),0)</f>
        <v>0</v>
      </c>
      <c r="O12" s="9">
        <f t="shared" si="5"/>
        <v>0</v>
      </c>
      <c r="P12" s="9">
        <f t="shared" si="6"/>
        <v>24</v>
      </c>
      <c r="Q12" s="77">
        <f>IFERROR(VLOOKUP(Vaktplan!$A$56,Vaktplan!$AT$4:$CL$35,86-AJ65,FALSE),0)</f>
        <v>0</v>
      </c>
      <c r="R12" s="77">
        <f>IFERROR(VLOOKUP(Vaktplan!$A$56,Vaktplan!$AT$4:$CL$35,86-AI65,FALSE),0)</f>
        <v>0</v>
      </c>
      <c r="S12" s="9">
        <f>IFERROR(VLOOKUP(Vaktplan!$A$56,Vaktplan!$AT$4:$CL$35,89-$AJ65,FALSE),0)</f>
        <v>0</v>
      </c>
      <c r="T12" s="9">
        <f t="shared" si="0"/>
        <v>0</v>
      </c>
      <c r="U12" s="9">
        <f t="shared" si="7"/>
        <v>24</v>
      </c>
      <c r="V12" s="77">
        <f>IFERROR(VLOOKUP(Vaktplan!$A$56,Vaktplan!$AU$4:$CL$35,86-AK65,FALSE),0)</f>
        <v>0</v>
      </c>
      <c r="W12" s="77">
        <f>IFERROR(VLOOKUP(Vaktplan!$A$56,Vaktplan!$AU$4:$CL$35,86-AJ65,FALSE),0)</f>
        <v>0</v>
      </c>
      <c r="X12" s="9">
        <f>IFERROR(VLOOKUP(Vaktplan!$A$56,Vaktplan!$AU$4:$CL$35,89-$AK65,FALSE),0)</f>
        <v>0</v>
      </c>
      <c r="Y12" s="9">
        <f t="shared" si="8"/>
        <v>0</v>
      </c>
      <c r="Z12" s="9">
        <f t="shared" si="9"/>
        <v>24</v>
      </c>
      <c r="AA12" s="77">
        <f>IFERROR(VLOOKUP(Vaktplan!$A$56,Vaktplan!$AV$4:$CL$35,86-AL65,FALSE),0)</f>
        <v>0</v>
      </c>
      <c r="AB12" s="77">
        <f>IFERROR(VLOOKUP(Vaktplan!$A$56,Vaktplan!$AV$4:$CL$35,86-AK65,FALSE),0)</f>
        <v>0</v>
      </c>
      <c r="AC12" s="9">
        <f>IFERROR(VLOOKUP(Vaktplan!$A$56,Vaktplan!$AV$4:$CL$35,89-$AL65,FALSE),0)</f>
        <v>0</v>
      </c>
      <c r="AD12" s="9">
        <f t="shared" si="10"/>
        <v>0</v>
      </c>
      <c r="AE12" s="9">
        <f t="shared" si="11"/>
        <v>24</v>
      </c>
      <c r="AF12" s="77">
        <f>IFERROR(VLOOKUP(Vaktplan!$A$56,Vaktplan!$AW$4:$CL$35,86-AM65,FALSE),0)</f>
        <v>0</v>
      </c>
      <c r="AG12" s="77">
        <f>IFERROR(VLOOKUP(Vaktplan!$A$56,Vaktplan!$AW$4:$CL$35,86-AL65,FALSE),0)</f>
        <v>0</v>
      </c>
      <c r="AH12" s="9">
        <f>IFERROR(VLOOKUP(Vaktplan!$A$56,Vaktplan!$AW$4:$CL$35,89-$AM65,FALSE),0)</f>
        <v>0</v>
      </c>
      <c r="AI12" s="9">
        <f t="shared" si="12"/>
        <v>0</v>
      </c>
      <c r="AJ12" s="9">
        <f t="shared" si="13"/>
        <v>24</v>
      </c>
      <c r="AK12" s="9">
        <f t="shared" si="1"/>
        <v>0</v>
      </c>
      <c r="AL12" s="92">
        <f t="shared" si="14"/>
        <v>24</v>
      </c>
      <c r="AM12" s="10">
        <f t="shared" si="15"/>
        <v>0</v>
      </c>
    </row>
    <row r="13" spans="1:39" ht="13" x14ac:dyDescent="0.25">
      <c r="A13" s="7">
        <f>IF($M$1&gt;=8,8,0)</f>
        <v>8</v>
      </c>
      <c r="B13" s="77">
        <f>IFERROR(VLOOKUP(Vaktplan!$A$56,Vaktplan!$AX$4:$CL$35,87-AH66,FALSE),0)</f>
        <v>0</v>
      </c>
      <c r="C13" s="77">
        <f>IFERROR(VLOOKUP(Vaktplan!$A$56,Vaktplan!$AX$4:$CL$35,87-AG66,FALSE),0)</f>
        <v>0</v>
      </c>
      <c r="D13" s="9">
        <f>IFERROR(VLOOKUP(Vaktplan!$A$56,Vaktplan!$AX$4:$CL$35,89-AG66,FALSE),0)</f>
        <v>0</v>
      </c>
      <c r="E13" s="9">
        <f t="shared" si="16"/>
        <v>0</v>
      </c>
      <c r="F13" s="9">
        <f t="shared" si="2"/>
        <v>24</v>
      </c>
      <c r="G13" s="77">
        <f>IFERROR(VLOOKUP(Vaktplan!$A$56,Vaktplan!$AY$4:$CL$35,86-AH66,FALSE),0)</f>
        <v>0</v>
      </c>
      <c r="H13" s="77">
        <f>IFERROR(VLOOKUP(Vaktplan!$A$56,Vaktplan!$AY$4:$CL$35,86-AG66,FALSE),0)</f>
        <v>0</v>
      </c>
      <c r="I13" s="9">
        <f>IFERROR(VLOOKUP(Vaktplan!$A$56,Vaktplan!$AY$4:$CL$35,89-$AH66,FALSE),0)</f>
        <v>0</v>
      </c>
      <c r="J13" s="9">
        <f t="shared" si="3"/>
        <v>0</v>
      </c>
      <c r="K13" s="9">
        <f t="shared" si="4"/>
        <v>24</v>
      </c>
      <c r="L13" s="77">
        <f>IFERROR(VLOOKUP(Vaktplan!$A$56,Vaktplan!$AZ$4:$CL$35,86-AI66,FALSE),0)</f>
        <v>0</v>
      </c>
      <c r="M13" s="77">
        <f>IFERROR(VLOOKUP(Vaktplan!$A$56,Vaktplan!$AZ$4:$CL$35,86-AH66,FALSE),0)</f>
        <v>0</v>
      </c>
      <c r="N13" s="9">
        <f>IFERROR(VLOOKUP(Vaktplan!$A$56,Vaktplan!$AZ$4:$CL$35,89-$AI66,FALSE),0)</f>
        <v>0</v>
      </c>
      <c r="O13" s="9">
        <f t="shared" si="5"/>
        <v>0</v>
      </c>
      <c r="P13" s="9">
        <f t="shared" si="6"/>
        <v>24</v>
      </c>
      <c r="Q13" s="77">
        <f>IFERROR(VLOOKUP(Vaktplan!$A$56,Vaktplan!$BA$4:$CL$35,86-AJ66,FALSE),0)</f>
        <v>0</v>
      </c>
      <c r="R13" s="77">
        <f>IFERROR(VLOOKUP(Vaktplan!$A$56,Vaktplan!$BA$4:$CL$35,86-AI66,FALSE),0)</f>
        <v>0</v>
      </c>
      <c r="S13" s="9">
        <f>IFERROR(VLOOKUP(Vaktplan!$A$56,Vaktplan!$BA$4:$CL$35,89-$AJ66,FALSE),0)</f>
        <v>0</v>
      </c>
      <c r="T13" s="9">
        <f t="shared" si="0"/>
        <v>0</v>
      </c>
      <c r="U13" s="9">
        <f t="shared" si="7"/>
        <v>24</v>
      </c>
      <c r="V13" s="77">
        <f>IFERROR(VLOOKUP(Vaktplan!$A$56,Vaktplan!$BB$4:$CL$35,86-AK66,FALSE),0)</f>
        <v>0</v>
      </c>
      <c r="W13" s="77">
        <f>IFERROR(VLOOKUP(Vaktplan!$A$56,Vaktplan!$BB$4:$CL$35,86-AJ66,FALSE),0)</f>
        <v>0</v>
      </c>
      <c r="X13" s="9">
        <f>IFERROR(VLOOKUP(Vaktplan!$A$56,Vaktplan!$BB$4:$CL$35,89-$AK66,FALSE),0)</f>
        <v>0</v>
      </c>
      <c r="Y13" s="9">
        <f t="shared" si="8"/>
        <v>0</v>
      </c>
      <c r="Z13" s="9">
        <f t="shared" si="9"/>
        <v>24</v>
      </c>
      <c r="AA13" s="77">
        <f>IFERROR(VLOOKUP(Vaktplan!$A$56,Vaktplan!$BC$4:$CL$35,86-AL66,FALSE),0)</f>
        <v>0</v>
      </c>
      <c r="AB13" s="77">
        <f>IFERROR(VLOOKUP(Vaktplan!$A$56,Vaktplan!$BC$4:$CL$35,86-AK66,FALSE),0)</f>
        <v>0</v>
      </c>
      <c r="AC13" s="9">
        <f>IFERROR(VLOOKUP(Vaktplan!$A$56,Vaktplan!$BC$4:$CL$35,89-$AL66,FALSE),0)</f>
        <v>0</v>
      </c>
      <c r="AD13" s="9">
        <f t="shared" si="10"/>
        <v>0</v>
      </c>
      <c r="AE13" s="9">
        <f t="shared" si="11"/>
        <v>24</v>
      </c>
      <c r="AF13" s="77">
        <f>IFERROR(VLOOKUP(Vaktplan!$A$56,Vaktplan!$BD$4:$CL$35,86-AM66,FALSE),0)</f>
        <v>0</v>
      </c>
      <c r="AG13" s="77">
        <f>IFERROR(VLOOKUP(Vaktplan!$A$56,Vaktplan!$BD$4:$CL$35,86-AL66,FALSE),0)</f>
        <v>0</v>
      </c>
      <c r="AH13" s="9">
        <f>IFERROR(VLOOKUP(Vaktplan!$A$56,Vaktplan!$BD$4:$CL$35,89-$AM66,FALSE),0)</f>
        <v>0</v>
      </c>
      <c r="AI13" s="9">
        <f t="shared" si="12"/>
        <v>0</v>
      </c>
      <c r="AJ13" s="9">
        <f t="shared" si="13"/>
        <v>24</v>
      </c>
      <c r="AK13" s="9">
        <f t="shared" si="1"/>
        <v>0</v>
      </c>
      <c r="AL13" s="92">
        <f t="shared" si="14"/>
        <v>24</v>
      </c>
      <c r="AM13" s="10">
        <f t="shared" si="15"/>
        <v>0</v>
      </c>
    </row>
    <row r="14" spans="1:39" ht="13" x14ac:dyDescent="0.25">
      <c r="A14" s="7">
        <v>9</v>
      </c>
      <c r="B14" s="77">
        <f>IFERROR(VLOOKUP(Vaktplan!$A$56,Vaktplan!$BE$4:$CL$35,87-AH67,FALSE),0)</f>
        <v>0</v>
      </c>
      <c r="C14" s="77">
        <f>IFERROR(VLOOKUP(Vaktplan!$A$56,Vaktplan!$BE$4:$CL$35,87-AG67,FALSE),0)</f>
        <v>0</v>
      </c>
      <c r="D14" s="9">
        <f>IFERROR(VLOOKUP(Vaktplan!$A$56,Vaktplan!$BE$4:$CL$35,89-AG67,FALSE),0)</f>
        <v>0</v>
      </c>
      <c r="E14" s="9">
        <f t="shared" si="16"/>
        <v>0</v>
      </c>
      <c r="F14" s="9">
        <f t="shared" si="2"/>
        <v>24</v>
      </c>
      <c r="G14" s="77">
        <f>IFERROR(VLOOKUP(Vaktplan!$A$56,Vaktplan!$BF$4:$CL$35,86-AH67,FALSE),0)</f>
        <v>0</v>
      </c>
      <c r="H14" s="77">
        <f>IFERROR(VLOOKUP(Vaktplan!$A$56,Vaktplan!$BF$4:$CL$35,86-AG67,FALSE),0)</f>
        <v>0</v>
      </c>
      <c r="I14" s="9">
        <f>IFERROR(VLOOKUP(Vaktplan!$A$56,Vaktplan!$BF$4:$CL$35,89-$AH67,FALSE),0)</f>
        <v>0</v>
      </c>
      <c r="J14" s="9">
        <f t="shared" si="3"/>
        <v>0</v>
      </c>
      <c r="K14" s="9">
        <f t="shared" si="4"/>
        <v>24</v>
      </c>
      <c r="L14" s="77">
        <f>IFERROR(VLOOKUP(Vaktplan!$A$56,Vaktplan!$BG$4:$CL$35,86-AI67,FALSE),0)</f>
        <v>0</v>
      </c>
      <c r="M14" s="77">
        <f>IFERROR(VLOOKUP(Vaktplan!$A$56,Vaktplan!$BG$4:$CL$35,86-AH67,FALSE),0)</f>
        <v>0</v>
      </c>
      <c r="N14" s="9">
        <f>IFERROR(VLOOKUP(Vaktplan!$A$56,Vaktplan!$BG$4:$CL$35,89-$AI67,FALSE),0)</f>
        <v>0</v>
      </c>
      <c r="O14" s="9">
        <f t="shared" si="5"/>
        <v>0</v>
      </c>
      <c r="P14" s="9">
        <f t="shared" si="6"/>
        <v>24</v>
      </c>
      <c r="Q14" s="77">
        <f>IFERROR(VLOOKUP(Vaktplan!$A$56,Vaktplan!$BH$4:$CL$35,86-AJ67,FALSE),0)</f>
        <v>0</v>
      </c>
      <c r="R14" s="77">
        <f>IFERROR(VLOOKUP(Vaktplan!$A$56,Vaktplan!$BH$4:$CL$35,86-AI67,FALSE),0)</f>
        <v>0</v>
      </c>
      <c r="S14" s="9">
        <f>IFERROR(VLOOKUP(Vaktplan!$A$56,Vaktplan!$BH$4:$CL$35,89-$AJ67,FALSE),0)</f>
        <v>0</v>
      </c>
      <c r="T14" s="9">
        <f t="shared" si="0"/>
        <v>0</v>
      </c>
      <c r="U14" s="9">
        <f t="shared" si="7"/>
        <v>24</v>
      </c>
      <c r="V14" s="77">
        <f>IFERROR(VLOOKUP(Vaktplan!$A$56,Vaktplan!$BI$4:$CL$35,86-AK67,FALSE),0)</f>
        <v>0</v>
      </c>
      <c r="W14" s="77">
        <f>IFERROR(VLOOKUP(Vaktplan!$A$56,Vaktplan!$BI$4:$CL$35,86-AJ67,FALSE),0)</f>
        <v>0</v>
      </c>
      <c r="X14" s="9">
        <f>IFERROR(VLOOKUP(Vaktplan!$A$56,Vaktplan!$BI$4:$CL$35,89-$AK67,FALSE),0)</f>
        <v>0</v>
      </c>
      <c r="Y14" s="9">
        <f>IF(AND(V14=0,W14=0),0,IF(V14&lt;W14,((W14-V14)*24)-X14,(((1-V14)+W14)*24)-X14))</f>
        <v>0</v>
      </c>
      <c r="Z14" s="9">
        <f t="shared" si="9"/>
        <v>24</v>
      </c>
      <c r="AA14" s="77">
        <f>IFERROR(VLOOKUP(Vaktplan!$A$56,Vaktplan!$BJ$4:$CL$35,86-AL67,FALSE),0)</f>
        <v>0</v>
      </c>
      <c r="AB14" s="77">
        <f>IFERROR(VLOOKUP(Vaktplan!$A$56,Vaktplan!$BJ$4:$CL$35,86-AK67,FALSE),0)</f>
        <v>0</v>
      </c>
      <c r="AC14" s="9">
        <f>IFERROR(VLOOKUP(Vaktplan!$A$56,Vaktplan!$BJ$4:$CL$35,89-$AL67,FALSE),0)</f>
        <v>0</v>
      </c>
      <c r="AD14" s="9">
        <f>IF(AND(AA14=0,AB14=0),0,IF(AA14&lt;AB14,((AB14-AA14)*24)-AC14,(((1-AA14)+AB14)*24)-AC14))</f>
        <v>0</v>
      </c>
      <c r="AE14" s="9">
        <f t="shared" si="11"/>
        <v>24</v>
      </c>
      <c r="AF14" s="77">
        <f>IFERROR(VLOOKUP(Vaktplan!$A$56,Vaktplan!$BK$4:$CL$35,86-AM67,FALSE),0)</f>
        <v>0</v>
      </c>
      <c r="AG14" s="77">
        <f>IFERROR(VLOOKUP(Vaktplan!$A$56,Vaktplan!$BK$4:$CL$35,86-AL67,FALSE),0)</f>
        <v>0</v>
      </c>
      <c r="AH14" s="9">
        <f>IFERROR(VLOOKUP(Vaktplan!$A$56,Vaktplan!$BK$4:$CL$35,89-$AM67,FALSE),0)</f>
        <v>0</v>
      </c>
      <c r="AI14" s="9">
        <f>IF(AND(AF14=0,AG14=0),0,IF(AF14&lt;AG14,((AG14-AF14)*24)-AH14,(((1-AF14)+AG14)*24)-AH14))</f>
        <v>0</v>
      </c>
      <c r="AJ14" s="9">
        <f t="shared" si="13"/>
        <v>24</v>
      </c>
      <c r="AK14" s="9">
        <f t="shared" si="1"/>
        <v>0</v>
      </c>
      <c r="AL14" s="92"/>
      <c r="AM14" s="10"/>
    </row>
    <row r="15" spans="1:39" ht="13" x14ac:dyDescent="0.25">
      <c r="A15" s="7">
        <v>10</v>
      </c>
      <c r="B15" s="77">
        <f>IFERROR(VLOOKUP(Vaktplan!$A$56,Vaktplan!$BL$4:$CL$35,87-AH68,FALSE),0)</f>
        <v>0</v>
      </c>
      <c r="C15" s="77">
        <f>IFERROR(VLOOKUP(Vaktplan!$A$56,Vaktplan!$BL$4:$CL$35,87-AG68,FALSE),0)</f>
        <v>0</v>
      </c>
      <c r="D15" s="9">
        <f>IFERROR(VLOOKUP(Vaktplan!$A$56,Vaktplan!$BL$4:$CL$35,89-AG68,FALSE),0)</f>
        <v>0</v>
      </c>
      <c r="E15" s="9">
        <f t="shared" si="16"/>
        <v>0</v>
      </c>
      <c r="F15" s="9">
        <f t="shared" si="2"/>
        <v>24</v>
      </c>
      <c r="G15" s="77">
        <f>IFERROR(VLOOKUP(Vaktplan!$A$56,Vaktplan!$BM$4:$CL$35,86-AH68,FALSE),0)</f>
        <v>0</v>
      </c>
      <c r="H15" s="77">
        <f>IFERROR(VLOOKUP(Vaktplan!$A$56,Vaktplan!$BM$4:$CL$35,86-AG68,FALSE),0)</f>
        <v>0</v>
      </c>
      <c r="I15" s="9">
        <f>IFERROR(VLOOKUP(Vaktplan!$A$56,Vaktplan!$BM$4:$CL$35,89-$AH68,FALSE),0)</f>
        <v>0</v>
      </c>
      <c r="J15" s="9">
        <f t="shared" si="3"/>
        <v>0</v>
      </c>
      <c r="K15" s="9">
        <f t="shared" si="4"/>
        <v>24</v>
      </c>
      <c r="L15" s="77">
        <f>IFERROR(VLOOKUP(Vaktplan!$A$56,Vaktplan!$BN$4:$CL$35,86-AI68,FALSE),0)</f>
        <v>0</v>
      </c>
      <c r="M15" s="77">
        <f>IFERROR(VLOOKUP(Vaktplan!$A$56,Vaktplan!$BN$4:$CL$35,86-AH68,FALSE),0)</f>
        <v>0</v>
      </c>
      <c r="N15" s="9">
        <f>IFERROR(VLOOKUP(Vaktplan!$A$56,Vaktplan!$BN$4:$CL$35,89-$AI68,FALSE),0)</f>
        <v>0</v>
      </c>
      <c r="O15" s="9">
        <f t="shared" si="5"/>
        <v>0</v>
      </c>
      <c r="P15" s="9">
        <f t="shared" si="6"/>
        <v>24</v>
      </c>
      <c r="Q15" s="77">
        <f>IFERROR(VLOOKUP(Vaktplan!$A$56,Vaktplan!$BO$4:$CL$35,86-AJ68,FALSE),0)</f>
        <v>0</v>
      </c>
      <c r="R15" s="77">
        <f>IFERROR(VLOOKUP(Vaktplan!$A$56,Vaktplan!$BO$4:$CL$35,86-AI68,FALSE),0)</f>
        <v>0</v>
      </c>
      <c r="S15" s="9">
        <f>IFERROR(VLOOKUP(Vaktplan!$A$56,Vaktplan!$BO$4:$CL$35,89-$AJ68,FALSE),0)</f>
        <v>0</v>
      </c>
      <c r="T15" s="9">
        <f t="shared" si="0"/>
        <v>0</v>
      </c>
      <c r="U15" s="9">
        <f t="shared" si="7"/>
        <v>24</v>
      </c>
      <c r="V15" s="77">
        <f>IFERROR(VLOOKUP(Vaktplan!$A$56,Vaktplan!$BP$4:$CL$35,86-AK68,FALSE),0)</f>
        <v>0</v>
      </c>
      <c r="W15" s="77">
        <f>IFERROR(VLOOKUP(Vaktplan!$A$56,Vaktplan!$BP$4:$CL$35,86-AJ68,FALSE),0)</f>
        <v>0</v>
      </c>
      <c r="X15" s="9">
        <f>IFERROR(VLOOKUP(Vaktplan!$A$56,Vaktplan!$BP$4:$CL$35,89-$AK68,FALSE),0)</f>
        <v>0</v>
      </c>
      <c r="Y15" s="9">
        <f>IF(AND(V15=0,W15=0),0,IF(V15&lt;W15,((W15-V15)*24)-X15,(((1-V15)+W15)*24)-X15))</f>
        <v>0</v>
      </c>
      <c r="Z15" s="9">
        <f t="shared" si="9"/>
        <v>24</v>
      </c>
      <c r="AA15" s="77">
        <f>IFERROR(VLOOKUP(Vaktplan!$A$56,Vaktplan!$BQ$4:$CL$35,86-AL68,FALSE),0)</f>
        <v>0</v>
      </c>
      <c r="AB15" s="77">
        <f>IFERROR(VLOOKUP(Vaktplan!$A$56,Vaktplan!$BQ$4:$CL$35,86-AK68,FALSE),0)</f>
        <v>0</v>
      </c>
      <c r="AC15" s="9">
        <f>IFERROR(VLOOKUP(Vaktplan!$A$56,Vaktplan!$BQ$4:$CL$35,89-$AL68,FALSE),0)</f>
        <v>0</v>
      </c>
      <c r="AD15" s="9">
        <f>IF(AND(AA15=0,AB15=0),0,IF(AA15&lt;AB15,((AB15-AA15)*24)-AC15,(((1-AA15)+AB15)*24)-AC15))</f>
        <v>0</v>
      </c>
      <c r="AE15" s="9">
        <f t="shared" si="11"/>
        <v>24</v>
      </c>
      <c r="AF15" s="77">
        <f>IFERROR(VLOOKUP(Vaktplan!$A$56,Vaktplan!$BR$4:$CL$35,86-AM68,FALSE),0)</f>
        <v>0</v>
      </c>
      <c r="AG15" s="77">
        <f>IFERROR(VLOOKUP(Vaktplan!$A$56,Vaktplan!$BR$4:$CL$35,86-AL68,FALSE),0)</f>
        <v>0</v>
      </c>
      <c r="AH15" s="9">
        <f>IFERROR(VLOOKUP(Vaktplan!$A$56,Vaktplan!$BR$4:$CL$35,89-$AM68,FALSE),0)</f>
        <v>0</v>
      </c>
      <c r="AI15" s="9">
        <f>IF(AND(AF15=0,AG15=0),0,IF(AF15&lt;AG15,((AG15-AF15)*24)-AH15,(((1-AF15)+AG15)*24)-AH15))</f>
        <v>0</v>
      </c>
      <c r="AJ15" s="9">
        <f t="shared" si="13"/>
        <v>24</v>
      </c>
      <c r="AK15" s="9">
        <f t="shared" si="1"/>
        <v>0</v>
      </c>
      <c r="AL15" s="92"/>
      <c r="AM15" s="10"/>
    </row>
    <row r="16" spans="1:39" ht="13" x14ac:dyDescent="0.25">
      <c r="A16" s="7">
        <v>11</v>
      </c>
      <c r="B16" s="77">
        <f>IFERROR(VLOOKUP(Vaktplan!$A$56,Vaktplan!$BS$4:$CL$35,87-AH69,FALSE),0)</f>
        <v>0</v>
      </c>
      <c r="C16" s="77">
        <f>IFERROR(VLOOKUP(Vaktplan!$A$56,Vaktplan!$BS$4:$CL$35,87-AG69,FALSE),0)</f>
        <v>0</v>
      </c>
      <c r="D16" s="9">
        <f>IFERROR(VLOOKUP(Vaktplan!$A$56,Vaktplan!$BS$4:$CL$35,89-AG69,FALSE),0)</f>
        <v>0</v>
      </c>
      <c r="E16" s="9">
        <f t="shared" si="16"/>
        <v>0</v>
      </c>
      <c r="F16" s="9">
        <f t="shared" si="2"/>
        <v>24</v>
      </c>
      <c r="G16" s="77">
        <f>IFERROR(VLOOKUP(Vaktplan!$A$56,Vaktplan!$BT$4:$CL$35,86-AH69,FALSE),0)</f>
        <v>0</v>
      </c>
      <c r="H16" s="77">
        <f>IFERROR(VLOOKUP(Vaktplan!$A$56,Vaktplan!$BT$4:$CL$35,86-AG69,FALSE),0)</f>
        <v>0</v>
      </c>
      <c r="I16" s="9">
        <f>IFERROR(VLOOKUP(Vaktplan!$A$56,Vaktplan!$BT$4:$CL$35,89-$AH69,FALSE),0)</f>
        <v>0</v>
      </c>
      <c r="J16" s="9">
        <f t="shared" si="3"/>
        <v>0</v>
      </c>
      <c r="K16" s="9">
        <f t="shared" si="4"/>
        <v>24</v>
      </c>
      <c r="L16" s="77">
        <f>IFERROR(VLOOKUP(Vaktplan!$A$56,Vaktplan!$BU$4:$CL$35,86-AI69,FALSE),0)</f>
        <v>0</v>
      </c>
      <c r="M16" s="77">
        <f>IFERROR(VLOOKUP(Vaktplan!$A$56,Vaktplan!$BU$4:$CL$35,86-AH69,FALSE),0)</f>
        <v>0</v>
      </c>
      <c r="N16" s="9">
        <f>IFERROR(VLOOKUP(Vaktplan!$A$56,Vaktplan!$BU$4:$CL$35,89-$AI69,FALSE),0)</f>
        <v>0</v>
      </c>
      <c r="O16" s="9">
        <f t="shared" si="5"/>
        <v>0</v>
      </c>
      <c r="P16" s="9">
        <f t="shared" si="6"/>
        <v>24</v>
      </c>
      <c r="Q16" s="77">
        <f>IFERROR(VLOOKUP(Vaktplan!$A$56,Vaktplan!$BV$4:$CL$35,86-AJ69,FALSE),0)</f>
        <v>0</v>
      </c>
      <c r="R16" s="77">
        <f>IFERROR(VLOOKUP(Vaktplan!$A$56,Vaktplan!$BV$4:$CL$35,86-AI69,FALSE),0)</f>
        <v>0</v>
      </c>
      <c r="S16" s="9">
        <f>IFERROR(VLOOKUP(Vaktplan!$A$56,Vaktplan!$BV$4:$CL$35,89-$AJ69,FALSE),0)</f>
        <v>0</v>
      </c>
      <c r="T16" s="9">
        <f t="shared" si="0"/>
        <v>0</v>
      </c>
      <c r="U16" s="9">
        <f t="shared" si="7"/>
        <v>24</v>
      </c>
      <c r="V16" s="77">
        <f>IFERROR(VLOOKUP(Vaktplan!$A$56,Vaktplan!$BW$4:$CL$35,86-AK69,FALSE),0)</f>
        <v>0</v>
      </c>
      <c r="W16" s="77">
        <f>IFERROR(VLOOKUP(Vaktplan!$A$56,Vaktplan!$BW$4:$CL$35,86-AJ69,FALSE),0)</f>
        <v>0</v>
      </c>
      <c r="X16" s="9">
        <f>IFERROR(VLOOKUP(Vaktplan!$A$56,Vaktplan!$BW$4:$CL$35,89-$AK69,FALSE),0)</f>
        <v>0</v>
      </c>
      <c r="Y16" s="9">
        <f>IF(AND(V16=0,W16=0),0,IF(V16&lt;W16,((W16-V16)*24)-X16,(((1-V16)+W16)*24)-X16))</f>
        <v>0</v>
      </c>
      <c r="Z16" s="9">
        <f t="shared" si="9"/>
        <v>24</v>
      </c>
      <c r="AA16" s="77">
        <f>IFERROR(VLOOKUP(Vaktplan!$A$56,Vaktplan!$BX$4:$CL$35,86-AL69,FALSE),0)</f>
        <v>0</v>
      </c>
      <c r="AB16" s="77">
        <f>IFERROR(VLOOKUP(Vaktplan!$A$56,Vaktplan!$BX$4:$CL$35,86-AK69,FALSE),0)</f>
        <v>0</v>
      </c>
      <c r="AC16" s="9">
        <f>IFERROR(VLOOKUP(Vaktplan!$A$56,Vaktplan!$BX$4:$CL$35,89-$AL69,FALSE),0)</f>
        <v>0</v>
      </c>
      <c r="AD16" s="9">
        <f>IF(AND(AA16=0,AB16=0),0,IF(AA16&lt;AB16,((AB16-AA16)*24)-AC16,(((1-AA16)+AB16)*24)-AC16))</f>
        <v>0</v>
      </c>
      <c r="AE16" s="9">
        <f t="shared" si="11"/>
        <v>24</v>
      </c>
      <c r="AF16" s="77">
        <f>IFERROR(VLOOKUP(Vaktplan!$A$56,Vaktplan!$BY$4:$CL$35,86-AM69,FALSE),0)</f>
        <v>0</v>
      </c>
      <c r="AG16" s="77">
        <f>IFERROR(VLOOKUP(Vaktplan!$A$56,Vaktplan!$BY$4:$CL$35,86-AL69,FALSE),0)</f>
        <v>0</v>
      </c>
      <c r="AH16" s="9">
        <f>IFERROR(VLOOKUP(Vaktplan!$A$56,Vaktplan!$BY$4:$CL$35,89-$AM69,FALSE),0)</f>
        <v>0</v>
      </c>
      <c r="AI16" s="9">
        <f>IF(AND(AF16=0,AG16=0),0,IF(AF16&lt;AG16,((AG16-AF16)*24)-AH16,(((1-AF16)+AG16)*24)-AH16))</f>
        <v>0</v>
      </c>
      <c r="AJ16" s="9">
        <f t="shared" si="13"/>
        <v>24</v>
      </c>
      <c r="AK16" s="9">
        <f t="shared" si="1"/>
        <v>0</v>
      </c>
      <c r="AL16" s="92"/>
      <c r="AM16" s="10"/>
    </row>
    <row r="17" spans="1:43" ht="13" x14ac:dyDescent="0.25">
      <c r="A17" s="7">
        <v>12</v>
      </c>
      <c r="B17" s="77">
        <f>IFERROR(VLOOKUP(Vaktplan!$A$56,Vaktplan!$BZ$4:$CL$35,87-AH70,FALSE),0)</f>
        <v>0</v>
      </c>
      <c r="C17" s="77">
        <f>IFERROR(VLOOKUP(Vaktplan!$A$56,Vaktplan!$BZ$4:$CL$35,87-AG70,FALSE),0)</f>
        <v>0</v>
      </c>
      <c r="D17" s="9">
        <f>IFERROR(VLOOKUP(Vaktplan!$A$56,Vaktplan!$BZ$4:$CL$35,89-AG70,FALSE),0)</f>
        <v>0</v>
      </c>
      <c r="E17" s="9">
        <f t="shared" si="16"/>
        <v>0</v>
      </c>
      <c r="F17" s="9">
        <f t="shared" si="2"/>
        <v>24</v>
      </c>
      <c r="G17" s="77">
        <f>IFERROR(VLOOKUP(Vaktplan!$A$56,Vaktplan!$CA$4:$CL$35,86-AH70,FALSE),0)</f>
        <v>0</v>
      </c>
      <c r="H17" s="77">
        <f>IFERROR(VLOOKUP(Vaktplan!$A$56,Vaktplan!$CA$4:$CL$35,86-AG70,FALSE),0)</f>
        <v>0</v>
      </c>
      <c r="I17" s="9">
        <f>IFERROR(VLOOKUP(Vaktplan!$A$56,Vaktplan!$CA$4:$CL$35,89-$AH70,FALSE),0)</f>
        <v>0</v>
      </c>
      <c r="J17" s="9">
        <f t="shared" si="3"/>
        <v>0</v>
      </c>
      <c r="K17" s="9">
        <f t="shared" si="4"/>
        <v>24</v>
      </c>
      <c r="L17" s="77">
        <f>IFERROR(VLOOKUP(Vaktplan!$A$56,Vaktplan!$CB$4:$CL$35,86-AI70,FALSE),0)</f>
        <v>0</v>
      </c>
      <c r="M17" s="77">
        <f>IFERROR(VLOOKUP(Vaktplan!$A$56,Vaktplan!$CB$4:$CL$35,86-AH70,FALSE),0)</f>
        <v>0</v>
      </c>
      <c r="N17" s="9">
        <f>IFERROR(VLOOKUP(Vaktplan!$A$56,Vaktplan!$CB$4:$CL$35,89-$AI70,FALSE),0)</f>
        <v>0</v>
      </c>
      <c r="O17" s="9">
        <f t="shared" si="5"/>
        <v>0</v>
      </c>
      <c r="P17" s="9">
        <f t="shared" si="6"/>
        <v>24</v>
      </c>
      <c r="Q17" s="77">
        <f>IFERROR(VLOOKUP(Vaktplan!$A$56,Vaktplan!$CC$4:$CL$35,86-AJ70,FALSE),0)</f>
        <v>0</v>
      </c>
      <c r="R17" s="77">
        <f>IFERROR(VLOOKUP(Vaktplan!$A$56,Vaktplan!$CC$4:$CL$35,86-AI70,FALSE),0)</f>
        <v>0</v>
      </c>
      <c r="S17" s="9">
        <f>IFERROR(VLOOKUP(Vaktplan!$A$56,Vaktplan!$CC$4:$CL$35,89-$AJ70,FALSE),0)</f>
        <v>0</v>
      </c>
      <c r="T17" s="9">
        <f t="shared" si="0"/>
        <v>0</v>
      </c>
      <c r="U17" s="9">
        <f t="shared" si="7"/>
        <v>24</v>
      </c>
      <c r="V17" s="77">
        <f>IFERROR(VLOOKUP(Vaktplan!$A$56,Vaktplan!$CD$4:$CL$35,86-AK70,FALSE),0)</f>
        <v>0</v>
      </c>
      <c r="W17" s="77">
        <f>IFERROR(VLOOKUP(Vaktplan!$A$56,Vaktplan!$CD$4:$CL$35,86-AJ70,FALSE),0)</f>
        <v>0</v>
      </c>
      <c r="X17" s="9">
        <f>IFERROR(VLOOKUP(Vaktplan!$A$56,Vaktplan!$CD$4:$CL$35,89-$AK70,FALSE),0)</f>
        <v>0</v>
      </c>
      <c r="Y17" s="9">
        <f>IF(AND(V17=0,W17=0),0,IF(V17&lt;W17,((W17-V17)*24)-X17,(((1-V17)+W17)*24)-X17))</f>
        <v>0</v>
      </c>
      <c r="Z17" s="9">
        <f t="shared" si="9"/>
        <v>24</v>
      </c>
      <c r="AA17" s="77">
        <f>IFERROR(VLOOKUP(Vaktplan!$A$56,Vaktplan!$CE$4:$CL$35,86-AL70,FALSE),0)</f>
        <v>0</v>
      </c>
      <c r="AB17" s="77">
        <f>IFERROR(VLOOKUP(Vaktplan!$A$56,Vaktplan!$CE$4:$CL$35,86-AK70,FALSE),0)</f>
        <v>0</v>
      </c>
      <c r="AC17" s="9">
        <f>IFERROR(VLOOKUP(Vaktplan!$A$56,Vaktplan!$CE$4:$FCE$35,89-$AL70,FALSE),0)</f>
        <v>0</v>
      </c>
      <c r="AD17" s="9">
        <f>IF(AND(AA17=0,AB17=0),0,IF(AA17&lt;AB17,((AB17-AA17)*24)-AC17,(((1-AA17)+AB17)*24)-AC17))</f>
        <v>0</v>
      </c>
      <c r="AE17" s="9">
        <f t="shared" si="11"/>
        <v>24</v>
      </c>
      <c r="AF17" s="77">
        <f>IFERROR(VLOOKUP(Vaktplan!$A$56,Vaktplan!$CF$4:$CL$35,86-AM70,FALSE),0)</f>
        <v>0</v>
      </c>
      <c r="AG17" s="77">
        <f>IFERROR(VLOOKUP(Vaktplan!$A$56,Vaktplan!$CF$4:$CL$35,86-AL70,FALSE),0)</f>
        <v>0</v>
      </c>
      <c r="AH17" s="9">
        <f>IFERROR(VLOOKUP(Vaktplan!$A$56,Vaktplan!$CF$4:$CL$35,89-$AM70,FALSE),0)</f>
        <v>0</v>
      </c>
      <c r="AI17" s="9">
        <f>IF(AND(AF17=0,AG17=0),0,IF(AF17&lt;AG17,((AG17-AF17)*24)-AH17,(((1-AF17)+AG17)*24)-AH17))</f>
        <v>0</v>
      </c>
      <c r="AJ17" s="9">
        <f t="shared" si="13"/>
        <v>24</v>
      </c>
      <c r="AK17" s="9">
        <f t="shared" si="1"/>
        <v>0</v>
      </c>
      <c r="AL17" s="92"/>
      <c r="AM17" s="10"/>
    </row>
    <row r="19" spans="1:43" ht="13" x14ac:dyDescent="0.3">
      <c r="A19" s="4" t="s">
        <v>76</v>
      </c>
    </row>
    <row r="20" spans="1:43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3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3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3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3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6" spans="1:43" ht="13" x14ac:dyDescent="0.3">
      <c r="A26" s="4" t="s">
        <v>77</v>
      </c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</row>
    <row r="27" spans="1:43" ht="13" x14ac:dyDescent="0.3">
      <c r="A27" s="3" t="s">
        <v>78</v>
      </c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80" t="s">
        <v>79</v>
      </c>
      <c r="AM27" s="78"/>
      <c r="AN27" s="78"/>
      <c r="AO27" s="78"/>
    </row>
    <row r="28" spans="1:43" ht="13" x14ac:dyDescent="0.3">
      <c r="A28" s="98" t="s">
        <v>36</v>
      </c>
      <c r="B28" s="98"/>
      <c r="C28" s="98"/>
      <c r="D28" s="88"/>
      <c r="E28" s="8">
        <f>E2</f>
        <v>0</v>
      </c>
      <c r="F28" s="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>
        <v>1</v>
      </c>
      <c r="AM28" s="78"/>
      <c r="AN28" s="78"/>
      <c r="AO28" s="78"/>
    </row>
    <row r="29" spans="1:43" ht="13" x14ac:dyDescent="0.3">
      <c r="A29" s="98" t="s">
        <v>80</v>
      </c>
      <c r="B29" s="98"/>
      <c r="C29" s="98"/>
      <c r="D29" s="88"/>
      <c r="E29" s="5">
        <f>E3</f>
        <v>0</v>
      </c>
      <c r="F29" s="5"/>
      <c r="T29" s="10"/>
      <c r="U29" s="10"/>
      <c r="V29" s="10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80" t="s">
        <v>81</v>
      </c>
      <c r="AH29" s="80"/>
      <c r="AI29" s="78"/>
      <c r="AJ29" s="78"/>
      <c r="AK29" s="78"/>
      <c r="AL29" s="78">
        <v>2</v>
      </c>
      <c r="AM29" s="78"/>
      <c r="AN29" s="78"/>
      <c r="AO29" s="78"/>
      <c r="AP29" s="10"/>
      <c r="AQ29" s="10"/>
    </row>
    <row r="30" spans="1:43" ht="13" x14ac:dyDescent="0.3">
      <c r="A30" s="98" t="s">
        <v>82</v>
      </c>
      <c r="B30" s="98"/>
      <c r="C30" s="98"/>
      <c r="D30" s="88"/>
      <c r="T30" s="10"/>
      <c r="U30" s="10"/>
      <c r="V30" s="10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>
        <v>3</v>
      </c>
      <c r="AM30" s="78"/>
      <c r="AN30" s="78"/>
      <c r="AO30" s="78"/>
      <c r="AP30" s="10"/>
      <c r="AQ30" s="10"/>
    </row>
    <row r="31" spans="1:43" ht="13" x14ac:dyDescent="0.3">
      <c r="A31" s="4" t="s">
        <v>83</v>
      </c>
      <c r="B31" s="4" t="s">
        <v>84</v>
      </c>
      <c r="C31" s="4" t="s">
        <v>85</v>
      </c>
      <c r="D31" s="98" t="s">
        <v>86</v>
      </c>
      <c r="E31" s="98"/>
      <c r="F31" s="4" t="s">
        <v>87</v>
      </c>
      <c r="G31" s="4" t="s">
        <v>88</v>
      </c>
      <c r="H31" s="98" t="s">
        <v>27</v>
      </c>
      <c r="I31" s="98"/>
      <c r="J31" s="4" t="s">
        <v>28</v>
      </c>
      <c r="K31" s="4" t="s">
        <v>29</v>
      </c>
      <c r="L31" s="4" t="s">
        <v>30</v>
      </c>
      <c r="M31" s="4" t="s">
        <v>31</v>
      </c>
      <c r="N31" s="98" t="s">
        <v>32</v>
      </c>
      <c r="O31" s="98"/>
      <c r="T31" s="10"/>
      <c r="U31" s="10"/>
      <c r="V31" s="10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80" t="s">
        <v>9</v>
      </c>
      <c r="AH31" s="80"/>
      <c r="AI31" s="78"/>
      <c r="AJ31" s="78"/>
      <c r="AK31" s="78"/>
      <c r="AL31" s="78">
        <v>4</v>
      </c>
      <c r="AM31" s="78"/>
      <c r="AN31" s="78"/>
      <c r="AO31" s="78"/>
      <c r="AP31" s="10"/>
      <c r="AQ31" s="10"/>
    </row>
    <row r="32" spans="1:43" ht="13" x14ac:dyDescent="0.3">
      <c r="A32" s="3">
        <f>AK6</f>
        <v>0</v>
      </c>
      <c r="B32" s="3">
        <f>AK7</f>
        <v>0</v>
      </c>
      <c r="C32" s="3">
        <f>AK8</f>
        <v>0</v>
      </c>
      <c r="D32" s="101">
        <f>AK9</f>
        <v>0</v>
      </c>
      <c r="E32" s="101"/>
      <c r="F32" s="3">
        <f>AK10</f>
        <v>0</v>
      </c>
      <c r="G32" s="3">
        <f>AK11</f>
        <v>0</v>
      </c>
      <c r="H32" s="101">
        <f>AK12</f>
        <v>0</v>
      </c>
      <c r="I32" s="101"/>
      <c r="J32" s="3">
        <f>AK13</f>
        <v>0</v>
      </c>
      <c r="K32" s="3">
        <f>AK14</f>
        <v>0</v>
      </c>
      <c r="L32" s="3">
        <f>AK15</f>
        <v>0</v>
      </c>
      <c r="M32" s="3">
        <f>AK16</f>
        <v>0</v>
      </c>
      <c r="N32" s="101">
        <f>AK17</f>
        <v>0</v>
      </c>
      <c r="O32" s="101"/>
      <c r="T32" s="11" t="s">
        <v>70</v>
      </c>
      <c r="U32" s="10" t="s">
        <v>89</v>
      </c>
      <c r="V32" s="10" t="s">
        <v>90</v>
      </c>
      <c r="W32" s="78" t="s">
        <v>91</v>
      </c>
      <c r="X32" s="78" t="s">
        <v>92</v>
      </c>
      <c r="Y32" s="78" t="s">
        <v>93</v>
      </c>
      <c r="Z32" s="78" t="s">
        <v>94</v>
      </c>
      <c r="AA32" s="78"/>
      <c r="AB32" s="78"/>
      <c r="AC32" s="78"/>
      <c r="AD32" s="78"/>
      <c r="AE32" s="78"/>
      <c r="AF32" s="78"/>
      <c r="AG32" s="78" t="s">
        <v>10</v>
      </c>
      <c r="AH32" s="78"/>
      <c r="AI32" s="79">
        <v>42177</v>
      </c>
      <c r="AJ32" s="79"/>
      <c r="AK32" s="78"/>
      <c r="AL32" s="78">
        <v>5</v>
      </c>
      <c r="AM32" s="78"/>
      <c r="AN32" s="78"/>
      <c r="AO32" s="78"/>
      <c r="AP32" s="10"/>
      <c r="AQ32" s="10"/>
    </row>
    <row r="33" spans="1:43" ht="13" x14ac:dyDescent="0.3">
      <c r="A33" s="98" t="s">
        <v>95</v>
      </c>
      <c r="B33" s="98"/>
      <c r="C33" s="98"/>
      <c r="D33" s="88"/>
      <c r="G33" s="101"/>
      <c r="H33" s="101"/>
      <c r="I33" s="90"/>
      <c r="T33" s="10">
        <v>1</v>
      </c>
      <c r="U33" s="10">
        <f>IF(AND(B6&gt;0,G6&gt;0),0,IF(AND(G6&gt;0),0,F6+K6))</f>
        <v>48</v>
      </c>
      <c r="V33" s="10">
        <f>IF(AND(G6&gt;0,L6&gt;0),0,IF(AND(L6&gt;0),0,K6+P6))</f>
        <v>48</v>
      </c>
      <c r="W33" s="78">
        <f>IF(AND(L6&gt;0,Q6&gt;0),0,IF(AND(Q6&gt;0),0,P6+U6))</f>
        <v>48</v>
      </c>
      <c r="X33" s="78">
        <f>IF(AND(Q6&gt;0,V6&gt;0),0,IF(AND(V6&gt;0),0,U6+Z6))</f>
        <v>48</v>
      </c>
      <c r="Y33" s="78">
        <f>IF(AND(V6&gt;0,AA6&gt;0),0,IF(AND(AA6&gt;0),0,Z6+AE6))</f>
        <v>48</v>
      </c>
      <c r="Z33" s="78">
        <f>IF(AND(AA6&gt;0,AF6&gt;0),0,IF(AND(AF6&gt;0),0,AE6+AJ6))</f>
        <v>48</v>
      </c>
      <c r="AA33" s="78"/>
      <c r="AB33" s="78"/>
      <c r="AC33" s="78"/>
      <c r="AD33" s="78"/>
      <c r="AE33" s="78"/>
      <c r="AF33" s="78"/>
      <c r="AG33" s="78" t="s">
        <v>11</v>
      </c>
      <c r="AH33" s="78"/>
      <c r="AI33" s="79">
        <v>42178</v>
      </c>
      <c r="AJ33" s="79"/>
      <c r="AK33" s="78"/>
      <c r="AL33" s="78">
        <v>6</v>
      </c>
      <c r="AM33" s="78"/>
      <c r="AN33" s="78"/>
      <c r="AO33" s="78"/>
      <c r="AP33" s="10"/>
      <c r="AQ33" s="10"/>
    </row>
    <row r="34" spans="1:43" x14ac:dyDescent="0.25">
      <c r="A34" s="101" t="s">
        <v>96</v>
      </c>
      <c r="B34" s="101"/>
      <c r="C34" s="3">
        <f>(AK6+AK7+AK8+AK9+AK10+AK11+AK12+AK13+AK14+AK15+AK16+AK17)/M1</f>
        <v>0</v>
      </c>
      <c r="T34" s="10">
        <v>2</v>
      </c>
      <c r="U34" s="10">
        <f t="shared" ref="U34:U40" si="17">IF(AND(B7&gt;0,G7&gt;0),0,IF(AND(G7&gt;0),0,F7+K7))</f>
        <v>48</v>
      </c>
      <c r="V34" s="10">
        <f t="shared" ref="V34:V40" si="18">IF(AND(G7&gt;0,L7&gt;0),0,IF(AND(L7&gt;0),0,K7+P7))</f>
        <v>48</v>
      </c>
      <c r="W34" s="78">
        <f t="shared" ref="W34:W44" si="19">IF(AND(L7&gt;0,Q7&gt;0),0,IF(AND(Q7&gt;0),0,P7+U7))</f>
        <v>48</v>
      </c>
      <c r="X34" s="78">
        <f t="shared" ref="X34:X44" si="20">IF(AND(Q7&gt;0,V7&gt;0),0,IF(AND(V7&gt;0),0,U7+Z7))</f>
        <v>48</v>
      </c>
      <c r="Y34" s="78">
        <f t="shared" ref="Y34:Y44" si="21">IF(AND(V7&gt;0,AA7&gt;0),0,IF(AND(AA7&gt;0),0,Z7+AE7))</f>
        <v>48</v>
      </c>
      <c r="Z34" s="78">
        <f t="shared" ref="Z34:Z44" si="22">IF(AND(AA7&gt;0,AF7&gt;0),0,IF(AND(AF7&gt;0),0,AE7+AJ7))</f>
        <v>48</v>
      </c>
      <c r="AA34" s="78"/>
      <c r="AB34" s="78"/>
      <c r="AC34" s="78"/>
      <c r="AD34" s="78"/>
      <c r="AE34" s="78"/>
      <c r="AF34" s="78"/>
      <c r="AG34" s="78" t="s">
        <v>12</v>
      </c>
      <c r="AH34" s="78"/>
      <c r="AI34" s="79">
        <v>42179</v>
      </c>
      <c r="AJ34" s="79"/>
      <c r="AK34" s="78"/>
      <c r="AL34" s="78">
        <v>7</v>
      </c>
      <c r="AM34" s="78"/>
      <c r="AN34" s="78"/>
      <c r="AO34" s="78"/>
      <c r="AP34" s="10"/>
      <c r="AQ34" s="10"/>
    </row>
    <row r="35" spans="1:43" x14ac:dyDescent="0.25">
      <c r="T35" s="10">
        <v>3</v>
      </c>
      <c r="U35" s="10">
        <f t="shared" si="17"/>
        <v>48</v>
      </c>
      <c r="V35" s="10">
        <f t="shared" si="18"/>
        <v>48</v>
      </c>
      <c r="W35" s="78">
        <f t="shared" si="19"/>
        <v>48</v>
      </c>
      <c r="X35" s="78">
        <f t="shared" si="20"/>
        <v>48</v>
      </c>
      <c r="Y35" s="78">
        <f t="shared" si="21"/>
        <v>48</v>
      </c>
      <c r="Z35" s="78">
        <f t="shared" si="22"/>
        <v>48</v>
      </c>
      <c r="AA35" s="78"/>
      <c r="AB35" s="78"/>
      <c r="AC35" s="78"/>
      <c r="AD35" s="78"/>
      <c r="AE35" s="78"/>
      <c r="AF35" s="78"/>
      <c r="AG35" s="78" t="s">
        <v>13</v>
      </c>
      <c r="AH35" s="78"/>
      <c r="AI35" s="79">
        <v>42180</v>
      </c>
      <c r="AJ35" s="79"/>
      <c r="AK35" s="78"/>
      <c r="AL35" s="78">
        <v>8</v>
      </c>
      <c r="AM35" s="78"/>
      <c r="AN35" s="78"/>
      <c r="AO35" s="78"/>
      <c r="AP35" s="78"/>
      <c r="AQ35" s="10"/>
    </row>
    <row r="36" spans="1:43" ht="13" x14ac:dyDescent="0.3">
      <c r="A36" s="98" t="s">
        <v>97</v>
      </c>
      <c r="B36" s="98"/>
      <c r="C36" s="98"/>
      <c r="D36" s="98"/>
      <c r="E36" s="98"/>
      <c r="F36" s="88"/>
      <c r="T36" s="10">
        <v>4</v>
      </c>
      <c r="U36" s="10">
        <f t="shared" si="17"/>
        <v>48</v>
      </c>
      <c r="V36" s="10">
        <f t="shared" si="18"/>
        <v>48</v>
      </c>
      <c r="W36" s="78">
        <f t="shared" si="19"/>
        <v>48</v>
      </c>
      <c r="X36" s="78">
        <f t="shared" si="20"/>
        <v>48</v>
      </c>
      <c r="Y36" s="78">
        <f t="shared" si="21"/>
        <v>48</v>
      </c>
      <c r="Z36" s="78">
        <f t="shared" si="22"/>
        <v>48</v>
      </c>
      <c r="AA36" s="78"/>
      <c r="AB36" s="78"/>
      <c r="AC36" s="78"/>
      <c r="AD36" s="78"/>
      <c r="AE36" s="78"/>
      <c r="AF36" s="78"/>
      <c r="AG36" s="78" t="s">
        <v>14</v>
      </c>
      <c r="AH36" s="78"/>
      <c r="AI36" s="79">
        <v>42181</v>
      </c>
      <c r="AJ36" s="79"/>
      <c r="AK36" s="78"/>
      <c r="AL36" s="3">
        <v>9</v>
      </c>
      <c r="AM36" s="78"/>
      <c r="AN36" s="78"/>
      <c r="AO36" s="78"/>
      <c r="AP36" s="78"/>
      <c r="AQ36" s="10"/>
    </row>
    <row r="37" spans="1:43" x14ac:dyDescent="0.25">
      <c r="A37" s="99" t="e">
        <f>C34/E3</f>
        <v>#DIV/0!</v>
      </c>
      <c r="B37" s="99"/>
      <c r="C37" s="99"/>
      <c r="T37" s="10">
        <v>5</v>
      </c>
      <c r="U37" s="10">
        <f t="shared" si="17"/>
        <v>48</v>
      </c>
      <c r="V37" s="10">
        <f t="shared" si="18"/>
        <v>48</v>
      </c>
      <c r="W37" s="78">
        <f t="shared" si="19"/>
        <v>48</v>
      </c>
      <c r="X37" s="78">
        <f t="shared" si="20"/>
        <v>48</v>
      </c>
      <c r="Y37" s="78">
        <f t="shared" si="21"/>
        <v>48</v>
      </c>
      <c r="Z37" s="78">
        <f t="shared" si="22"/>
        <v>48</v>
      </c>
      <c r="AA37" s="78"/>
      <c r="AB37" s="78"/>
      <c r="AC37" s="78"/>
      <c r="AD37" s="78"/>
      <c r="AE37" s="78"/>
      <c r="AF37" s="78"/>
      <c r="AG37" s="78" t="s">
        <v>15</v>
      </c>
      <c r="AH37" s="78"/>
      <c r="AI37" s="79">
        <v>42182</v>
      </c>
      <c r="AJ37" s="79"/>
      <c r="AK37" s="78"/>
      <c r="AL37" s="3">
        <v>10</v>
      </c>
      <c r="AM37" s="78"/>
      <c r="AN37" s="78"/>
      <c r="AO37" s="78"/>
      <c r="AP37" s="78"/>
      <c r="AQ37" s="10"/>
    </row>
    <row r="38" spans="1:43" x14ac:dyDescent="0.25">
      <c r="T38" s="10">
        <v>6</v>
      </c>
      <c r="U38" s="10">
        <f t="shared" si="17"/>
        <v>48</v>
      </c>
      <c r="V38" s="10">
        <f t="shared" si="18"/>
        <v>48</v>
      </c>
      <c r="W38" s="78">
        <f t="shared" si="19"/>
        <v>48</v>
      </c>
      <c r="X38" s="78">
        <f t="shared" si="20"/>
        <v>48</v>
      </c>
      <c r="Y38" s="78">
        <f t="shared" si="21"/>
        <v>48</v>
      </c>
      <c r="Z38" s="78">
        <f t="shared" si="22"/>
        <v>48</v>
      </c>
      <c r="AA38" s="78"/>
      <c r="AB38" s="78"/>
      <c r="AC38" s="78"/>
      <c r="AD38" s="78"/>
      <c r="AE38" s="78"/>
      <c r="AF38" s="78"/>
      <c r="AG38" s="78" t="s">
        <v>16</v>
      </c>
      <c r="AH38" s="78"/>
      <c r="AI38" s="79">
        <v>42183</v>
      </c>
      <c r="AJ38" s="79"/>
      <c r="AK38" s="78"/>
      <c r="AL38" s="3">
        <v>11</v>
      </c>
      <c r="AM38" s="78"/>
      <c r="AN38" s="78"/>
      <c r="AO38" s="78"/>
      <c r="AP38" s="78"/>
      <c r="AQ38" s="10"/>
    </row>
    <row r="39" spans="1:43" x14ac:dyDescent="0.25">
      <c r="T39" s="10">
        <v>7</v>
      </c>
      <c r="U39" s="10">
        <f t="shared" si="17"/>
        <v>48</v>
      </c>
      <c r="V39" s="10">
        <f t="shared" si="18"/>
        <v>48</v>
      </c>
      <c r="W39" s="78">
        <f t="shared" si="19"/>
        <v>48</v>
      </c>
      <c r="X39" s="78">
        <f t="shared" si="20"/>
        <v>48</v>
      </c>
      <c r="Y39" s="78">
        <f t="shared" si="21"/>
        <v>48</v>
      </c>
      <c r="Z39" s="78">
        <f t="shared" si="22"/>
        <v>48</v>
      </c>
      <c r="AA39" s="78"/>
      <c r="AB39" s="78"/>
      <c r="AC39" s="78"/>
      <c r="AD39" s="78"/>
      <c r="AE39" s="78"/>
      <c r="AF39" s="78"/>
      <c r="AG39" s="100">
        <f>IF(E1=AG32,AI32,IF(E1=AG33,AI33,IF(E1=AG34,AI34,IF(E1=AG35,AI35,IF(E1=AG36,AI36,IF(E1=AG37,AI37,IF(E1=AG38,AI38,AI32)))))))</f>
        <v>42177</v>
      </c>
      <c r="AH39" s="100"/>
      <c r="AI39" s="100"/>
      <c r="AJ39" s="100"/>
      <c r="AK39" s="100"/>
      <c r="AL39" s="3">
        <v>12</v>
      </c>
      <c r="AM39" s="78"/>
      <c r="AN39" s="78"/>
      <c r="AO39" s="78"/>
      <c r="AP39" s="78"/>
      <c r="AQ39" s="10"/>
    </row>
    <row r="40" spans="1:43" ht="13" x14ac:dyDescent="0.3">
      <c r="A40" s="4" t="s">
        <v>98</v>
      </c>
      <c r="T40" s="10">
        <v>8</v>
      </c>
      <c r="U40" s="10">
        <f t="shared" si="17"/>
        <v>48</v>
      </c>
      <c r="V40" s="10">
        <f t="shared" si="18"/>
        <v>48</v>
      </c>
      <c r="W40" s="78">
        <f t="shared" si="19"/>
        <v>48</v>
      </c>
      <c r="X40" s="78">
        <f t="shared" si="20"/>
        <v>48</v>
      </c>
      <c r="Y40" s="78">
        <f t="shared" si="21"/>
        <v>48</v>
      </c>
      <c r="Z40" s="78">
        <f t="shared" si="22"/>
        <v>48</v>
      </c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10"/>
    </row>
    <row r="41" spans="1:43" x14ac:dyDescent="0.25">
      <c r="A41" s="3" t="s">
        <v>99</v>
      </c>
      <c r="T41" s="10"/>
      <c r="U41" s="10"/>
      <c r="V41" s="10"/>
      <c r="W41" s="78">
        <f t="shared" si="19"/>
        <v>48</v>
      </c>
      <c r="X41" s="78">
        <f t="shared" si="20"/>
        <v>48</v>
      </c>
      <c r="Y41" s="78">
        <f t="shared" si="21"/>
        <v>48</v>
      </c>
      <c r="Z41" s="78">
        <f t="shared" si="22"/>
        <v>48</v>
      </c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10"/>
    </row>
    <row r="42" spans="1:43" ht="13" x14ac:dyDescent="0.3">
      <c r="A42" s="3" t="s">
        <v>100</v>
      </c>
      <c r="O42" s="81">
        <v>0.29166666666666669</v>
      </c>
      <c r="P42" s="81">
        <v>0.33333333333333331</v>
      </c>
      <c r="Q42" s="3">
        <f>(P42-O42)*24</f>
        <v>0.99999999999999911</v>
      </c>
      <c r="T42" s="10"/>
      <c r="U42" s="10"/>
      <c r="V42" s="10"/>
      <c r="W42" s="78">
        <f t="shared" si="19"/>
        <v>48</v>
      </c>
      <c r="X42" s="78">
        <f t="shared" si="20"/>
        <v>48</v>
      </c>
      <c r="Y42" s="78">
        <f t="shared" si="21"/>
        <v>48</v>
      </c>
      <c r="Z42" s="78">
        <f t="shared" si="22"/>
        <v>48</v>
      </c>
      <c r="AA42" s="78"/>
      <c r="AB42" s="78"/>
      <c r="AC42" s="78"/>
      <c r="AD42" s="78"/>
      <c r="AE42" s="78"/>
      <c r="AF42" s="78"/>
      <c r="AG42" s="80" t="s">
        <v>101</v>
      </c>
      <c r="AH42" s="80"/>
      <c r="AI42" s="78"/>
      <c r="AJ42" s="78"/>
      <c r="AK42" s="78"/>
      <c r="AL42" s="80" t="s">
        <v>102</v>
      </c>
      <c r="AM42" s="78"/>
      <c r="AN42" s="78"/>
      <c r="AO42" s="78"/>
      <c r="AP42" s="78"/>
      <c r="AQ42" s="10"/>
    </row>
    <row r="43" spans="1:43" x14ac:dyDescent="0.25">
      <c r="T43" s="10"/>
      <c r="U43" s="10"/>
      <c r="V43" s="10"/>
      <c r="W43" s="78">
        <f t="shared" si="19"/>
        <v>48</v>
      </c>
      <c r="X43" s="78">
        <f t="shared" si="20"/>
        <v>48</v>
      </c>
      <c r="Y43" s="78">
        <f t="shared" si="21"/>
        <v>48</v>
      </c>
      <c r="Z43" s="78">
        <f t="shared" si="22"/>
        <v>48</v>
      </c>
      <c r="AA43" s="78"/>
      <c r="AB43" s="78"/>
      <c r="AC43" s="78"/>
      <c r="AD43" s="78"/>
      <c r="AE43" s="78"/>
      <c r="AF43" s="78"/>
      <c r="AG43" s="78">
        <v>33.6</v>
      </c>
      <c r="AH43" s="78"/>
      <c r="AI43" s="78"/>
      <c r="AJ43" s="78"/>
      <c r="AK43" s="78"/>
      <c r="AL43" s="78" t="s">
        <v>103</v>
      </c>
      <c r="AM43" s="78"/>
      <c r="AN43" s="78"/>
      <c r="AO43" s="78"/>
      <c r="AP43" s="78"/>
      <c r="AQ43" s="10"/>
    </row>
    <row r="44" spans="1:43" x14ac:dyDescent="0.25">
      <c r="A44" s="3" t="s">
        <v>104</v>
      </c>
      <c r="T44" s="10"/>
      <c r="U44" s="10"/>
      <c r="V44" s="10"/>
      <c r="W44" s="78">
        <f t="shared" si="19"/>
        <v>48</v>
      </c>
      <c r="X44" s="78">
        <f t="shared" si="20"/>
        <v>48</v>
      </c>
      <c r="Y44" s="78">
        <f t="shared" si="21"/>
        <v>48</v>
      </c>
      <c r="Z44" s="78">
        <f t="shared" si="22"/>
        <v>48</v>
      </c>
      <c r="AA44" s="78"/>
      <c r="AB44" s="78"/>
      <c r="AC44" s="78"/>
      <c r="AD44" s="78"/>
      <c r="AE44" s="78"/>
      <c r="AF44" s="78"/>
      <c r="AG44" s="78">
        <v>35.5</v>
      </c>
      <c r="AH44" s="78"/>
      <c r="AI44" s="78"/>
      <c r="AJ44" s="78"/>
      <c r="AK44" s="78"/>
      <c r="AL44" s="78" t="s">
        <v>105</v>
      </c>
      <c r="AM44" s="78"/>
      <c r="AN44" s="78"/>
      <c r="AO44" s="78"/>
      <c r="AP44" s="78"/>
      <c r="AQ44" s="10"/>
    </row>
    <row r="45" spans="1:43" x14ac:dyDescent="0.25">
      <c r="A45" s="1">
        <v>11</v>
      </c>
      <c r="B45" s="5">
        <f>COUNTIF($F$6:$F$13,"&lt;" &amp; A45)+COUNTIF($K$6:$K$13,"&lt;" &amp; A45)+COUNTIF($P$6:$P$13,"&lt;" &amp; A45)+COUNTIF($U$6:$U$13,"&lt;" &amp; A45)+COUNTIF($Z$6:$Z$13,"&lt;" &amp; A45)+COUNTIF($AE$6:$AE$13,"&lt;" &amp; A45)+COUNTIF($AJ$6:$AJ$13,"&lt;" &amp; A45)</f>
        <v>0</v>
      </c>
      <c r="T45" s="10"/>
      <c r="U45" s="10"/>
      <c r="V45" s="10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>
        <v>37.5</v>
      </c>
      <c r="AH45" s="78"/>
      <c r="AI45" s="78"/>
      <c r="AJ45" s="78"/>
      <c r="AK45" s="78"/>
      <c r="AL45" s="78"/>
      <c r="AM45" s="78"/>
      <c r="AN45" s="78"/>
      <c r="AO45" s="78"/>
      <c r="AP45" s="78"/>
      <c r="AQ45" s="10"/>
    </row>
    <row r="46" spans="1:43" x14ac:dyDescent="0.25">
      <c r="T46" s="10"/>
      <c r="U46" s="10"/>
      <c r="V46" s="10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78"/>
      <c r="AQ46" s="10"/>
    </row>
    <row r="47" spans="1:43" x14ac:dyDescent="0.25">
      <c r="T47" s="10"/>
      <c r="U47" s="10"/>
      <c r="V47" s="10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10"/>
    </row>
    <row r="48" spans="1:43" x14ac:dyDescent="0.25">
      <c r="T48" s="10"/>
      <c r="U48" s="10"/>
      <c r="V48" s="10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78"/>
      <c r="AO48" s="78"/>
      <c r="AP48" s="78"/>
      <c r="AQ48" s="10"/>
    </row>
    <row r="49" spans="1:43" ht="13" x14ac:dyDescent="0.3">
      <c r="A49" s="4" t="s">
        <v>106</v>
      </c>
      <c r="T49" s="10"/>
      <c r="U49" s="10"/>
      <c r="V49" s="10"/>
      <c r="W49" s="78"/>
      <c r="X49" s="78"/>
      <c r="Y49" s="78"/>
      <c r="Z49" s="78"/>
      <c r="AA49" s="78"/>
      <c r="AB49" s="80" t="s">
        <v>107</v>
      </c>
      <c r="AC49" s="80"/>
      <c r="AD49" s="78"/>
      <c r="AE49" s="78"/>
      <c r="AF49" s="78"/>
      <c r="AG49" s="78"/>
      <c r="AH49" s="78"/>
      <c r="AI49" s="78"/>
      <c r="AJ49" s="78"/>
      <c r="AK49" s="78"/>
      <c r="AL49" s="78"/>
      <c r="AM49" s="78"/>
      <c r="AN49" s="78"/>
      <c r="AO49" s="78"/>
      <c r="AP49" s="78"/>
      <c r="AQ49" s="10"/>
    </row>
    <row r="50" spans="1:43" x14ac:dyDescent="0.25">
      <c r="A50" s="3" t="s">
        <v>108</v>
      </c>
      <c r="T50" s="10"/>
      <c r="U50" s="10"/>
      <c r="V50" s="10"/>
      <c r="W50" s="78"/>
      <c r="X50" s="78"/>
      <c r="Y50" s="78"/>
      <c r="Z50" s="78"/>
      <c r="AA50" s="78"/>
      <c r="AB50" s="78" t="s">
        <v>109</v>
      </c>
      <c r="AC50" s="78"/>
      <c r="AD50" s="78"/>
      <c r="AE50" s="78"/>
      <c r="AF50" s="78"/>
      <c r="AG50" s="78"/>
      <c r="AH50" s="78"/>
      <c r="AI50" s="78"/>
      <c r="AJ50" s="78"/>
      <c r="AK50" s="78"/>
      <c r="AL50" s="78"/>
      <c r="AM50" s="78"/>
      <c r="AN50" s="78"/>
      <c r="AO50" s="78"/>
      <c r="AP50" s="78"/>
      <c r="AQ50" s="10"/>
    </row>
    <row r="51" spans="1:43" ht="13" x14ac:dyDescent="0.3">
      <c r="A51" s="4" t="s">
        <v>110</v>
      </c>
      <c r="T51" s="10"/>
      <c r="U51" s="10"/>
      <c r="V51" s="10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  <c r="AN51" s="78"/>
      <c r="AO51" s="78"/>
      <c r="AP51" s="78"/>
      <c r="AQ51" s="10"/>
    </row>
    <row r="52" spans="1:43" x14ac:dyDescent="0.25">
      <c r="A52" s="3" t="s">
        <v>111</v>
      </c>
      <c r="T52" s="10"/>
      <c r="U52" s="10"/>
      <c r="V52" s="10"/>
      <c r="W52" s="78"/>
      <c r="X52" s="78"/>
      <c r="Y52" s="78"/>
      <c r="Z52" s="78"/>
      <c r="AA52" s="78"/>
      <c r="AB52" s="78" t="s">
        <v>112</v>
      </c>
      <c r="AC52" s="78"/>
      <c r="AD52" s="78"/>
      <c r="AE52" s="78"/>
      <c r="AF52" s="78"/>
      <c r="AG52" s="78"/>
      <c r="AH52" s="78"/>
      <c r="AI52" s="78"/>
      <c r="AJ52" s="78"/>
      <c r="AK52" s="78"/>
      <c r="AL52" s="78"/>
      <c r="AM52" s="78"/>
      <c r="AN52" s="78"/>
      <c r="AO52" s="78"/>
      <c r="AP52" s="78"/>
      <c r="AQ52" s="10"/>
    </row>
    <row r="53" spans="1:43" x14ac:dyDescent="0.25">
      <c r="A53" s="3" t="s">
        <v>113</v>
      </c>
      <c r="T53" s="10"/>
      <c r="U53" s="10"/>
      <c r="V53" s="10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78"/>
      <c r="AO53" s="78"/>
      <c r="AP53" s="78"/>
      <c r="AQ53" s="10"/>
    </row>
    <row r="54" spans="1:43" x14ac:dyDescent="0.25">
      <c r="A54" s="3" t="s">
        <v>114</v>
      </c>
      <c r="T54" s="10"/>
      <c r="U54" s="10"/>
      <c r="V54" s="10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78"/>
      <c r="AL54" s="78"/>
      <c r="AM54" s="78"/>
      <c r="AN54" s="78"/>
      <c r="AO54" s="78"/>
      <c r="AP54" s="78"/>
      <c r="AQ54" s="10"/>
    </row>
    <row r="55" spans="1:43" x14ac:dyDescent="0.25">
      <c r="T55" s="10"/>
      <c r="U55" s="10"/>
      <c r="V55" s="10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10"/>
    </row>
    <row r="56" spans="1:43" ht="13" x14ac:dyDescent="0.3">
      <c r="A56" s="4" t="s">
        <v>115</v>
      </c>
      <c r="T56" s="10"/>
      <c r="U56" s="10"/>
      <c r="V56" s="10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78"/>
      <c r="AO56" s="78"/>
      <c r="AP56" s="78"/>
      <c r="AQ56" s="10"/>
    </row>
    <row r="57" spans="1:43" x14ac:dyDescent="0.25">
      <c r="A57" s="3" t="s">
        <v>116</v>
      </c>
      <c r="T57" s="10"/>
      <c r="U57" s="10"/>
      <c r="V57" s="10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/>
      <c r="AO57" s="78"/>
      <c r="AP57" s="78"/>
      <c r="AQ57" s="10"/>
    </row>
    <row r="58" spans="1:43" ht="13" x14ac:dyDescent="0.3">
      <c r="A58" s="4" t="s">
        <v>110</v>
      </c>
      <c r="T58" s="10"/>
      <c r="U58" s="10"/>
      <c r="V58" s="10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 t="s">
        <v>117</v>
      </c>
      <c r="AH58" s="78"/>
      <c r="AI58" s="78"/>
      <c r="AJ58" s="78"/>
      <c r="AK58" s="78"/>
      <c r="AL58" s="78"/>
      <c r="AM58" s="78"/>
      <c r="AN58" s="78"/>
      <c r="AO58" s="78"/>
      <c r="AP58" s="78"/>
      <c r="AQ58" s="10"/>
    </row>
    <row r="59" spans="1:43" x14ac:dyDescent="0.25">
      <c r="A59" s="3" t="s">
        <v>111</v>
      </c>
      <c r="T59" s="10"/>
      <c r="U59" s="10"/>
      <c r="V59" s="10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>
        <v>0</v>
      </c>
      <c r="AH59" s="78">
        <v>1</v>
      </c>
      <c r="AI59" s="78">
        <v>2</v>
      </c>
      <c r="AJ59" s="78">
        <v>3</v>
      </c>
      <c r="AK59" s="78">
        <v>4</v>
      </c>
      <c r="AL59" s="78">
        <v>5</v>
      </c>
      <c r="AM59" s="78">
        <v>6</v>
      </c>
      <c r="AN59" s="78"/>
      <c r="AO59" s="78"/>
      <c r="AP59" s="78"/>
      <c r="AQ59" s="10"/>
    </row>
    <row r="60" spans="1:43" x14ac:dyDescent="0.25">
      <c r="A60" s="3" t="s">
        <v>113</v>
      </c>
      <c r="T60" s="10"/>
      <c r="U60" s="10"/>
      <c r="V60" s="10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>
        <v>7</v>
      </c>
      <c r="AH60" s="78">
        <v>8</v>
      </c>
      <c r="AI60" s="78">
        <v>9</v>
      </c>
      <c r="AJ60" s="78">
        <v>10</v>
      </c>
      <c r="AK60" s="78">
        <v>11</v>
      </c>
      <c r="AL60" s="78">
        <v>12</v>
      </c>
      <c r="AM60" s="78">
        <v>13</v>
      </c>
      <c r="AN60" s="78"/>
      <c r="AO60" s="78"/>
      <c r="AP60" s="78"/>
      <c r="AQ60" s="10"/>
    </row>
    <row r="61" spans="1:43" x14ac:dyDescent="0.25">
      <c r="T61" s="10"/>
      <c r="U61" s="10"/>
      <c r="V61" s="10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>
        <v>14</v>
      </c>
      <c r="AH61" s="78">
        <v>15</v>
      </c>
      <c r="AI61" s="78">
        <v>16</v>
      </c>
      <c r="AJ61" s="78">
        <v>17</v>
      </c>
      <c r="AK61" s="78">
        <v>18</v>
      </c>
      <c r="AL61" s="78">
        <v>19</v>
      </c>
      <c r="AM61" s="78">
        <v>20</v>
      </c>
      <c r="AN61" s="78"/>
      <c r="AO61" s="78"/>
      <c r="AP61" s="78"/>
      <c r="AQ61" s="10"/>
    </row>
    <row r="62" spans="1:43" ht="13" x14ac:dyDescent="0.3">
      <c r="A62" s="4" t="s">
        <v>118</v>
      </c>
      <c r="T62" s="10"/>
      <c r="U62" s="10"/>
      <c r="V62" s="10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>
        <v>21</v>
      </c>
      <c r="AH62" s="78">
        <v>22</v>
      </c>
      <c r="AI62" s="78">
        <v>23</v>
      </c>
      <c r="AJ62" s="78">
        <v>24</v>
      </c>
      <c r="AK62" s="78">
        <v>25</v>
      </c>
      <c r="AL62" s="78">
        <v>26</v>
      </c>
      <c r="AM62" s="78">
        <v>27</v>
      </c>
      <c r="AN62" s="78"/>
      <c r="AO62" s="78"/>
      <c r="AP62" s="78"/>
      <c r="AQ62" s="10"/>
    </row>
    <row r="63" spans="1:43" x14ac:dyDescent="0.25">
      <c r="A63" s="3" t="s">
        <v>119</v>
      </c>
      <c r="T63" s="10"/>
      <c r="U63" s="10"/>
      <c r="V63" s="10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>
        <v>28</v>
      </c>
      <c r="AH63" s="78">
        <v>29</v>
      </c>
      <c r="AI63" s="78">
        <v>30</v>
      </c>
      <c r="AJ63" s="78">
        <v>31</v>
      </c>
      <c r="AK63" s="78">
        <v>32</v>
      </c>
      <c r="AL63" s="78">
        <v>33</v>
      </c>
      <c r="AM63" s="78">
        <v>34</v>
      </c>
      <c r="AN63" s="78"/>
      <c r="AO63" s="78"/>
      <c r="AP63" s="78"/>
      <c r="AQ63" s="10"/>
    </row>
    <row r="64" spans="1:43" x14ac:dyDescent="0.25">
      <c r="A64" s="3" t="s">
        <v>120</v>
      </c>
      <c r="T64" s="10"/>
      <c r="U64" s="10"/>
      <c r="V64" s="10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>
        <v>35</v>
      </c>
      <c r="AH64" s="78">
        <v>36</v>
      </c>
      <c r="AI64" s="78">
        <v>37</v>
      </c>
      <c r="AJ64" s="78">
        <v>38</v>
      </c>
      <c r="AK64" s="78">
        <v>39</v>
      </c>
      <c r="AL64" s="78">
        <v>40</v>
      </c>
      <c r="AM64" s="78">
        <v>41</v>
      </c>
      <c r="AN64" s="78"/>
      <c r="AO64" s="78"/>
      <c r="AP64" s="78"/>
      <c r="AQ64" s="10"/>
    </row>
    <row r="65" spans="1:43" x14ac:dyDescent="0.25">
      <c r="T65" s="10"/>
      <c r="U65" s="10"/>
      <c r="V65" s="10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>
        <v>42</v>
      </c>
      <c r="AH65" s="78">
        <v>43</v>
      </c>
      <c r="AI65" s="78">
        <v>44</v>
      </c>
      <c r="AJ65" s="78">
        <v>45</v>
      </c>
      <c r="AK65" s="78">
        <v>46</v>
      </c>
      <c r="AL65" s="78">
        <v>47</v>
      </c>
      <c r="AM65" s="78">
        <v>48</v>
      </c>
      <c r="AN65" s="78"/>
      <c r="AO65" s="78"/>
      <c r="AP65" s="78"/>
      <c r="AQ65" s="10"/>
    </row>
    <row r="66" spans="1:43" ht="13" x14ac:dyDescent="0.3">
      <c r="A66" s="3" t="s">
        <v>121</v>
      </c>
      <c r="B66" s="4"/>
      <c r="T66" s="10"/>
      <c r="U66" s="10"/>
      <c r="V66" s="10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>
        <v>49</v>
      </c>
      <c r="AH66" s="78">
        <v>50</v>
      </c>
      <c r="AI66" s="78">
        <v>51</v>
      </c>
      <c r="AJ66" s="78">
        <v>52</v>
      </c>
      <c r="AK66" s="78">
        <v>53</v>
      </c>
      <c r="AL66" s="78">
        <v>54</v>
      </c>
      <c r="AM66" s="78">
        <v>55</v>
      </c>
      <c r="AN66" s="78"/>
      <c r="AO66" s="78"/>
      <c r="AP66" s="78"/>
      <c r="AQ66" s="10"/>
    </row>
    <row r="67" spans="1:43" ht="13" x14ac:dyDescent="0.3">
      <c r="A67" s="1">
        <v>9</v>
      </c>
      <c r="B67" s="5">
        <f>COUNTIF($E$6:$E$13,"&gt;" &amp; A67)+COUNTIF($J$6:$J$13,"&gt;" &amp; A67)+COUNTIF($O$6:$O$13,"&gt;" &amp; A67)+COUNTIF($T$6:$T$13,"&gt;" &amp; A67)+COUNTIF($Y$6:$Y$13,"&gt;" &amp; A67)+COUNTIF($AD$6:$AD$13,"&gt;" &amp; A67)+COUNTIF($AI$6:$AI$13,"&gt;" &amp; A67)</f>
        <v>0</v>
      </c>
      <c r="C67" s="3" t="s">
        <v>122</v>
      </c>
      <c r="E67" s="3" t="s">
        <v>123</v>
      </c>
      <c r="H67" s="1" t="s">
        <v>124</v>
      </c>
      <c r="L67" s="3" t="s">
        <v>125</v>
      </c>
      <c r="T67" s="10"/>
      <c r="U67" s="10"/>
      <c r="V67" s="10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>
        <v>56</v>
      </c>
      <c r="AH67" s="78">
        <v>57</v>
      </c>
      <c r="AI67" s="78">
        <v>58</v>
      </c>
      <c r="AJ67" s="78">
        <v>59</v>
      </c>
      <c r="AK67" s="78">
        <v>60</v>
      </c>
      <c r="AL67" s="78">
        <v>61</v>
      </c>
      <c r="AM67" s="78">
        <v>62</v>
      </c>
      <c r="AN67" s="78"/>
      <c r="AO67" s="78"/>
      <c r="AP67" s="78"/>
      <c r="AQ67" s="10"/>
    </row>
    <row r="68" spans="1:43" x14ac:dyDescent="0.25">
      <c r="T68" s="10"/>
      <c r="U68" s="10"/>
      <c r="V68" s="10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>
        <v>63</v>
      </c>
      <c r="AH68" s="78">
        <v>64</v>
      </c>
      <c r="AI68" s="78">
        <v>65</v>
      </c>
      <c r="AJ68" s="78">
        <v>66</v>
      </c>
      <c r="AK68" s="78">
        <v>67</v>
      </c>
      <c r="AL68" s="78">
        <v>68</v>
      </c>
      <c r="AM68" s="78">
        <v>69</v>
      </c>
      <c r="AN68" s="78"/>
      <c r="AO68" s="78"/>
      <c r="AP68" s="78"/>
      <c r="AQ68" s="10"/>
    </row>
    <row r="69" spans="1:43" x14ac:dyDescent="0.25">
      <c r="A69" s="3" t="s">
        <v>126</v>
      </c>
      <c r="T69" s="10"/>
      <c r="U69" s="10"/>
      <c r="V69" s="10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>
        <v>70</v>
      </c>
      <c r="AH69" s="78">
        <v>71</v>
      </c>
      <c r="AI69" s="78">
        <v>72</v>
      </c>
      <c r="AJ69" s="78">
        <v>73</v>
      </c>
      <c r="AK69" s="78">
        <v>74</v>
      </c>
      <c r="AL69" s="78">
        <v>75</v>
      </c>
      <c r="AM69" s="78">
        <v>76</v>
      </c>
      <c r="AN69" s="78"/>
      <c r="AO69" s="78"/>
      <c r="AP69" s="78"/>
      <c r="AQ69" s="10"/>
    </row>
    <row r="70" spans="1:43" x14ac:dyDescent="0.25">
      <c r="A70" s="1">
        <v>20</v>
      </c>
      <c r="B70" s="5">
        <f>COUNTIF($AK$6:$AK$13,"&gt;" &amp; A70)</f>
        <v>0</v>
      </c>
      <c r="C70" s="3" t="s">
        <v>127</v>
      </c>
      <c r="E70" s="3" t="s">
        <v>128</v>
      </c>
      <c r="H70" s="1" t="s">
        <v>124</v>
      </c>
      <c r="T70" s="10"/>
      <c r="U70" s="10"/>
      <c r="V70" s="10"/>
      <c r="W70" s="78"/>
      <c r="X70" s="78"/>
      <c r="Y70" s="78"/>
      <c r="Z70" s="78"/>
      <c r="AA70" s="78"/>
      <c r="AB70" s="78"/>
      <c r="AC70" s="78"/>
      <c r="AD70" s="78"/>
      <c r="AE70" s="78"/>
      <c r="AF70" s="78"/>
      <c r="AG70" s="78">
        <v>77</v>
      </c>
      <c r="AH70" s="78">
        <v>78</v>
      </c>
      <c r="AI70" s="78">
        <v>79</v>
      </c>
      <c r="AJ70" s="78">
        <v>80</v>
      </c>
      <c r="AK70" s="78">
        <v>81</v>
      </c>
      <c r="AL70" s="78">
        <v>82</v>
      </c>
      <c r="AM70" s="78">
        <v>83</v>
      </c>
      <c r="AN70" s="78"/>
      <c r="AO70" s="78"/>
      <c r="AP70" s="78"/>
      <c r="AQ70" s="10"/>
    </row>
    <row r="71" spans="1:43" x14ac:dyDescent="0.25">
      <c r="W71" s="78"/>
      <c r="X71" s="78"/>
      <c r="Y71" s="78"/>
      <c r="Z71" s="78"/>
      <c r="AA71" s="78"/>
      <c r="AB71" s="78"/>
      <c r="AC71" s="78"/>
      <c r="AD71" s="78"/>
      <c r="AE71" s="78"/>
      <c r="AF71" s="78"/>
      <c r="AG71" s="78">
        <v>84</v>
      </c>
      <c r="AH71" s="78">
        <v>85</v>
      </c>
      <c r="AI71" s="78">
        <v>86</v>
      </c>
      <c r="AJ71" s="78">
        <v>87</v>
      </c>
      <c r="AK71" s="78">
        <v>88</v>
      </c>
      <c r="AL71" s="78">
        <v>89</v>
      </c>
      <c r="AM71" s="78">
        <v>90</v>
      </c>
      <c r="AN71" s="78"/>
      <c r="AO71" s="78"/>
      <c r="AP71" s="78"/>
    </row>
    <row r="72" spans="1:43" x14ac:dyDescent="0.25"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  <c r="AL72" s="78"/>
      <c r="AM72" s="78"/>
      <c r="AN72" s="78"/>
      <c r="AO72" s="78"/>
      <c r="AP72" s="78"/>
    </row>
    <row r="73" spans="1:43" x14ac:dyDescent="0.25">
      <c r="W73" s="78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8"/>
      <c r="AK73" s="78"/>
      <c r="AL73" s="78"/>
      <c r="AM73" s="78"/>
      <c r="AN73" s="78"/>
      <c r="AO73" s="78"/>
      <c r="AP73" s="78"/>
    </row>
    <row r="74" spans="1:43" x14ac:dyDescent="0.25"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78"/>
      <c r="AO74" s="78"/>
      <c r="AP74" s="78"/>
    </row>
    <row r="75" spans="1:43" x14ac:dyDescent="0.25"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  <c r="AK75" s="78"/>
      <c r="AL75" s="78"/>
      <c r="AM75" s="78"/>
      <c r="AN75" s="78"/>
      <c r="AO75" s="78"/>
      <c r="AP75" s="78"/>
    </row>
    <row r="76" spans="1:43" x14ac:dyDescent="0.25">
      <c r="W76" s="78"/>
      <c r="X76" s="78"/>
      <c r="Y76" s="78"/>
      <c r="Z76" s="78"/>
      <c r="AA76" s="78"/>
      <c r="AB76" s="78"/>
      <c r="AC76" s="78"/>
      <c r="AD76" s="78"/>
      <c r="AE76" s="78"/>
      <c r="AF76" s="78"/>
      <c r="AG76" s="78"/>
      <c r="AH76" s="78"/>
      <c r="AI76" s="78"/>
      <c r="AJ76" s="78"/>
      <c r="AK76" s="78"/>
      <c r="AL76" s="78"/>
      <c r="AM76" s="78"/>
      <c r="AN76" s="78"/>
      <c r="AO76" s="78"/>
      <c r="AP76" s="78"/>
    </row>
    <row r="77" spans="1:43" x14ac:dyDescent="0.25"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78"/>
      <c r="AK77" s="78"/>
      <c r="AL77" s="78"/>
      <c r="AM77" s="78"/>
      <c r="AN77" s="78"/>
      <c r="AO77" s="78"/>
      <c r="AP77" s="78"/>
    </row>
    <row r="78" spans="1:43" x14ac:dyDescent="0.25">
      <c r="W78" s="78"/>
      <c r="X78" s="78"/>
      <c r="Y78" s="78"/>
      <c r="Z78" s="78"/>
      <c r="AA78" s="78"/>
      <c r="AB78" s="78"/>
      <c r="AC78" s="78"/>
      <c r="AD78" s="78"/>
      <c r="AE78" s="78"/>
      <c r="AF78" s="78"/>
      <c r="AG78" s="78"/>
      <c r="AH78" s="78"/>
      <c r="AI78" s="78"/>
      <c r="AJ78" s="78"/>
      <c r="AK78" s="78"/>
      <c r="AL78" s="78"/>
      <c r="AM78" s="78"/>
      <c r="AN78" s="78"/>
      <c r="AO78" s="78"/>
      <c r="AP78" s="78"/>
    </row>
    <row r="79" spans="1:43" x14ac:dyDescent="0.25">
      <c r="W79" s="78"/>
      <c r="X79" s="78"/>
      <c r="Y79" s="78"/>
      <c r="Z79" s="78"/>
      <c r="AA79" s="78"/>
      <c r="AB79" s="78"/>
      <c r="AC79" s="78"/>
      <c r="AD79" s="78"/>
      <c r="AE79" s="78"/>
      <c r="AF79" s="78"/>
      <c r="AG79" s="78"/>
      <c r="AH79" s="78"/>
      <c r="AI79" s="78"/>
      <c r="AJ79" s="78"/>
      <c r="AK79" s="78"/>
      <c r="AL79" s="78"/>
      <c r="AM79" s="78"/>
      <c r="AN79" s="78"/>
      <c r="AO79" s="78"/>
      <c r="AP79" s="78"/>
    </row>
    <row r="80" spans="1:43" x14ac:dyDescent="0.25">
      <c r="W80" s="78"/>
      <c r="X80" s="78"/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  <c r="AJ80" s="78"/>
      <c r="AK80" s="78"/>
      <c r="AL80" s="78"/>
      <c r="AM80" s="78"/>
      <c r="AN80" s="78"/>
      <c r="AO80" s="78"/>
      <c r="AP80" s="78"/>
    </row>
    <row r="81" spans="1:42" x14ac:dyDescent="0.25"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  <c r="AJ81" s="78"/>
      <c r="AK81" s="78"/>
      <c r="AL81" s="78"/>
      <c r="AM81" s="78"/>
      <c r="AN81" s="78"/>
      <c r="AO81" s="78"/>
      <c r="AP81" s="78"/>
    </row>
    <row r="82" spans="1:42" x14ac:dyDescent="0.25"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8"/>
      <c r="AH82" s="78"/>
      <c r="AI82" s="78"/>
      <c r="AJ82" s="78"/>
      <c r="AK82" s="78"/>
      <c r="AL82" s="78"/>
      <c r="AM82" s="78"/>
      <c r="AN82" s="78"/>
      <c r="AO82" s="78"/>
      <c r="AP82" s="78"/>
    </row>
    <row r="83" spans="1:42" x14ac:dyDescent="0.25"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</row>
    <row r="84" spans="1:42" x14ac:dyDescent="0.25"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</row>
    <row r="85" spans="1:42" x14ac:dyDescent="0.25"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</row>
    <row r="86" spans="1:42" x14ac:dyDescent="0.25"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8"/>
      <c r="AO86" s="78"/>
      <c r="AP86" s="78"/>
    </row>
    <row r="87" spans="1:42" x14ac:dyDescent="0.25"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  <c r="AN87" s="78"/>
      <c r="AO87" s="78"/>
      <c r="AP87" s="78"/>
    </row>
    <row r="95" spans="1:42" ht="13" x14ac:dyDescent="0.3">
      <c r="A95" s="4"/>
    </row>
  </sheetData>
  <sheetProtection algorithmName="SHA-512" hashValue="jFfi2k+agDptrWZVzWAr8JnxhmAqVUHe1Upx3+zdNeze5xgpc2d3d3OIKDPMfVGyvlUNQ/T8AaoZW7GBbqQHZQ==" saltValue="S+m0sB2BDkTGyCLygHhGXA==" spinCount="100000" sheet="1" objects="1" scenarios="1"/>
  <mergeCells count="27">
    <mergeCell ref="A1:C1"/>
    <mergeCell ref="H1:L1"/>
    <mergeCell ref="A2:C2"/>
    <mergeCell ref="A3:C3"/>
    <mergeCell ref="B4:F4"/>
    <mergeCell ref="G4:J4"/>
    <mergeCell ref="L4:O4"/>
    <mergeCell ref="I2:J2"/>
    <mergeCell ref="Q4:T4"/>
    <mergeCell ref="V4:Y4"/>
    <mergeCell ref="AA4:AD4"/>
    <mergeCell ref="AF4:AI4"/>
    <mergeCell ref="AG39:AK39"/>
    <mergeCell ref="A28:C28"/>
    <mergeCell ref="A29:C29"/>
    <mergeCell ref="A30:C30"/>
    <mergeCell ref="D32:E32"/>
    <mergeCell ref="H32:I32"/>
    <mergeCell ref="A37:C37"/>
    <mergeCell ref="D31:E31"/>
    <mergeCell ref="H31:I31"/>
    <mergeCell ref="A36:E36"/>
    <mergeCell ref="N32:O32"/>
    <mergeCell ref="A33:C33"/>
    <mergeCell ref="G33:H33"/>
    <mergeCell ref="A34:B34"/>
    <mergeCell ref="N31:O31"/>
  </mergeCells>
  <conditionalFormatting sqref="A6:A17">
    <cfRule type="cellIs" dxfId="469" priority="363" operator="equal">
      <formula>0</formula>
    </cfRule>
  </conditionalFormatting>
  <conditionalFormatting sqref="A37">
    <cfRule type="cellIs" dxfId="468" priority="243" operator="notEqual">
      <formula>$E$2</formula>
    </cfRule>
    <cfRule type="cellIs" dxfId="467" priority="244" operator="equal">
      <formula>$E$2</formula>
    </cfRule>
  </conditionalFormatting>
  <conditionalFormatting sqref="A32:D32 F32:H32 C34">
    <cfRule type="cellIs" dxfId="466" priority="241" operator="notEqual">
      <formula>$E$3</formula>
    </cfRule>
    <cfRule type="cellIs" dxfId="465" priority="242" operator="equal">
      <formula>$E$3</formula>
    </cfRule>
  </conditionalFormatting>
  <conditionalFormatting sqref="B6:D17">
    <cfRule type="expression" dxfId="464" priority="112">
      <formula>$A6=0</formula>
    </cfRule>
  </conditionalFormatting>
  <conditionalFormatting sqref="E6:E17">
    <cfRule type="expression" dxfId="463" priority="116">
      <formula>AND($H$67="ja",E6&gt;$A$67)</formula>
    </cfRule>
    <cfRule type="cellIs" dxfId="462" priority="117" operator="greaterThanOrEqual">
      <formula>0</formula>
    </cfRule>
  </conditionalFormatting>
  <conditionalFormatting sqref="F6:F17">
    <cfRule type="cellIs" dxfId="461" priority="31" operator="lessThan">
      <formula>$A$45</formula>
    </cfRule>
    <cfRule type="cellIs" dxfId="460" priority="32" operator="equal">
      <formula>0</formula>
    </cfRule>
    <cfRule type="cellIs" dxfId="459" priority="33" operator="notEqual">
      <formula>0</formula>
    </cfRule>
  </conditionalFormatting>
  <conditionalFormatting sqref="G6:I17">
    <cfRule type="expression" dxfId="458" priority="52">
      <formula>$A6=0</formula>
    </cfRule>
  </conditionalFormatting>
  <conditionalFormatting sqref="J6:J17">
    <cfRule type="expression" dxfId="457" priority="104">
      <formula>AND($H$67="ja",J6&gt;$A$67)</formula>
    </cfRule>
    <cfRule type="cellIs" dxfId="456" priority="105" operator="greaterThanOrEqual">
      <formula>0</formula>
    </cfRule>
  </conditionalFormatting>
  <conditionalFormatting sqref="J32:N32">
    <cfRule type="cellIs" dxfId="455" priority="239" operator="notEqual">
      <formula>$E$3</formula>
    </cfRule>
    <cfRule type="cellIs" dxfId="454" priority="240" operator="equal">
      <formula>$E$3</formula>
    </cfRule>
  </conditionalFormatting>
  <conditionalFormatting sqref="K6:K17">
    <cfRule type="cellIs" dxfId="453" priority="28" operator="lessThan">
      <formula>$A$45</formula>
    </cfRule>
    <cfRule type="cellIs" dxfId="452" priority="29" operator="equal">
      <formula>0</formula>
    </cfRule>
    <cfRule type="cellIs" dxfId="451" priority="30" operator="notEqual">
      <formula>0</formula>
    </cfRule>
  </conditionalFormatting>
  <conditionalFormatting sqref="L6:N17">
    <cfRule type="expression" dxfId="450" priority="48">
      <formula>$A6=0</formula>
    </cfRule>
  </conditionalFormatting>
  <conditionalFormatting sqref="O6:O17">
    <cfRule type="cellIs" dxfId="449" priority="97" operator="greaterThanOrEqual">
      <formula>0</formula>
    </cfRule>
    <cfRule type="expression" dxfId="448" priority="96">
      <formula>AND($H$67="ja",O6&gt;$A$67)</formula>
    </cfRule>
  </conditionalFormatting>
  <conditionalFormatting sqref="P6:P17">
    <cfRule type="cellIs" dxfId="447" priority="22" operator="lessThan">
      <formula>$A$45</formula>
    </cfRule>
    <cfRule type="cellIs" dxfId="446" priority="23" operator="equal">
      <formula>0</formula>
    </cfRule>
    <cfRule type="cellIs" dxfId="445" priority="24" operator="notEqual">
      <formula>0</formula>
    </cfRule>
  </conditionalFormatting>
  <conditionalFormatting sqref="Q6:S17">
    <cfRule type="expression" dxfId="444" priority="47">
      <formula>$A6=0</formula>
    </cfRule>
  </conditionalFormatting>
  <conditionalFormatting sqref="T6:T17">
    <cfRule type="cellIs" dxfId="443" priority="89" operator="greaterThanOrEqual">
      <formula>0</formula>
    </cfRule>
    <cfRule type="expression" dxfId="442" priority="88">
      <formula>AND($H$67="ja",T6&gt;$A$67)</formula>
    </cfRule>
  </conditionalFormatting>
  <conditionalFormatting sqref="U6:U17">
    <cfRule type="cellIs" dxfId="441" priority="17" operator="equal">
      <formula>0</formula>
    </cfRule>
    <cfRule type="cellIs" dxfId="440" priority="16" operator="lessThan">
      <formula>$A$45</formula>
    </cfRule>
    <cfRule type="cellIs" dxfId="439" priority="18" operator="notEqual">
      <formula>0</formula>
    </cfRule>
  </conditionalFormatting>
  <conditionalFormatting sqref="V6:X17">
    <cfRule type="expression" dxfId="438" priority="46">
      <formula>$A6=0</formula>
    </cfRule>
  </conditionalFormatting>
  <conditionalFormatting sqref="Y6:Y17 AD6:AD17 AI6:AI17">
    <cfRule type="expression" dxfId="437" priority="59">
      <formula>AND($H$67="ja",Y6&gt;$A$67)</formula>
    </cfRule>
    <cfRule type="cellIs" dxfId="436" priority="60" operator="greaterThanOrEqual">
      <formula>0</formula>
    </cfRule>
  </conditionalFormatting>
  <conditionalFormatting sqref="Z6:Z17">
    <cfRule type="cellIs" dxfId="435" priority="11" operator="equal">
      <formula>0</formula>
    </cfRule>
    <cfRule type="cellIs" dxfId="434" priority="10" operator="lessThan">
      <formula>$A$45</formula>
    </cfRule>
    <cfRule type="cellIs" dxfId="433" priority="12" operator="notEqual">
      <formula>0</formula>
    </cfRule>
  </conditionalFormatting>
  <conditionalFormatting sqref="AA6:AC17">
    <cfRule type="expression" dxfId="432" priority="43">
      <formula>$A6=0</formula>
    </cfRule>
  </conditionalFormatting>
  <conditionalFormatting sqref="AE6:AE17">
    <cfRule type="cellIs" dxfId="431" priority="5" operator="equal">
      <formula>0</formula>
    </cfRule>
    <cfRule type="cellIs" dxfId="430" priority="4" operator="lessThan">
      <formula>$A$45</formula>
    </cfRule>
    <cfRule type="cellIs" dxfId="429" priority="6" operator="notEqual">
      <formula>0</formula>
    </cfRule>
  </conditionalFormatting>
  <conditionalFormatting sqref="AF6:AH17">
    <cfRule type="expression" dxfId="428" priority="34">
      <formula>$A6=0</formula>
    </cfRule>
  </conditionalFormatting>
  <conditionalFormatting sqref="AJ6:AJ17">
    <cfRule type="cellIs" dxfId="427" priority="3" operator="notEqual">
      <formula>0</formula>
    </cfRule>
    <cfRule type="cellIs" dxfId="426" priority="2" operator="equal">
      <formula>0</formula>
    </cfRule>
    <cfRule type="cellIs" dxfId="425" priority="1" operator="lessThan">
      <formula>$A$45</formula>
    </cfRule>
  </conditionalFormatting>
  <conditionalFormatting sqref="AK6:AK17">
    <cfRule type="expression" dxfId="424" priority="58">
      <formula>AND($H$70="ja",AK6&gt;$A$70)</formula>
    </cfRule>
    <cfRule type="cellIs" dxfId="423" priority="61" operator="greaterThanOrEqual">
      <formula>0</formula>
    </cfRule>
  </conditionalFormatting>
  <dataValidations count="2">
    <dataValidation type="list" showInputMessage="1" showErrorMessage="1" promptTitle="Velg Turnus startdag" prompt="Velg hvilken dag turnusen starte å telle ifra. (Typisk Mandag)" sqref="E1" xr:uid="{00000000-0002-0000-1100-000000000000}">
      <formula1>Ukedager</formula1>
    </dataValidation>
    <dataValidation type="list" allowBlank="1" showInputMessage="1" showErrorMessage="1" sqref="H67 H70" xr:uid="{00000000-0002-0000-1100-000001000000}">
      <formula1>Ja_og_nei</formula1>
    </dataValidation>
  </dataValidation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21"/>
  <dimension ref="A1:AQ106"/>
  <sheetViews>
    <sheetView zoomScale="85" zoomScaleNormal="85" workbookViewId="0">
      <pane ySplit="24" topLeftCell="A25" activePane="bottomLeft" state="frozen"/>
      <selection pane="bottomLeft" activeCell="C12" sqref="C12"/>
    </sheetView>
  </sheetViews>
  <sheetFormatPr defaultColWidth="9.08984375" defaultRowHeight="12.5" x14ac:dyDescent="0.25"/>
  <cols>
    <col min="1" max="1" width="10.7265625" style="3" customWidth="1"/>
    <col min="2" max="2" width="7.6328125" style="3" customWidth="1"/>
    <col min="3" max="3" width="7.81640625" style="3" customWidth="1"/>
    <col min="4" max="4" width="4.36328125" style="3" bestFit="1" customWidth="1"/>
    <col min="5" max="6" width="10" style="3" customWidth="1"/>
    <col min="7" max="7" width="7" style="3" customWidth="1"/>
    <col min="8" max="8" width="7.6328125" style="3" customWidth="1"/>
    <col min="9" max="9" width="4.36328125" style="3" bestFit="1" customWidth="1"/>
    <col min="10" max="11" width="10" style="3" customWidth="1"/>
    <col min="12" max="12" width="7.26953125" style="3" customWidth="1"/>
    <col min="13" max="13" width="7.7265625" style="3" customWidth="1"/>
    <col min="14" max="14" width="4.36328125" style="3" bestFit="1" customWidth="1"/>
    <col min="15" max="15" width="10.08984375" style="3" bestFit="1" customWidth="1"/>
    <col min="16" max="16" width="10.08984375" style="3" customWidth="1"/>
    <col min="17" max="17" width="7.6328125" style="3" customWidth="1"/>
    <col min="18" max="18" width="7.7265625" style="3" customWidth="1"/>
    <col min="19" max="19" width="4.36328125" style="3" bestFit="1" customWidth="1"/>
    <col min="20" max="20" width="10.08984375" style="3" bestFit="1" customWidth="1"/>
    <col min="21" max="21" width="10.08984375" style="3" customWidth="1"/>
    <col min="22" max="22" width="8.36328125" style="3" customWidth="1"/>
    <col min="23" max="23" width="8.81640625" style="3" customWidth="1"/>
    <col min="24" max="24" width="4.36328125" style="3" bestFit="1" customWidth="1"/>
    <col min="25" max="26" width="10" style="3" customWidth="1"/>
    <col min="27" max="28" width="7.81640625" style="3" customWidth="1"/>
    <col min="29" max="29" width="4.36328125" style="3" bestFit="1" customWidth="1"/>
    <col min="30" max="31" width="9.7265625" style="3" customWidth="1"/>
    <col min="32" max="32" width="6.81640625" style="3" customWidth="1"/>
    <col min="33" max="33" width="7.6328125" style="3" customWidth="1"/>
    <col min="34" max="34" width="4.36328125" style="3" bestFit="1" customWidth="1"/>
    <col min="35" max="36" width="9.6328125" style="3" customWidth="1"/>
    <col min="37" max="37" width="15.6328125" style="3" bestFit="1" customWidth="1"/>
    <col min="38" max="16384" width="9.08984375" style="3"/>
  </cols>
  <sheetData>
    <row r="1" spans="1:39" ht="13" x14ac:dyDescent="0.3">
      <c r="A1" s="98" t="s">
        <v>66</v>
      </c>
      <c r="B1" s="98"/>
      <c r="C1" s="98"/>
      <c r="D1" s="88"/>
      <c r="E1" s="5" t="str">
        <f>Vaktplan!G38</f>
        <v>mandag</v>
      </c>
      <c r="H1" s="98" t="s">
        <v>67</v>
      </c>
      <c r="I1" s="98"/>
      <c r="J1" s="98"/>
      <c r="K1" s="98"/>
      <c r="L1" s="98"/>
      <c r="M1" s="5">
        <f>Vaktplan!AJ57</f>
        <v>12</v>
      </c>
    </row>
    <row r="2" spans="1:39" ht="13" x14ac:dyDescent="0.3">
      <c r="A2" s="98" t="s">
        <v>36</v>
      </c>
      <c r="B2" s="98"/>
      <c r="C2" s="98"/>
      <c r="D2" s="88"/>
      <c r="E2" s="8">
        <f>Vaktplan!AM57</f>
        <v>0</v>
      </c>
      <c r="I2" s="106"/>
      <c r="J2" s="106"/>
    </row>
    <row r="3" spans="1:39" ht="13" x14ac:dyDescent="0.3">
      <c r="A3" s="98" t="s">
        <v>68</v>
      </c>
      <c r="B3" s="98"/>
      <c r="C3" s="98"/>
      <c r="D3" s="88"/>
      <c r="E3" s="5">
        <f>Vaktplan!AQ57</f>
        <v>0</v>
      </c>
      <c r="F3" s="4" t="s">
        <v>69</v>
      </c>
    </row>
    <row r="4" spans="1:39" ht="13" x14ac:dyDescent="0.3">
      <c r="A4" s="89" t="s">
        <v>70</v>
      </c>
      <c r="B4" s="103" t="str">
        <f>TEXT(AG39,"DDDD")</f>
        <v>Monday</v>
      </c>
      <c r="C4" s="104"/>
      <c r="D4" s="104"/>
      <c r="E4" s="104"/>
      <c r="F4" s="105"/>
      <c r="G4" s="102" t="str">
        <f>TEXT($AG$39+1,"DDDD")</f>
        <v>Tuesday</v>
      </c>
      <c r="H4" s="102"/>
      <c r="I4" s="102"/>
      <c r="J4" s="102"/>
      <c r="K4" s="89"/>
      <c r="L4" s="102" t="str">
        <f>TEXT($AG$39+2,"DDDD")</f>
        <v>Wednesday</v>
      </c>
      <c r="M4" s="102"/>
      <c r="N4" s="102"/>
      <c r="O4" s="102"/>
      <c r="P4" s="89"/>
      <c r="Q4" s="102" t="str">
        <f>TEXT($AG$39+3,"DDDD")</f>
        <v>Thursday</v>
      </c>
      <c r="R4" s="102"/>
      <c r="S4" s="102"/>
      <c r="T4" s="102"/>
      <c r="U4" s="89"/>
      <c r="V4" s="102" t="str">
        <f>TEXT($AG$39+4,"DDDD")</f>
        <v>Friday</v>
      </c>
      <c r="W4" s="102"/>
      <c r="X4" s="102"/>
      <c r="Y4" s="102"/>
      <c r="Z4" s="89"/>
      <c r="AA4" s="102" t="str">
        <f>TEXT($AG$39+5,"DDDD")</f>
        <v>Saturday</v>
      </c>
      <c r="AB4" s="102"/>
      <c r="AC4" s="102"/>
      <c r="AD4" s="102"/>
      <c r="AE4" s="89"/>
      <c r="AF4" s="102" t="str">
        <f>TEXT($AG$39+6,"DDDD")</f>
        <v>Sunday</v>
      </c>
      <c r="AG4" s="102"/>
      <c r="AH4" s="102"/>
      <c r="AI4" s="102"/>
      <c r="AJ4" s="89"/>
      <c r="AK4" s="7" t="s">
        <v>71</v>
      </c>
      <c r="AL4" s="91"/>
    </row>
    <row r="5" spans="1:39" x14ac:dyDescent="0.25">
      <c r="A5" s="6"/>
      <c r="B5" s="6" t="s">
        <v>72</v>
      </c>
      <c r="C5" s="6" t="s">
        <v>73</v>
      </c>
      <c r="D5" s="6" t="s">
        <v>55</v>
      </c>
      <c r="E5" s="6" t="s">
        <v>74</v>
      </c>
      <c r="F5" s="6" t="s">
        <v>75</v>
      </c>
      <c r="G5" s="6" t="s">
        <v>72</v>
      </c>
      <c r="H5" s="6" t="s">
        <v>73</v>
      </c>
      <c r="I5" s="6" t="s">
        <v>55</v>
      </c>
      <c r="J5" s="6" t="s">
        <v>74</v>
      </c>
      <c r="K5" s="6" t="s">
        <v>75</v>
      </c>
      <c r="L5" s="6" t="s">
        <v>72</v>
      </c>
      <c r="M5" s="6" t="s">
        <v>73</v>
      </c>
      <c r="N5" s="6" t="s">
        <v>55</v>
      </c>
      <c r="O5" s="6" t="s">
        <v>74</v>
      </c>
      <c r="P5" s="6" t="s">
        <v>75</v>
      </c>
      <c r="Q5" s="6" t="s">
        <v>72</v>
      </c>
      <c r="R5" s="6" t="s">
        <v>73</v>
      </c>
      <c r="S5" s="6" t="s">
        <v>55</v>
      </c>
      <c r="T5" s="6" t="s">
        <v>74</v>
      </c>
      <c r="U5" s="6" t="s">
        <v>75</v>
      </c>
      <c r="V5" s="6" t="s">
        <v>72</v>
      </c>
      <c r="W5" s="6" t="s">
        <v>73</v>
      </c>
      <c r="X5" s="6" t="s">
        <v>55</v>
      </c>
      <c r="Y5" s="6" t="s">
        <v>74</v>
      </c>
      <c r="Z5" s="6" t="s">
        <v>75</v>
      </c>
      <c r="AA5" s="6" t="s">
        <v>72</v>
      </c>
      <c r="AB5" s="6" t="s">
        <v>73</v>
      </c>
      <c r="AC5" s="6" t="s">
        <v>55</v>
      </c>
      <c r="AD5" s="6" t="s">
        <v>74</v>
      </c>
      <c r="AE5" s="6" t="s">
        <v>75</v>
      </c>
      <c r="AF5" s="6" t="s">
        <v>72</v>
      </c>
      <c r="AG5" s="6" t="s">
        <v>73</v>
      </c>
      <c r="AH5" s="6" t="s">
        <v>55</v>
      </c>
      <c r="AI5" s="6" t="s">
        <v>74</v>
      </c>
      <c r="AJ5" s="6" t="s">
        <v>75</v>
      </c>
      <c r="AK5" s="6"/>
      <c r="AL5" s="91"/>
    </row>
    <row r="6" spans="1:39" ht="13" x14ac:dyDescent="0.25">
      <c r="A6" s="7">
        <f>IF(M1&gt;=1,1,0)</f>
        <v>1</v>
      </c>
      <c r="B6" s="77">
        <f>IFERROR(VLOOKUP(Vaktplan!$A$57,Vaktplan!$A$4:$CL$35,87-AH59,FALSE),0)</f>
        <v>0</v>
      </c>
      <c r="C6" s="77">
        <f>IFERROR(VLOOKUP(Vaktplan!$A$57,Vaktplan!$A$4:$CL$35,87-AG59,FALSE),0)</f>
        <v>0</v>
      </c>
      <c r="D6" s="9">
        <f>IFERROR(VLOOKUP(Vaktplan!$A$57,Vaktplan!$A$4:$CL$35,89-AG59,FALSE),0)</f>
        <v>0</v>
      </c>
      <c r="E6" s="9">
        <f>IF(AND(B6=0,C6=0),0,IF(B6&lt;C6,((C6-B6)*24)-D6,(((1-B6)+C6)*24)-D6))</f>
        <v>0</v>
      </c>
      <c r="F6" s="9">
        <f>IF(AND(C6=0,G6=0),24,IF(C6=0,12+(G6*24),IF(C6&lt;G6,((G6-C6)*24),IF(G6=0,(1-C6+0.5)*24,((1-C6)+G6)*24))))</f>
        <v>24</v>
      </c>
      <c r="G6" s="77">
        <f>IFERROR(VLOOKUP(Vaktplan!$A$57,Vaktplan!$B$4:$CL$35,86-AH59,FALSE),0)</f>
        <v>0</v>
      </c>
      <c r="H6" s="77">
        <f>IFERROR(VLOOKUP(Vaktplan!$A$57,Vaktplan!$B$4:$CL$35,86-AG59,FALSE),0)</f>
        <v>0</v>
      </c>
      <c r="I6" s="9">
        <f>IFERROR(VLOOKUP(Vaktplan!$A$57,Vaktplan!$B$4:$CL$35,89-$AH59,FALSE),0)</f>
        <v>0</v>
      </c>
      <c r="J6" s="9">
        <f>IF(AND(G6=0,H6=0),0,IF(G6&lt;H6,((H6-G6)*24)-I6,(((1-G6)+H6)*24)-I6))</f>
        <v>0</v>
      </c>
      <c r="K6" s="9">
        <f>IF(AND(H6=0,L6=0),24,IF(H6=0,12+(L6*24),IF(H6&lt;L6,((L6-H6)*24),IF(L6=0,(1-H6+0.5)*24,((1-H6)+L6)*24))))</f>
        <v>24</v>
      </c>
      <c r="L6" s="77">
        <f>IFERROR(VLOOKUP(Vaktplan!$A$57,Vaktplan!$C$4:$CL$35,86-AI59,FALSE),0)</f>
        <v>0</v>
      </c>
      <c r="M6" s="77">
        <f>IFERROR(VLOOKUP(Vaktplan!$A$57,Vaktplan!$C$4:$CL$35,86-AH59,FALSE),0)</f>
        <v>0</v>
      </c>
      <c r="N6" s="9">
        <f>IFERROR(VLOOKUP(Vaktplan!$A$57,Vaktplan!$C$4:$CL$35,89-$AI59,FALSE),0)</f>
        <v>0</v>
      </c>
      <c r="O6" s="9">
        <f>IF(AND(L6=0,M6=0),0,IF(L6&lt;M6,((M6-L6)*24)-N6,(((1-L6)+M6)*24)-N6))</f>
        <v>0</v>
      </c>
      <c r="P6" s="9">
        <f>IF(AND(M6=0,Q6=0),24,IF(M6=0,12+(Q6*24),IF(M6&lt;Q6,((Q6-M6)*24),IF(Q6=0,(1-M6+0.5)*24,((1-M6)+Q6)*24))))</f>
        <v>24</v>
      </c>
      <c r="Q6" s="77">
        <f>IFERROR(VLOOKUP(Vaktplan!$A$57,Vaktplan!$D$4:$CL$35,86-AJ59,FALSE),0)</f>
        <v>0</v>
      </c>
      <c r="R6" s="77">
        <f>IFERROR(VLOOKUP(Vaktplan!$A$57,Vaktplan!$D$4:$CL$35,86-AI59,FALSE),0)</f>
        <v>0</v>
      </c>
      <c r="S6" s="9">
        <f>IFERROR(VLOOKUP(Vaktplan!$A$57,Vaktplan!$D$4:$CL$35,89-$AJ59,FALSE),0)</f>
        <v>0</v>
      </c>
      <c r="T6" s="9">
        <f t="shared" ref="T6:T17" si="0">IF(AND(Q6=0,R6=0),0,IF(Q6&lt;R6,((R6-Q6)*24)-S6,(((1-Q6)+R6)*24)-S6))</f>
        <v>0</v>
      </c>
      <c r="U6" s="9">
        <f>IF(AND(R6=0,V6=0),24,IF(R6=0,12+(V6*24),IF(R6&lt;V6,((V6-R6)*24),IF(V6=0,(1-R6+0.5)*24,((1-R6)+V6)*24))))</f>
        <v>24</v>
      </c>
      <c r="V6" s="77">
        <f>IFERROR(VLOOKUP(Vaktplan!$A$57,Vaktplan!$E$4:$CL$35,86-AK59,FALSE),0)</f>
        <v>0</v>
      </c>
      <c r="W6" s="77">
        <f>IFERROR(VLOOKUP(Vaktplan!$A$57,Vaktplan!$E$4:$CL$35,86-AJ59,FALSE),0)</f>
        <v>0</v>
      </c>
      <c r="X6" s="9">
        <f>IFERROR(VLOOKUP(Vaktplan!$A$57,Vaktplan!$E$4:$CL$35,89-$AK59,FALSE),0)</f>
        <v>0</v>
      </c>
      <c r="Y6" s="9">
        <f>IF(AND(V6=0,W6=0),0,IF(V6&lt;W6,((W6-V6)*24)-X6,(((1-V6)+W6)*24)-X6))</f>
        <v>0</v>
      </c>
      <c r="Z6" s="9">
        <f>IF(AND(W6=0,AA6=0),24,IF(W6=0,12+(AA6*24),IF(W6&lt;AA6,((AA6-W6)*24),IF(AA6=0,(1-W6+0.5)*24,((1-W6)+AA6)*24))))</f>
        <v>24</v>
      </c>
      <c r="AA6" s="77">
        <f>IFERROR(VLOOKUP(Vaktplan!$A$57,Vaktplan!$F$4:$CL$35,86-AL59,FALSE),0)</f>
        <v>0</v>
      </c>
      <c r="AB6" s="77">
        <f>IFERROR(VLOOKUP(Vaktplan!$A$57,Vaktplan!$F$4:$CL$35,86-AK59,FALSE),0)</f>
        <v>0</v>
      </c>
      <c r="AC6" s="9">
        <f>IFERROR(VLOOKUP(Vaktplan!$A$57,Vaktplan!$F$4:$CL$35,89-$AL59,FALSE),0)</f>
        <v>0</v>
      </c>
      <c r="AD6" s="9">
        <f>IF(AND(AA6=0,AB6=0),0,IF(AA6&lt;AB6,((AB6-AA6)*24)-AC6,(((1-AA6)+AB6)*24)-AC6))</f>
        <v>0</v>
      </c>
      <c r="AE6" s="9">
        <f>IF(AND(AB6=0,AF6=0),24,IF(AB6=0,12+(AF6*24),IF(AB6&lt;AF6,((AF6-AB6)*24),IF(AF6=0,(1-AB6+0.5)*24,((1-AB6)+AF6)*24))))</f>
        <v>24</v>
      </c>
      <c r="AF6" s="77">
        <f>IFERROR(VLOOKUP(Vaktplan!$A$57,Vaktplan!$G$4:$CL$35,86-AM59,FALSE),0)</f>
        <v>0</v>
      </c>
      <c r="AG6" s="77">
        <f>IFERROR(VLOOKUP(Vaktplan!$A$57,Vaktplan!$G$4:$CL$35,86-AL59,FALSE),0)</f>
        <v>0</v>
      </c>
      <c r="AH6" s="9">
        <f>IFERROR(VLOOKUP(Vaktplan!$A$57,Vaktplan!$G$4:$CL$35,89-$AM59,FALSE),0)</f>
        <v>0</v>
      </c>
      <c r="AI6" s="9">
        <f>IF(AND(AF6=0,AG6=0),0,IF(AF6&lt;AG6,((AG6-AF6)*24)-AH6,(((1-AF6)+AG6)*24)-AH6))</f>
        <v>0</v>
      </c>
      <c r="AJ6" s="9">
        <f>IF($M$1=AL28,IF(AND(AG6=0,B6=0),24,IF(AG6=0,12+($B$6*24),IF(AG6&lt;$B$6,(($B$6-AG6)*24),IF($B$6=0,(1-AG6+1)*24,((1-AG6)+$B$6)*24)))),IF(AND(AG6=0,B7=0),24,IF(AG6=0,12+(B7*24),IF(AG6&lt;B7,((B7-AG6)*24),IF(B7=0,(1-AG6+1)*24,((1-AG6)+B7)*24)))))</f>
        <v>24</v>
      </c>
      <c r="AK6" s="9">
        <f t="shared" ref="AK6:AK17" si="1">E6+J6+O6+T6+Y6+AD6+AI6</f>
        <v>0</v>
      </c>
      <c r="AL6" s="92">
        <f>AJ6</f>
        <v>24</v>
      </c>
      <c r="AM6" s="10">
        <f>AK6</f>
        <v>0</v>
      </c>
    </row>
    <row r="7" spans="1:39" ht="13" x14ac:dyDescent="0.25">
      <c r="A7" s="7">
        <f>IF($M$1&gt;=2,2,0)</f>
        <v>2</v>
      </c>
      <c r="B7" s="77">
        <f>IFERROR(VLOOKUP(Vaktplan!$A$57,Vaktplan!$H$4:$CL$35,87-AH60,FALSE),0)</f>
        <v>0</v>
      </c>
      <c r="C7" s="77">
        <f>IFERROR(VLOOKUP(Vaktplan!$A$57,Vaktplan!$H$4:$CL$35,87-AG60,FALSE),0)</f>
        <v>0</v>
      </c>
      <c r="D7" s="9">
        <f>IFERROR(VLOOKUP(Vaktplan!$A$57,Vaktplan!$H$4:$CL$35,89-AG60,FALSE),0)</f>
        <v>0</v>
      </c>
      <c r="E7" s="9">
        <f>IF(AND(B7=0,C7=0),0,IF(B7&lt;C7,((C7-B7)*24)-D7,(((1-B7)+C7)*24)-D7))</f>
        <v>0</v>
      </c>
      <c r="F7" s="9">
        <f t="shared" ref="F7:F17" si="2">IF(AND(C7=0,G7=0),24,IF(C7=0,12+(G7*24),IF(C7&lt;G7,((G7-C7)*24),IF(G7=0,(1-C7+0.5)*24,((1-C7)+G7)*24))))</f>
        <v>24</v>
      </c>
      <c r="G7" s="77">
        <f>IFERROR(VLOOKUP(Vaktplan!$A$57,Vaktplan!$I$4:$CL$35,86-AH60,FALSE),0)</f>
        <v>0</v>
      </c>
      <c r="H7" s="77">
        <f>IFERROR(VLOOKUP(Vaktplan!$A$57,Vaktplan!$I$4:$CL$35,86-AG60,FALSE),0)</f>
        <v>0</v>
      </c>
      <c r="I7" s="9">
        <f>IFERROR(VLOOKUP(Vaktplan!$A$57,Vaktplan!$I$4:$CL$35,89-$AH60,FALSE),0)</f>
        <v>0</v>
      </c>
      <c r="J7" s="9">
        <f t="shared" ref="J7:J17" si="3">IF(AND(G7=0,H7=0),0,IF(G7&lt;H7,((H7-G7)*24)-I7,(((1-G7)+H7)*24)-I7))</f>
        <v>0</v>
      </c>
      <c r="K7" s="9">
        <f t="shared" ref="K7:K17" si="4">IF(AND(H7=0,L7=0),24,IF(H7=0,12+(L7*24),IF(H7&lt;L7,((L7-H7)*24),IF(L7=0,(1-H7+0.5)*24,((1-H7)+L7)*24))))</f>
        <v>24</v>
      </c>
      <c r="L7" s="77">
        <f>IFERROR(VLOOKUP(Vaktplan!$A$57,Vaktplan!$J$4:$CL$35,86-AI60,FALSE),0)</f>
        <v>0</v>
      </c>
      <c r="M7" s="77">
        <f>IFERROR(VLOOKUP(Vaktplan!$A$57,Vaktplan!$J$4:$CL$35,86-AH60,FALSE),0)</f>
        <v>0</v>
      </c>
      <c r="N7" s="9">
        <f>IFERROR(VLOOKUP(Vaktplan!$A$57,Vaktplan!$J$4:$CL$35,89-$AI60,FALSE),0)</f>
        <v>0</v>
      </c>
      <c r="O7" s="9">
        <f t="shared" ref="O7:O17" si="5">IF(AND(L7=0,M7=0),0,IF(L7&lt;M7,((M7-L7)*24)-N7,(((1-L7)+M7)*24)-N7))</f>
        <v>0</v>
      </c>
      <c r="P7" s="9">
        <f t="shared" ref="P7:P17" si="6">IF(AND(M7=0,Q7=0),24,IF(M7=0,12+(Q7*24),IF(M7&lt;Q7,((Q7-M7)*24),IF(Q7=0,(1-M7+0.5)*24,((1-M7)+Q7)*24))))</f>
        <v>24</v>
      </c>
      <c r="Q7" s="77">
        <f>IFERROR(VLOOKUP(Vaktplan!$A$57,Vaktplan!$K$4:$CL$35,86-AJ60,FALSE),0)</f>
        <v>0</v>
      </c>
      <c r="R7" s="77">
        <f>IFERROR(VLOOKUP(Vaktplan!$A$57,Vaktplan!$K$4:$CL$35,86-AI60,FALSE),0)</f>
        <v>0</v>
      </c>
      <c r="S7" s="9">
        <f>IFERROR(VLOOKUP(Vaktplan!$A$57,Vaktplan!$K$4:$CL$35,89-$AJ60,FALSE),0)</f>
        <v>0</v>
      </c>
      <c r="T7" s="9">
        <f t="shared" si="0"/>
        <v>0</v>
      </c>
      <c r="U7" s="9">
        <f t="shared" ref="U7:U17" si="7">IF(AND(R7=0,V7=0),24,IF(R7=0,12+(V7*24),IF(R7&lt;V7,((V7-R7)*24),IF(V7=0,(1-R7+0.5)*24,((1-R7)+V7)*24))))</f>
        <v>24</v>
      </c>
      <c r="V7" s="77">
        <f>IFERROR(VLOOKUP(Vaktplan!$A$57,Vaktplan!$L$4:$CL$35,86-AK60,FALSE),0)</f>
        <v>0</v>
      </c>
      <c r="W7" s="77">
        <f>IFERROR(VLOOKUP(Vaktplan!$A$57,Vaktplan!$L$4:$CL$35,86-AJ60,FALSE),0)</f>
        <v>0</v>
      </c>
      <c r="X7" s="9">
        <f>IFERROR(VLOOKUP(Vaktplan!$A$57,Vaktplan!$L$4:$CL$35,89-$AK60,FALSE),0)</f>
        <v>0</v>
      </c>
      <c r="Y7" s="9">
        <f t="shared" ref="Y7:Y13" si="8">IF(AND(V7=0,W7=0),0,IF(V7&lt;W7,((W7-V7)*24)-X7,(((1-V7)+W7)*24)-X7))</f>
        <v>0</v>
      </c>
      <c r="Z7" s="9">
        <f t="shared" ref="Z7:Z17" si="9">IF(AND(W7=0,AA7=0),24,IF(W7=0,12+(AA7*24),IF(W7&lt;AA7,((AA7-W7)*24),IF(AA7=0,(1-W7+0.5)*24,((1-W7)+AA7)*24))))</f>
        <v>24</v>
      </c>
      <c r="AA7" s="77">
        <f>IFERROR(VLOOKUP(Vaktplan!$A$57,Vaktplan!$M$4:$CL$35,86-AL60,FALSE),0)</f>
        <v>0</v>
      </c>
      <c r="AB7" s="77">
        <f>IFERROR(VLOOKUP(Vaktplan!$A$57,Vaktplan!$M$4:$CL$35,86-AK60,FALSE),0)</f>
        <v>0</v>
      </c>
      <c r="AC7" s="9">
        <f>IFERROR(VLOOKUP(Vaktplan!$A$57,Vaktplan!$M$4:$CL$35,89-$AL60,FALSE),0)</f>
        <v>0</v>
      </c>
      <c r="AD7" s="9">
        <f t="shared" ref="AD7:AD13" si="10">IF(AND(AA7=0,AB7=0),0,IF(AA7&lt;AB7,((AB7-AA7)*24)-AC7,(((1-AA7)+AB7)*24)-AC7))</f>
        <v>0</v>
      </c>
      <c r="AE7" s="9">
        <f t="shared" ref="AE7:AE17" si="11">IF(AND(AB7=0,AF7=0),24,IF(AB7=0,12+(AF7*24),IF(AB7&lt;AF7,((AF7-AB7)*24),IF(AF7=0,(1-AB7+0.5)*24,((1-AB7)+AF7)*24))))</f>
        <v>24</v>
      </c>
      <c r="AF7" s="77">
        <f>IFERROR(VLOOKUP(Vaktplan!$A$57,Vaktplan!$N$4:$CL$35,86-AM60,FALSE),0)</f>
        <v>0</v>
      </c>
      <c r="AG7" s="77">
        <f>IFERROR(VLOOKUP(Vaktplan!$A$57,Vaktplan!$N$4:$CL$35,86-AL60,FALSE),0)</f>
        <v>0</v>
      </c>
      <c r="AH7" s="9">
        <f>IFERROR(VLOOKUP(Vaktplan!$A$57,Vaktplan!$N$4:$CL$35,89-$AM60,FALSE),0)</f>
        <v>0</v>
      </c>
      <c r="AI7" s="9">
        <f t="shared" ref="AI7:AI13" si="12">IF(AND(AF7=0,AG7=0),0,IF(AF7&lt;AG7,((AG7-AF7)*24)-AH7,(((1-AF7)+AG7)*24)-AH7))</f>
        <v>0</v>
      </c>
      <c r="AJ7" s="9">
        <f t="shared" ref="AJ7:AJ17" si="13">IF($M$1=AL29,IF(AND(AG7=0,B7=0),24,IF(AG7=0,12+($B$6*24),IF(AG7&lt;$B$6,(($B$6-AG7)*24),IF($B$6=0,(1-AG7+1)*24,((1-AG7)+$B$6)*24)))),IF(AND(AG7=0,B8=0),24,IF(AG7=0,12+(B8*24),IF(AG7&lt;B8,((B8-AG7)*24),IF(B8=0,(1-AG7+1)*24,((1-AG7)+B8)*24)))))</f>
        <v>24</v>
      </c>
      <c r="AK7" s="9">
        <f t="shared" si="1"/>
        <v>0</v>
      </c>
      <c r="AL7" s="92">
        <f t="shared" ref="AL7:AL13" si="14">AJ7</f>
        <v>24</v>
      </c>
      <c r="AM7" s="10">
        <f t="shared" ref="AM7:AM13" si="15">AK7</f>
        <v>0</v>
      </c>
    </row>
    <row r="8" spans="1:39" ht="13" x14ac:dyDescent="0.25">
      <c r="A8" s="7">
        <f>IF($M$1&gt;=3,3,0)</f>
        <v>3</v>
      </c>
      <c r="B8" s="77">
        <f>IFERROR(VLOOKUP(Vaktplan!$A$57,Vaktplan!$O$4:$CL$35,87-AH61,FALSE),0)</f>
        <v>0</v>
      </c>
      <c r="C8" s="77">
        <f>IFERROR(VLOOKUP(Vaktplan!$A$57,Vaktplan!$O$4:$CL$35,87-AG61,FALSE),0)</f>
        <v>0</v>
      </c>
      <c r="D8" s="9">
        <f>IFERROR(VLOOKUP(Vaktplan!$A$57,Vaktplan!$O$4:$CL$35,89-AG61,FALSE),0)</f>
        <v>0</v>
      </c>
      <c r="E8" s="9">
        <f t="shared" ref="E8:E17" si="16">IF(AND(B8=0,C8=0),0,IF(B8&lt;C8,((C8-B8)*24)-D8,(((1-B8)+C8)*24)-D8))</f>
        <v>0</v>
      </c>
      <c r="F8" s="9">
        <f t="shared" si="2"/>
        <v>24</v>
      </c>
      <c r="G8" s="77">
        <f>IFERROR(VLOOKUP(Vaktplan!$A$57,Vaktplan!$P$4:$CL$35,86-AH61,FALSE),0)</f>
        <v>0</v>
      </c>
      <c r="H8" s="77">
        <f>IFERROR(VLOOKUP(Vaktplan!$A$57,Vaktplan!$P$4:$CL$35,86-AG61,FALSE),0)</f>
        <v>0</v>
      </c>
      <c r="I8" s="9">
        <f>IFERROR(VLOOKUP(Vaktplan!$A$57,Vaktplan!$P$4:$CL$35,89-$AH61,FALSE),0)</f>
        <v>0</v>
      </c>
      <c r="J8" s="9">
        <f>IF(AND(G8=0,H8=0),0,IF(G8&lt;H8,((H8-G8)*24)-I8,(((1-G8)+H8)*24)-I8))</f>
        <v>0</v>
      </c>
      <c r="K8" s="9">
        <f t="shared" si="4"/>
        <v>24</v>
      </c>
      <c r="L8" s="77">
        <f>IFERROR(VLOOKUP(Vaktplan!$A$57,Vaktplan!$Q$4:$CL$35,86-AI61,FALSE),0)</f>
        <v>0</v>
      </c>
      <c r="M8" s="77">
        <f>IFERROR(VLOOKUP(Vaktplan!$A$57,Vaktplan!$Q$4:$CL$35,86-AH61,FALSE),0)</f>
        <v>0</v>
      </c>
      <c r="N8" s="9">
        <f>IFERROR(VLOOKUP(Vaktplan!$A$57,Vaktplan!$Q$4:$CL$35,89-$AI61,FALSE),0)</f>
        <v>0</v>
      </c>
      <c r="O8" s="9">
        <f t="shared" si="5"/>
        <v>0</v>
      </c>
      <c r="P8" s="9">
        <f t="shared" si="6"/>
        <v>24</v>
      </c>
      <c r="Q8" s="77">
        <f>IFERROR(VLOOKUP(Vaktplan!$A$57,Vaktplan!$R$4:$CL$35,86-AJ61,FALSE),0)</f>
        <v>0</v>
      </c>
      <c r="R8" s="77">
        <f>IFERROR(VLOOKUP(Vaktplan!$A$57,Vaktplan!$R$4:$CL$35,86-AI61,FALSE),0)</f>
        <v>0</v>
      </c>
      <c r="S8" s="9">
        <f>IFERROR(VLOOKUP(Vaktplan!$A$57,Vaktplan!$R$4:$CL$35,89-$AJ61,FALSE),0)</f>
        <v>0</v>
      </c>
      <c r="T8" s="9">
        <f t="shared" si="0"/>
        <v>0</v>
      </c>
      <c r="U8" s="9">
        <f t="shared" si="7"/>
        <v>24</v>
      </c>
      <c r="V8" s="77">
        <f>IFERROR(VLOOKUP(Vaktplan!$A$57,Vaktplan!$S$4:$CL$35,86-AK61,FALSE),0)</f>
        <v>0</v>
      </c>
      <c r="W8" s="77">
        <f>IFERROR(VLOOKUP(Vaktplan!$A$57,Vaktplan!$S$4:$CL$35,86-AJ61,FALSE),0)</f>
        <v>0</v>
      </c>
      <c r="X8" s="9">
        <f>IFERROR(VLOOKUP(Vaktplan!$A$57,Vaktplan!$S$4:$CL$35,89-$AK61,FALSE),0)</f>
        <v>0</v>
      </c>
      <c r="Y8" s="9">
        <f t="shared" si="8"/>
        <v>0</v>
      </c>
      <c r="Z8" s="9">
        <f t="shared" si="9"/>
        <v>24</v>
      </c>
      <c r="AA8" s="77">
        <f>IFERROR(VLOOKUP(Vaktplan!$A$57,Vaktplan!$T$4:$CL$35,86-AL61,FALSE),0)</f>
        <v>0</v>
      </c>
      <c r="AB8" s="77">
        <f>IFERROR(VLOOKUP(Vaktplan!$A$57,Vaktplan!$T$4:$CL$35,86-AK61,FALSE),0)</f>
        <v>0</v>
      </c>
      <c r="AC8" s="9">
        <f>IFERROR(VLOOKUP(Vaktplan!$A$57,Vaktplan!$T$4:$CL$35,89-$AL61,FALSE),0)</f>
        <v>0</v>
      </c>
      <c r="AD8" s="9">
        <f t="shared" si="10"/>
        <v>0</v>
      </c>
      <c r="AE8" s="9">
        <f t="shared" si="11"/>
        <v>24</v>
      </c>
      <c r="AF8" s="77">
        <f>IFERROR(VLOOKUP(Vaktplan!$A$57,Vaktplan!$U$4:$CL$35,86-AM61,FALSE),0)</f>
        <v>0</v>
      </c>
      <c r="AG8" s="77">
        <f>IFERROR(VLOOKUP(Vaktplan!$A$57,Vaktplan!$U$4:$CL$35,86-AL61,FALSE),0)</f>
        <v>0</v>
      </c>
      <c r="AH8" s="9">
        <f>IFERROR(VLOOKUP(Vaktplan!$A$57,Vaktplan!$U$4:$CL$35,89-$AM61,FALSE),0)</f>
        <v>0</v>
      </c>
      <c r="AI8" s="9">
        <f t="shared" si="12"/>
        <v>0</v>
      </c>
      <c r="AJ8" s="9">
        <f t="shared" si="13"/>
        <v>24</v>
      </c>
      <c r="AK8" s="9">
        <f t="shared" si="1"/>
        <v>0</v>
      </c>
      <c r="AL8" s="92">
        <f t="shared" si="14"/>
        <v>24</v>
      </c>
      <c r="AM8" s="10">
        <f t="shared" si="15"/>
        <v>0</v>
      </c>
    </row>
    <row r="9" spans="1:39" ht="13" x14ac:dyDescent="0.25">
      <c r="A9" s="7">
        <f>IF($M$1&gt;=4,4,0)</f>
        <v>4</v>
      </c>
      <c r="B9" s="77">
        <f>IFERROR(VLOOKUP(Vaktplan!$A$57,Vaktplan!$V$4:$CL$35,87-AH62,FALSE),0)</f>
        <v>0</v>
      </c>
      <c r="C9" s="77">
        <f>IFERROR(VLOOKUP(Vaktplan!$A$57,Vaktplan!$V$4:$CL$35,87-AG62,FALSE),0)</f>
        <v>0</v>
      </c>
      <c r="D9" s="9">
        <f>IFERROR(VLOOKUP(Vaktplan!$A$57,Vaktplan!$V$4:$CL$35,89-AG62,FALSE),0)</f>
        <v>0</v>
      </c>
      <c r="E9" s="9">
        <f t="shared" si="16"/>
        <v>0</v>
      </c>
      <c r="F9" s="9">
        <f t="shared" si="2"/>
        <v>24</v>
      </c>
      <c r="G9" s="77">
        <f>IFERROR(VLOOKUP(Vaktplan!$A$57,Vaktplan!$W$4:$CL$35,86-AH62,FALSE),0)</f>
        <v>0</v>
      </c>
      <c r="H9" s="77">
        <f>IFERROR(VLOOKUP(Vaktplan!$A$57,Vaktplan!$W$4:$CL$35,86-AG62,FALSE),0)</f>
        <v>0</v>
      </c>
      <c r="I9" s="9">
        <f>IFERROR(VLOOKUP(Vaktplan!$A$57,Vaktplan!$W$4:$CL$35,89-$AH62,FALSE),0)</f>
        <v>0</v>
      </c>
      <c r="J9" s="9">
        <f t="shared" si="3"/>
        <v>0</v>
      </c>
      <c r="K9" s="9">
        <f t="shared" si="4"/>
        <v>24</v>
      </c>
      <c r="L9" s="77">
        <f>IFERROR(VLOOKUP(Vaktplan!$A$57,Vaktplan!$X$4:$CL$35,86-AI62,FALSE),0)</f>
        <v>0</v>
      </c>
      <c r="M9" s="77">
        <f>IFERROR(VLOOKUP(Vaktplan!$A$57,Vaktplan!$X$4:$CL$35,86-AH62,FALSE),0)</f>
        <v>0</v>
      </c>
      <c r="N9" s="9">
        <f>IFERROR(VLOOKUP(Vaktplan!$A$57,Vaktplan!$X$4:$CL$35,89-$AI62,FALSE),0)</f>
        <v>0</v>
      </c>
      <c r="O9" s="9">
        <f t="shared" si="5"/>
        <v>0</v>
      </c>
      <c r="P9" s="9">
        <f t="shared" si="6"/>
        <v>24</v>
      </c>
      <c r="Q9" s="77">
        <f>IFERROR(VLOOKUP(Vaktplan!$A$57,Vaktplan!$Y$4:$CL$35,86-AJ62,FALSE),0)</f>
        <v>0</v>
      </c>
      <c r="R9" s="77">
        <f>IFERROR(VLOOKUP(Vaktplan!$A$57,Vaktplan!$Y$4:$CL$35,86-AI62,FALSE),0)</f>
        <v>0</v>
      </c>
      <c r="S9" s="9">
        <f>IFERROR(VLOOKUP(Vaktplan!$A$57,Vaktplan!$Y$4:$CL$35,89-$AJ62,FALSE),0)</f>
        <v>0</v>
      </c>
      <c r="T9" s="9">
        <f t="shared" si="0"/>
        <v>0</v>
      </c>
      <c r="U9" s="9">
        <f t="shared" si="7"/>
        <v>24</v>
      </c>
      <c r="V9" s="77">
        <f>IFERROR(VLOOKUP(Vaktplan!$A$57,Vaktplan!$Z$4:$CL$35,86-AK62,FALSE),0)</f>
        <v>0</v>
      </c>
      <c r="W9" s="77">
        <f>IFERROR(VLOOKUP(Vaktplan!$A$57,Vaktplan!$Z$4:$CL$35,86-AJ62,FALSE),0)</f>
        <v>0</v>
      </c>
      <c r="X9" s="9">
        <f>IFERROR(VLOOKUP(Vaktplan!$A$57,Vaktplan!$Z$4:$CL$35,89-$AK62,FALSE),0)</f>
        <v>0</v>
      </c>
      <c r="Y9" s="9">
        <f t="shared" si="8"/>
        <v>0</v>
      </c>
      <c r="Z9" s="9">
        <f t="shared" si="9"/>
        <v>24</v>
      </c>
      <c r="AA9" s="77">
        <f>IFERROR(VLOOKUP(Vaktplan!$A$57,Vaktplan!$AA$4:$CL$35,86-AL62,FALSE),0)</f>
        <v>0</v>
      </c>
      <c r="AB9" s="77">
        <f>IFERROR(VLOOKUP(Vaktplan!$A$57,Vaktplan!$AA$4:$CL$35,86-AK62,FALSE),0)</f>
        <v>0</v>
      </c>
      <c r="AC9" s="9">
        <f>IFERROR(VLOOKUP(Vaktplan!$A$57,Vaktplan!$AA$4:$CL$35,89-$AL62,FALSE),0)</f>
        <v>0</v>
      </c>
      <c r="AD9" s="9">
        <f t="shared" si="10"/>
        <v>0</v>
      </c>
      <c r="AE9" s="9">
        <f t="shared" si="11"/>
        <v>24</v>
      </c>
      <c r="AF9" s="77">
        <f>IFERROR(VLOOKUP(Vaktplan!$A$57,Vaktplan!$AB$4:$CL$35,86-AM62,FALSE),0)</f>
        <v>0</v>
      </c>
      <c r="AG9" s="77">
        <f>IFERROR(VLOOKUP(Vaktplan!$A$57,Vaktplan!$AB$4:$CL$35,86-AL62,FALSE),0)</f>
        <v>0</v>
      </c>
      <c r="AH9" s="9">
        <f>IFERROR(VLOOKUP(Vaktplan!$A$57,Vaktplan!$AB$4:$CL$35,89-$AM62,FALSE),0)</f>
        <v>0</v>
      </c>
      <c r="AI9" s="9">
        <f t="shared" si="12"/>
        <v>0</v>
      </c>
      <c r="AJ9" s="9">
        <f t="shared" si="13"/>
        <v>24</v>
      </c>
      <c r="AK9" s="9">
        <f t="shared" si="1"/>
        <v>0</v>
      </c>
      <c r="AL9" s="92">
        <f t="shared" si="14"/>
        <v>24</v>
      </c>
      <c r="AM9" s="10">
        <f t="shared" si="15"/>
        <v>0</v>
      </c>
    </row>
    <row r="10" spans="1:39" ht="13" x14ac:dyDescent="0.25">
      <c r="A10" s="7">
        <f>IF($M$1&gt;=5,5,0)</f>
        <v>5</v>
      </c>
      <c r="B10" s="77">
        <f>IFERROR(VLOOKUP(Vaktplan!$A$57,Vaktplan!$AC$4:$CL$35,87-AH63,FALSE),0)</f>
        <v>0</v>
      </c>
      <c r="C10" s="77">
        <f>IFERROR(VLOOKUP(Vaktplan!$A$57,Vaktplan!$AC$4:$CL$35,87-AG63,FALSE),0)</f>
        <v>0</v>
      </c>
      <c r="D10" s="9">
        <f>IFERROR(VLOOKUP(Vaktplan!$A$57,Vaktplan!$AC$4:$CL$35,89-AG63,FALSE),0)</f>
        <v>0</v>
      </c>
      <c r="E10" s="9">
        <f t="shared" si="16"/>
        <v>0</v>
      </c>
      <c r="F10" s="9">
        <f t="shared" si="2"/>
        <v>24</v>
      </c>
      <c r="G10" s="77">
        <f>IFERROR(VLOOKUP(Vaktplan!$A$57,Vaktplan!$AD$4:$CL$35,86-AH63,FALSE),0)</f>
        <v>0</v>
      </c>
      <c r="H10" s="77">
        <f>IFERROR(VLOOKUP(Vaktplan!$A$57,Vaktplan!$AD$4:$CL$35,86-AG63,FALSE),0)</f>
        <v>0</v>
      </c>
      <c r="I10" s="9">
        <f>IFERROR(VLOOKUP(Vaktplan!$A$57,Vaktplan!$AD$4:$CL$35,89-$AH63,FALSE),0)</f>
        <v>0</v>
      </c>
      <c r="J10" s="9">
        <f t="shared" si="3"/>
        <v>0</v>
      </c>
      <c r="K10" s="9">
        <f t="shared" si="4"/>
        <v>24</v>
      </c>
      <c r="L10" s="77">
        <f>IFERROR(VLOOKUP(Vaktplan!$A$57,Vaktplan!$AE$4:$CL$35,86-AI63,FALSE),0)</f>
        <v>0</v>
      </c>
      <c r="M10" s="77">
        <f>IFERROR(VLOOKUP(Vaktplan!$A$57,Vaktplan!$AE$4:$CL$35,86-AH63,FALSE),0)</f>
        <v>0</v>
      </c>
      <c r="N10" s="9">
        <f>IFERROR(VLOOKUP(Vaktplan!$A$57,Vaktplan!$AE$4:$CL$35,89-$AI63,FALSE),0)</f>
        <v>0</v>
      </c>
      <c r="O10" s="9">
        <f t="shared" si="5"/>
        <v>0</v>
      </c>
      <c r="P10" s="9">
        <f t="shared" si="6"/>
        <v>24</v>
      </c>
      <c r="Q10" s="77">
        <f>IFERROR(VLOOKUP(Vaktplan!$A$57,Vaktplan!$AF$4:$CL$35,86-AJ63,FALSE),0)</f>
        <v>0</v>
      </c>
      <c r="R10" s="77">
        <f>IFERROR(VLOOKUP(Vaktplan!$A$57,Vaktplan!$AF$4:$CL$35,86-AI63,FALSE),0)</f>
        <v>0</v>
      </c>
      <c r="S10" s="9">
        <f>IFERROR(VLOOKUP(Vaktplan!$A$57,Vaktplan!$AF$4:$CL$35,89-$AJ63,FALSE),0)</f>
        <v>0</v>
      </c>
      <c r="T10" s="9">
        <f t="shared" si="0"/>
        <v>0</v>
      </c>
      <c r="U10" s="9">
        <f t="shared" si="7"/>
        <v>24</v>
      </c>
      <c r="V10" s="77">
        <f>IFERROR(VLOOKUP(Vaktplan!$A$57,Vaktplan!$AG$4:$CL$35,86-AK63,FALSE),0)</f>
        <v>0</v>
      </c>
      <c r="W10" s="77">
        <f>IFERROR(VLOOKUP(Vaktplan!$A$57,Vaktplan!$AG$4:$CL$35,86-AJ63,FALSE),0)</f>
        <v>0</v>
      </c>
      <c r="X10" s="9">
        <f>IFERROR(VLOOKUP(Vaktplan!$A$57,Vaktplan!$AG$4:$CL$35,89-$AK63,FALSE),0)</f>
        <v>0</v>
      </c>
      <c r="Y10" s="9">
        <f t="shared" si="8"/>
        <v>0</v>
      </c>
      <c r="Z10" s="9">
        <f t="shared" si="9"/>
        <v>24</v>
      </c>
      <c r="AA10" s="77">
        <f>IFERROR(VLOOKUP(Vaktplan!$A$57,Vaktplan!$AH$4:$CL$35,86-AL63,FALSE),0)</f>
        <v>0</v>
      </c>
      <c r="AB10" s="77">
        <f>IFERROR(VLOOKUP(Vaktplan!$A$57,Vaktplan!$AH$4:$CL$35,86-AK63,FALSE),0)</f>
        <v>0</v>
      </c>
      <c r="AC10" s="9">
        <f>IFERROR(VLOOKUP(Vaktplan!$A$57,Vaktplan!$AH$4:$CL$35,89-$AL63,FALSE),0)</f>
        <v>0</v>
      </c>
      <c r="AD10" s="9">
        <f t="shared" si="10"/>
        <v>0</v>
      </c>
      <c r="AE10" s="9">
        <f t="shared" si="11"/>
        <v>24</v>
      </c>
      <c r="AF10" s="77">
        <f>IFERROR(VLOOKUP(Vaktplan!$A$57,Vaktplan!$AI$4:$CL$35,86-AM63,FALSE),0)</f>
        <v>0</v>
      </c>
      <c r="AG10" s="77">
        <f>IFERROR(VLOOKUP(Vaktplan!$A$57,Vaktplan!$AI$4:$CL$35,86-AL63,FALSE),0)</f>
        <v>0</v>
      </c>
      <c r="AH10" s="9">
        <f>IFERROR(VLOOKUP(Vaktplan!$A$57,Vaktplan!$AI$4:$CL$35,89-$AM63,FALSE),0)</f>
        <v>0</v>
      </c>
      <c r="AI10" s="9">
        <f t="shared" si="12"/>
        <v>0</v>
      </c>
      <c r="AJ10" s="9">
        <f t="shared" si="13"/>
        <v>24</v>
      </c>
      <c r="AK10" s="9">
        <f t="shared" si="1"/>
        <v>0</v>
      </c>
      <c r="AL10" s="92">
        <f t="shared" si="14"/>
        <v>24</v>
      </c>
      <c r="AM10" s="10">
        <f t="shared" si="15"/>
        <v>0</v>
      </c>
    </row>
    <row r="11" spans="1:39" ht="13" x14ac:dyDescent="0.25">
      <c r="A11" s="7">
        <f>IF($M$1&gt;=6,6,0)</f>
        <v>6</v>
      </c>
      <c r="B11" s="77">
        <f>IFERROR(VLOOKUP(Vaktplan!$A$57,Vaktplan!$AJ$4:$CL$35,87-AH64,FALSE),0)</f>
        <v>0</v>
      </c>
      <c r="C11" s="77">
        <f>IFERROR(VLOOKUP(Vaktplan!$A$57,Vaktplan!$AJ$4:$CL$35,87-AG64,FALSE),0)</f>
        <v>0</v>
      </c>
      <c r="D11" s="9">
        <f>IFERROR(VLOOKUP(Vaktplan!$A$57,Vaktplan!$AJ$4:$CL$35,89-AG64,FALSE),0)</f>
        <v>0</v>
      </c>
      <c r="E11" s="9">
        <f t="shared" si="16"/>
        <v>0</v>
      </c>
      <c r="F11" s="9">
        <f t="shared" si="2"/>
        <v>24</v>
      </c>
      <c r="G11" s="77">
        <f>IFERROR(VLOOKUP(Vaktplan!$A$57,Vaktplan!$AK$4:$CL$35,86-AH64,FALSE),0)</f>
        <v>0</v>
      </c>
      <c r="H11" s="77">
        <f>IFERROR(VLOOKUP(Vaktplan!$A$57,Vaktplan!$AK$4:$CL$35,86-AG64,FALSE),0)</f>
        <v>0</v>
      </c>
      <c r="I11" s="9">
        <f>IFERROR(VLOOKUP(Vaktplan!$A$57,Vaktplan!$AK$4:$CL$35,89-$AH64,FALSE),0)</f>
        <v>0</v>
      </c>
      <c r="J11" s="9">
        <f t="shared" si="3"/>
        <v>0</v>
      </c>
      <c r="K11" s="9">
        <f t="shared" si="4"/>
        <v>24</v>
      </c>
      <c r="L11" s="77">
        <f>IFERROR(VLOOKUP(Vaktplan!$A$57,Vaktplan!$AL$4:$CL$35,86-AI64,FALSE),0)</f>
        <v>0</v>
      </c>
      <c r="M11" s="77">
        <f>IFERROR(VLOOKUP(Vaktplan!$A$57,Vaktplan!$AL$4:$CL$35,86-AH64,FALSE),0)</f>
        <v>0</v>
      </c>
      <c r="N11" s="9">
        <f>IFERROR(VLOOKUP(Vaktplan!$A$57,Vaktplan!$AL$4:$CL$35,89-$AI64,FALSE),0)</f>
        <v>0</v>
      </c>
      <c r="O11" s="9">
        <f t="shared" si="5"/>
        <v>0</v>
      </c>
      <c r="P11" s="9">
        <f t="shared" si="6"/>
        <v>24</v>
      </c>
      <c r="Q11" s="77">
        <f>IFERROR(VLOOKUP(Vaktplan!$A$57,Vaktplan!$AM$4:$CL$35,86-AJ64,FALSE),0)</f>
        <v>0</v>
      </c>
      <c r="R11" s="77">
        <f>IFERROR(VLOOKUP(Vaktplan!$A$57,Vaktplan!$AM$4:$CL$35,86-AI64,FALSE),0)</f>
        <v>0</v>
      </c>
      <c r="S11" s="9">
        <f>IFERROR(VLOOKUP(Vaktplan!$A$57,Vaktplan!$AM$4:$CL$35,89-$AJ64,FALSE),0)</f>
        <v>0</v>
      </c>
      <c r="T11" s="9">
        <f t="shared" si="0"/>
        <v>0</v>
      </c>
      <c r="U11" s="9">
        <f t="shared" si="7"/>
        <v>24</v>
      </c>
      <c r="V11" s="77">
        <f>IFERROR(VLOOKUP(Vaktplan!$A$57,Vaktplan!$AN$4:$CL$35,86-AK64,FALSE),0)</f>
        <v>0</v>
      </c>
      <c r="W11" s="77">
        <f>IFERROR(VLOOKUP(Vaktplan!$A$57,Vaktplan!$AN$4:$CL$35,86-AJ64,FALSE),0)</f>
        <v>0</v>
      </c>
      <c r="X11" s="9">
        <f>IFERROR(VLOOKUP(Vaktplan!$A$57,Vaktplan!$AN$4:$CL$35,89-$AK64,FALSE),0)</f>
        <v>0</v>
      </c>
      <c r="Y11" s="9">
        <f t="shared" si="8"/>
        <v>0</v>
      </c>
      <c r="Z11" s="9">
        <f t="shared" si="9"/>
        <v>24</v>
      </c>
      <c r="AA11" s="77">
        <f>IFERROR(VLOOKUP(Vaktplan!$A$57,Vaktplan!$AO$4:$CL$35,86-AL64,FALSE),0)</f>
        <v>0</v>
      </c>
      <c r="AB11" s="77">
        <f>IFERROR(VLOOKUP(Vaktplan!$A$57,Vaktplan!$AO$4:$CL$35,86-AK64,FALSE),0)</f>
        <v>0</v>
      </c>
      <c r="AC11" s="9">
        <f>IFERROR(VLOOKUP(Vaktplan!$A$57,Vaktplan!$AO$4:$CL$35,89-$AL64,FALSE),0)</f>
        <v>0</v>
      </c>
      <c r="AD11" s="9">
        <f t="shared" si="10"/>
        <v>0</v>
      </c>
      <c r="AE11" s="9">
        <f t="shared" si="11"/>
        <v>24</v>
      </c>
      <c r="AF11" s="77">
        <f>IFERROR(VLOOKUP(Vaktplan!$A$57,Vaktplan!$AP$4:$CL$35,86-AM64,FALSE),0)</f>
        <v>0</v>
      </c>
      <c r="AG11" s="77">
        <f>IFERROR(VLOOKUP(Vaktplan!$A$57,Vaktplan!$AP$4:$CL$35,86-AL64,FALSE),0)</f>
        <v>0</v>
      </c>
      <c r="AH11" s="9">
        <f>IFERROR(VLOOKUP(Vaktplan!$A$57,Vaktplan!$AP$4:$CL$35,89-$AM64,FALSE),0)</f>
        <v>0</v>
      </c>
      <c r="AI11" s="9">
        <f t="shared" si="12"/>
        <v>0</v>
      </c>
      <c r="AJ11" s="9">
        <f t="shared" si="13"/>
        <v>24</v>
      </c>
      <c r="AK11" s="9">
        <f t="shared" si="1"/>
        <v>0</v>
      </c>
      <c r="AL11" s="92">
        <f t="shared" si="14"/>
        <v>24</v>
      </c>
      <c r="AM11" s="10">
        <f t="shared" si="15"/>
        <v>0</v>
      </c>
    </row>
    <row r="12" spans="1:39" ht="13" x14ac:dyDescent="0.25">
      <c r="A12" s="7">
        <f>IF($M$1&gt;=7,7,0)</f>
        <v>7</v>
      </c>
      <c r="B12" s="77">
        <f>IFERROR(VLOOKUP(Vaktplan!$A$57,Vaktplan!$AQ$4:$CL$35,87-AH65,FALSE),0)</f>
        <v>0</v>
      </c>
      <c r="C12" s="77">
        <f>IFERROR(VLOOKUP(Vaktplan!$A$57,Vaktplan!$AQ$4:$CL$35,87-AG65,FALSE),0)</f>
        <v>0</v>
      </c>
      <c r="D12" s="9">
        <f>IFERROR(VLOOKUP(Vaktplan!$A$57,Vaktplan!$AQ$4:$CL$35,89-AG65,FALSE),0)</f>
        <v>0</v>
      </c>
      <c r="E12" s="9">
        <f t="shared" si="16"/>
        <v>0</v>
      </c>
      <c r="F12" s="9">
        <f t="shared" si="2"/>
        <v>24</v>
      </c>
      <c r="G12" s="77">
        <f>IFERROR(VLOOKUP(Vaktplan!$A$57,Vaktplan!$AR$4:$CL$35,86-AH65,FALSE),0)</f>
        <v>0</v>
      </c>
      <c r="H12" s="77">
        <f>IFERROR(VLOOKUP(Vaktplan!$A$57,Vaktplan!$AR$4:$CL$35,86-AG65,FALSE),0)</f>
        <v>0</v>
      </c>
      <c r="I12" s="9">
        <f>IFERROR(VLOOKUP(Vaktplan!$A$57,Vaktplan!$AR$4:$CL$35,89-$AH65,FALSE),0)</f>
        <v>0</v>
      </c>
      <c r="J12" s="9">
        <f t="shared" si="3"/>
        <v>0</v>
      </c>
      <c r="K12" s="9">
        <f t="shared" si="4"/>
        <v>24</v>
      </c>
      <c r="L12" s="77">
        <f>IFERROR(VLOOKUP(Vaktplan!$A$57,Vaktplan!$AS$4:$CL$35,86-AI65,FALSE),0)</f>
        <v>0</v>
      </c>
      <c r="M12" s="77">
        <f>IFERROR(VLOOKUP(Vaktplan!$A$57,Vaktplan!$AS$4:$CL$35,86-AH65,FALSE),0)</f>
        <v>0</v>
      </c>
      <c r="N12" s="9">
        <f>IFERROR(VLOOKUP(Vaktplan!$A$57,Vaktplan!$AS$4:$CL$35,89-$AI65,FALSE),0)</f>
        <v>0</v>
      </c>
      <c r="O12" s="9">
        <f t="shared" si="5"/>
        <v>0</v>
      </c>
      <c r="P12" s="9">
        <f t="shared" si="6"/>
        <v>24</v>
      </c>
      <c r="Q12" s="77">
        <f>IFERROR(VLOOKUP(Vaktplan!$A$57,Vaktplan!$AT$4:$CL$35,86-AJ65,FALSE),0)</f>
        <v>0</v>
      </c>
      <c r="R12" s="77">
        <f>IFERROR(VLOOKUP(Vaktplan!$A$57,Vaktplan!$AT$4:$CL$35,86-AI65,FALSE),0)</f>
        <v>0</v>
      </c>
      <c r="S12" s="9">
        <f>IFERROR(VLOOKUP(Vaktplan!$A$57,Vaktplan!$AT$4:$CL$35,89-$AJ65,FALSE),0)</f>
        <v>0</v>
      </c>
      <c r="T12" s="9">
        <f t="shared" si="0"/>
        <v>0</v>
      </c>
      <c r="U12" s="9">
        <f t="shared" si="7"/>
        <v>24</v>
      </c>
      <c r="V12" s="77">
        <f>IFERROR(VLOOKUP(Vaktplan!$A$57,Vaktplan!$AU$4:$CL$35,86-AK65,FALSE),0)</f>
        <v>0</v>
      </c>
      <c r="W12" s="77">
        <f>IFERROR(VLOOKUP(Vaktplan!$A$57,Vaktplan!$AU$4:$CL$35,86-AJ65,FALSE),0)</f>
        <v>0</v>
      </c>
      <c r="X12" s="9">
        <f>IFERROR(VLOOKUP(Vaktplan!$A$57,Vaktplan!$AU$4:$CL$35,89-$AK65,FALSE),0)</f>
        <v>0</v>
      </c>
      <c r="Y12" s="9">
        <f t="shared" si="8"/>
        <v>0</v>
      </c>
      <c r="Z12" s="9">
        <f t="shared" si="9"/>
        <v>24</v>
      </c>
      <c r="AA12" s="77">
        <f>IFERROR(VLOOKUP(Vaktplan!$A$57,Vaktplan!$AV$4:$CL$35,86-AL65,FALSE),0)</f>
        <v>0</v>
      </c>
      <c r="AB12" s="77">
        <f>IFERROR(VLOOKUP(Vaktplan!$A$57,Vaktplan!$AV$4:$CL$35,86-AK65,FALSE),0)</f>
        <v>0</v>
      </c>
      <c r="AC12" s="9">
        <f>IFERROR(VLOOKUP(Vaktplan!$A$57,Vaktplan!$AV$4:$CL$35,89-$AL65,FALSE),0)</f>
        <v>0</v>
      </c>
      <c r="AD12" s="9">
        <f t="shared" si="10"/>
        <v>0</v>
      </c>
      <c r="AE12" s="9">
        <f t="shared" si="11"/>
        <v>24</v>
      </c>
      <c r="AF12" s="77">
        <f>IFERROR(VLOOKUP(Vaktplan!$A$57,Vaktplan!$AW$4:$CL$35,86-AM65,FALSE),0)</f>
        <v>0</v>
      </c>
      <c r="AG12" s="77">
        <f>IFERROR(VLOOKUP(Vaktplan!$A$57,Vaktplan!$AW$4:$CL$35,86-AL65,FALSE),0)</f>
        <v>0</v>
      </c>
      <c r="AH12" s="9">
        <f>IFERROR(VLOOKUP(Vaktplan!$A$57,Vaktplan!$AW$4:$CL$35,89-$AM65,FALSE),0)</f>
        <v>0</v>
      </c>
      <c r="AI12" s="9">
        <f t="shared" si="12"/>
        <v>0</v>
      </c>
      <c r="AJ12" s="9">
        <f t="shared" si="13"/>
        <v>24</v>
      </c>
      <c r="AK12" s="9">
        <f t="shared" si="1"/>
        <v>0</v>
      </c>
      <c r="AL12" s="92">
        <f t="shared" si="14"/>
        <v>24</v>
      </c>
      <c r="AM12" s="10">
        <f t="shared" si="15"/>
        <v>0</v>
      </c>
    </row>
    <row r="13" spans="1:39" ht="13" x14ac:dyDescent="0.25">
      <c r="A13" s="7">
        <f>IF($M$1&gt;=8,8,0)</f>
        <v>8</v>
      </c>
      <c r="B13" s="77">
        <f>IFERROR(VLOOKUP(Vaktplan!$A$57,Vaktplan!$AX$4:$CL$35,87-AH66,FALSE),0)</f>
        <v>0</v>
      </c>
      <c r="C13" s="77">
        <f>IFERROR(VLOOKUP(Vaktplan!$A$57,Vaktplan!$AX$4:$CL$35,87-AG66,FALSE),0)</f>
        <v>0</v>
      </c>
      <c r="D13" s="9">
        <f>IFERROR(VLOOKUP(Vaktplan!$A$57,Vaktplan!$AX$4:$CL$35,89-AG66,FALSE),0)</f>
        <v>0</v>
      </c>
      <c r="E13" s="9">
        <f t="shared" si="16"/>
        <v>0</v>
      </c>
      <c r="F13" s="9">
        <f t="shared" si="2"/>
        <v>24</v>
      </c>
      <c r="G13" s="77">
        <f>IFERROR(VLOOKUP(Vaktplan!$A$57,Vaktplan!$AY$4:$CL$35,86-AH66,FALSE),0)</f>
        <v>0</v>
      </c>
      <c r="H13" s="77">
        <f>IFERROR(VLOOKUP(Vaktplan!$A$57,Vaktplan!$AY$4:$CL$35,86-AG66,FALSE),0)</f>
        <v>0</v>
      </c>
      <c r="I13" s="9">
        <f>IFERROR(VLOOKUP(Vaktplan!$A$57,Vaktplan!$AY$4:$CL$35,89-$AH66,FALSE),0)</f>
        <v>0</v>
      </c>
      <c r="J13" s="9">
        <f t="shared" si="3"/>
        <v>0</v>
      </c>
      <c r="K13" s="9">
        <f t="shared" si="4"/>
        <v>24</v>
      </c>
      <c r="L13" s="77">
        <f>IFERROR(VLOOKUP(Vaktplan!$A$57,Vaktplan!$AZ$4:$CL$35,86-AI66,FALSE),0)</f>
        <v>0</v>
      </c>
      <c r="M13" s="77">
        <f>IFERROR(VLOOKUP(Vaktplan!$A$57,Vaktplan!$AZ$4:$CL$35,86-AH66,FALSE),0)</f>
        <v>0</v>
      </c>
      <c r="N13" s="9">
        <f>IFERROR(VLOOKUP(Vaktplan!$A$57,Vaktplan!$AZ$4:$CL$35,89-$AI66,FALSE),0)</f>
        <v>0</v>
      </c>
      <c r="O13" s="9">
        <f t="shared" si="5"/>
        <v>0</v>
      </c>
      <c r="P13" s="9">
        <f t="shared" si="6"/>
        <v>24</v>
      </c>
      <c r="Q13" s="77">
        <f>IFERROR(VLOOKUP(Vaktplan!$A$57,Vaktplan!$BA$4:$CL$35,86-AJ66,FALSE),0)</f>
        <v>0</v>
      </c>
      <c r="R13" s="77">
        <f>IFERROR(VLOOKUP(Vaktplan!$A$57,Vaktplan!$BA$4:$CL$35,86-AI66,FALSE),0)</f>
        <v>0</v>
      </c>
      <c r="S13" s="9">
        <f>IFERROR(VLOOKUP(Vaktplan!$A$57,Vaktplan!$BA$4:$CL$35,89-$AJ66,FALSE),0)</f>
        <v>0</v>
      </c>
      <c r="T13" s="9">
        <f t="shared" si="0"/>
        <v>0</v>
      </c>
      <c r="U13" s="9">
        <f t="shared" si="7"/>
        <v>24</v>
      </c>
      <c r="V13" s="77">
        <f>IFERROR(VLOOKUP(Vaktplan!$A$57,Vaktplan!$BB$4:$CL$35,86-AK66,FALSE),0)</f>
        <v>0</v>
      </c>
      <c r="W13" s="77">
        <f>IFERROR(VLOOKUP(Vaktplan!$A$57,Vaktplan!$BB$4:$CL$35,86-AJ66,FALSE),0)</f>
        <v>0</v>
      </c>
      <c r="X13" s="9">
        <f>IFERROR(VLOOKUP(Vaktplan!$A$57,Vaktplan!$BB$4:$CL$35,89-$AK66,FALSE),0)</f>
        <v>0</v>
      </c>
      <c r="Y13" s="9">
        <f t="shared" si="8"/>
        <v>0</v>
      </c>
      <c r="Z13" s="9">
        <f t="shared" si="9"/>
        <v>24</v>
      </c>
      <c r="AA13" s="77">
        <f>IFERROR(VLOOKUP(Vaktplan!$A$57,Vaktplan!$BC$4:$CL$35,86-AL66,FALSE),0)</f>
        <v>0</v>
      </c>
      <c r="AB13" s="77">
        <f>IFERROR(VLOOKUP(Vaktplan!$A$57,Vaktplan!$BC$4:$CL$35,86-AK66,FALSE),0)</f>
        <v>0</v>
      </c>
      <c r="AC13" s="9">
        <f>IFERROR(VLOOKUP(Vaktplan!$A$57,Vaktplan!$BC$4:$CL$35,89-$AL66,FALSE),0)</f>
        <v>0</v>
      </c>
      <c r="AD13" s="9">
        <f t="shared" si="10"/>
        <v>0</v>
      </c>
      <c r="AE13" s="9">
        <f t="shared" si="11"/>
        <v>24</v>
      </c>
      <c r="AF13" s="77">
        <f>IFERROR(VLOOKUP(Vaktplan!$A$57,Vaktplan!$BD$4:$CL$35,86-AM66,FALSE),0)</f>
        <v>0</v>
      </c>
      <c r="AG13" s="77">
        <f>IFERROR(VLOOKUP(Vaktplan!$A$57,Vaktplan!$BD$4:$CL$35,86-AL66,FALSE),0)</f>
        <v>0</v>
      </c>
      <c r="AH13" s="9">
        <f>IFERROR(VLOOKUP(Vaktplan!$A$57,Vaktplan!$BD$4:$CL$35,89-$AM66,FALSE),0)</f>
        <v>0</v>
      </c>
      <c r="AI13" s="9">
        <f t="shared" si="12"/>
        <v>0</v>
      </c>
      <c r="AJ13" s="9">
        <f t="shared" si="13"/>
        <v>24</v>
      </c>
      <c r="AK13" s="9">
        <f t="shared" si="1"/>
        <v>0</v>
      </c>
      <c r="AL13" s="92">
        <f t="shared" si="14"/>
        <v>24</v>
      </c>
      <c r="AM13" s="10">
        <f t="shared" si="15"/>
        <v>0</v>
      </c>
    </row>
    <row r="14" spans="1:39" ht="13" x14ac:dyDescent="0.25">
      <c r="A14" s="7">
        <v>9</v>
      </c>
      <c r="B14" s="77">
        <f>IFERROR(VLOOKUP(Vaktplan!$A$57,Vaktplan!$BE$4:$CL$35,87-AH67,FALSE),0)</f>
        <v>0</v>
      </c>
      <c r="C14" s="77">
        <f>IFERROR(VLOOKUP(Vaktplan!$A$57,Vaktplan!$BE$4:$CL$35,87-AG67,FALSE),0)</f>
        <v>0</v>
      </c>
      <c r="D14" s="9">
        <f>IFERROR(VLOOKUP(Vaktplan!$A$57,Vaktplan!$BE$4:$CL$35,89-AG67,FALSE),0)</f>
        <v>0</v>
      </c>
      <c r="E14" s="9">
        <f t="shared" si="16"/>
        <v>0</v>
      </c>
      <c r="F14" s="9">
        <f t="shared" si="2"/>
        <v>24</v>
      </c>
      <c r="G14" s="77">
        <f>IFERROR(VLOOKUP(Vaktplan!$A$57,Vaktplan!$BF$4:$CL$35,86-AH67,FALSE),0)</f>
        <v>0</v>
      </c>
      <c r="H14" s="77">
        <f>IFERROR(VLOOKUP(Vaktplan!$A$57,Vaktplan!$BF$4:$CL$35,86-AG67,FALSE),0)</f>
        <v>0</v>
      </c>
      <c r="I14" s="9">
        <f>IFERROR(VLOOKUP(Vaktplan!$A$57,Vaktplan!$BF$4:$CL$35,89-$AH67,FALSE),0)</f>
        <v>0</v>
      </c>
      <c r="J14" s="9">
        <f t="shared" si="3"/>
        <v>0</v>
      </c>
      <c r="K14" s="9">
        <f t="shared" si="4"/>
        <v>24</v>
      </c>
      <c r="L14" s="77">
        <f>IFERROR(VLOOKUP(Vaktplan!$A$57,Vaktplan!$BG$4:$CL$35,86-AI67,FALSE),0)</f>
        <v>0</v>
      </c>
      <c r="M14" s="77">
        <f>IFERROR(VLOOKUP(Vaktplan!$A$57,Vaktplan!$BG$4:$CL$35,86-AH67,FALSE),0)</f>
        <v>0</v>
      </c>
      <c r="N14" s="9">
        <f>IFERROR(VLOOKUP(Vaktplan!$A$57,Vaktplan!$BG$4:$CL$35,89-$AI67,FALSE),0)</f>
        <v>0</v>
      </c>
      <c r="O14" s="9">
        <f t="shared" si="5"/>
        <v>0</v>
      </c>
      <c r="P14" s="9">
        <f t="shared" si="6"/>
        <v>24</v>
      </c>
      <c r="Q14" s="77">
        <f>IFERROR(VLOOKUP(Vaktplan!$A$57,Vaktplan!$BH$4:$CL$35,86-AJ67,FALSE),0)</f>
        <v>0</v>
      </c>
      <c r="R14" s="77">
        <f>IFERROR(VLOOKUP(Vaktplan!$A$57,Vaktplan!$BH$4:$CL$35,86-AI67,FALSE),0)</f>
        <v>0</v>
      </c>
      <c r="S14" s="9">
        <f>IFERROR(VLOOKUP(Vaktplan!$A$57,Vaktplan!$BH$4:$CL$35,89-$AJ67,FALSE),0)</f>
        <v>0</v>
      </c>
      <c r="T14" s="9">
        <f t="shared" si="0"/>
        <v>0</v>
      </c>
      <c r="U14" s="9">
        <f t="shared" si="7"/>
        <v>24</v>
      </c>
      <c r="V14" s="77">
        <f>IFERROR(VLOOKUP(Vaktplan!$A$57,Vaktplan!$BI$4:$CL$35,86-AK67,FALSE),0)</f>
        <v>0</v>
      </c>
      <c r="W14" s="77">
        <f>IFERROR(VLOOKUP(Vaktplan!$A$57,Vaktplan!$BI$4:$CL$35,86-AJ67,FALSE),0)</f>
        <v>0</v>
      </c>
      <c r="X14" s="9">
        <f>IFERROR(VLOOKUP(Vaktplan!$A$57,Vaktplan!$BI$4:$CL$35,89-$AK67,FALSE),0)</f>
        <v>0</v>
      </c>
      <c r="Y14" s="9">
        <f>IF(AND(V14=0,W14=0),0,IF(V14&lt;W14,((W14-V14)*24)-X14,(((1-V14)+W14)*24)-X14))</f>
        <v>0</v>
      </c>
      <c r="Z14" s="9">
        <f t="shared" si="9"/>
        <v>24</v>
      </c>
      <c r="AA14" s="77">
        <f>IFERROR(VLOOKUP(Vaktplan!$A$57,Vaktplan!$BJ$4:$CL$35,86-AL67,FALSE),0)</f>
        <v>0</v>
      </c>
      <c r="AB14" s="77">
        <f>IFERROR(VLOOKUP(Vaktplan!$A$57,Vaktplan!$BJ$4:$CL$35,86-AK67,FALSE),0)</f>
        <v>0</v>
      </c>
      <c r="AC14" s="9">
        <f>IFERROR(VLOOKUP(Vaktplan!$A$57,Vaktplan!$BJ$4:$CL$35,89-$AL67,FALSE),0)</f>
        <v>0</v>
      </c>
      <c r="AD14" s="9">
        <f>IF(AND(AA14=0,AB14=0),0,IF(AA14&lt;AB14,((AB14-AA14)*24)-AC14,(((1-AA14)+AB14)*24)-AC14))</f>
        <v>0</v>
      </c>
      <c r="AE14" s="9">
        <f t="shared" si="11"/>
        <v>24</v>
      </c>
      <c r="AF14" s="77">
        <f>IFERROR(VLOOKUP(Vaktplan!$A$57,Vaktplan!$BK$4:$CL$35,86-AM67,FALSE),0)</f>
        <v>0</v>
      </c>
      <c r="AG14" s="77">
        <f>IFERROR(VLOOKUP(Vaktplan!$A$57,Vaktplan!$BK$4:$CL$35,86-AL67,FALSE),0)</f>
        <v>0</v>
      </c>
      <c r="AH14" s="9">
        <f>IFERROR(VLOOKUP(Vaktplan!$A$57,Vaktplan!$BK$4:$CL$35,89-$AM67,FALSE),0)</f>
        <v>0</v>
      </c>
      <c r="AI14" s="9">
        <f>IF(AND(AF14=0,AG14=0),0,IF(AF14&lt;AG14,((AG14-AF14)*24)-AH14,(((1-AF14)+AG14)*24)-AH14))</f>
        <v>0</v>
      </c>
      <c r="AJ14" s="9">
        <f t="shared" si="13"/>
        <v>24</v>
      </c>
      <c r="AK14" s="9">
        <f t="shared" si="1"/>
        <v>0</v>
      </c>
      <c r="AL14" s="92"/>
      <c r="AM14" s="10"/>
    </row>
    <row r="15" spans="1:39" ht="13" x14ac:dyDescent="0.25">
      <c r="A15" s="7">
        <v>10</v>
      </c>
      <c r="B15" s="77">
        <f>IFERROR(VLOOKUP(Vaktplan!$A$57,Vaktplan!$BL$4:$CL$35,87-AH68,FALSE),0)</f>
        <v>0</v>
      </c>
      <c r="C15" s="77">
        <f>IFERROR(VLOOKUP(Vaktplan!$A$57,Vaktplan!$BL$4:$CL$35,87-AG68,FALSE),0)</f>
        <v>0</v>
      </c>
      <c r="D15" s="9">
        <f>IFERROR(VLOOKUP(Vaktplan!$A$57,Vaktplan!$BL$4:$CL$35,89-AG68,FALSE),0)</f>
        <v>0</v>
      </c>
      <c r="E15" s="9">
        <f t="shared" si="16"/>
        <v>0</v>
      </c>
      <c r="F15" s="9">
        <f t="shared" si="2"/>
        <v>24</v>
      </c>
      <c r="G15" s="77">
        <f>IFERROR(VLOOKUP(Vaktplan!$A$57,Vaktplan!$BM$4:$CL$35,86-AH68,FALSE),0)</f>
        <v>0</v>
      </c>
      <c r="H15" s="77">
        <f>IFERROR(VLOOKUP(Vaktplan!$A$57,Vaktplan!$BM$4:$CL$35,86-AG68,FALSE),0)</f>
        <v>0</v>
      </c>
      <c r="I15" s="9">
        <f>IFERROR(VLOOKUP(Vaktplan!$A$57,Vaktplan!$BM$4:$CL$35,89-$AH68,FALSE),0)</f>
        <v>0</v>
      </c>
      <c r="J15" s="9">
        <f t="shared" si="3"/>
        <v>0</v>
      </c>
      <c r="K15" s="9">
        <f t="shared" si="4"/>
        <v>24</v>
      </c>
      <c r="L15" s="77">
        <f>IFERROR(VLOOKUP(Vaktplan!$A$57,Vaktplan!$BN$4:$CL$35,86-AI68,FALSE),0)</f>
        <v>0</v>
      </c>
      <c r="M15" s="77">
        <f>IFERROR(VLOOKUP(Vaktplan!$A$57,Vaktplan!$BN$4:$CL$35,86-AH68,FALSE),0)</f>
        <v>0</v>
      </c>
      <c r="N15" s="9">
        <f>IFERROR(VLOOKUP(Vaktplan!$A$57,Vaktplan!$BN$4:$CL$35,89-$AI68,FALSE),0)</f>
        <v>0</v>
      </c>
      <c r="O15" s="9">
        <f t="shared" si="5"/>
        <v>0</v>
      </c>
      <c r="P15" s="9">
        <f t="shared" si="6"/>
        <v>24</v>
      </c>
      <c r="Q15" s="77">
        <f>IFERROR(VLOOKUP(Vaktplan!$A$57,Vaktplan!$BO$4:$CL$35,86-AJ68,FALSE),0)</f>
        <v>0</v>
      </c>
      <c r="R15" s="77">
        <f>IFERROR(VLOOKUP(Vaktplan!$A$57,Vaktplan!$BO$4:$CL$35,86-AI68,FALSE),0)</f>
        <v>0</v>
      </c>
      <c r="S15" s="9">
        <f>IFERROR(VLOOKUP(Vaktplan!$A$57,Vaktplan!$BO$4:$CL$35,89-$AJ68,FALSE),0)</f>
        <v>0</v>
      </c>
      <c r="T15" s="9">
        <f t="shared" si="0"/>
        <v>0</v>
      </c>
      <c r="U15" s="9">
        <f t="shared" si="7"/>
        <v>24</v>
      </c>
      <c r="V15" s="77">
        <f>IFERROR(VLOOKUP(Vaktplan!$A$57,Vaktplan!$BP$4:$CL$35,86-AK68,FALSE),0)</f>
        <v>0</v>
      </c>
      <c r="W15" s="77">
        <f>IFERROR(VLOOKUP(Vaktplan!$A$57,Vaktplan!$BP$4:$CL$35,86-AJ68,FALSE),0)</f>
        <v>0</v>
      </c>
      <c r="X15" s="9">
        <f>IFERROR(VLOOKUP(Vaktplan!$A$57,Vaktplan!$BP$4:$CL$35,89-$AK68,FALSE),0)</f>
        <v>0</v>
      </c>
      <c r="Y15" s="9">
        <f>IF(AND(V15=0,W15=0),0,IF(V15&lt;W15,((W15-V15)*24)-X15,(((1-V15)+W15)*24)-X15))</f>
        <v>0</v>
      </c>
      <c r="Z15" s="9">
        <f t="shared" si="9"/>
        <v>24</v>
      </c>
      <c r="AA15" s="77">
        <f>IFERROR(VLOOKUP(Vaktplan!$A$57,Vaktplan!$BQ$4:$CL$35,86-AL68,FALSE),0)</f>
        <v>0</v>
      </c>
      <c r="AB15" s="77">
        <f>IFERROR(VLOOKUP(Vaktplan!$A$57,Vaktplan!$BQ$4:$CL$35,86-AK68,FALSE),0)</f>
        <v>0</v>
      </c>
      <c r="AC15" s="9">
        <f>IFERROR(VLOOKUP(Vaktplan!$A$57,Vaktplan!$BQ$4:$CL$35,89-$AL68,FALSE),0)</f>
        <v>0</v>
      </c>
      <c r="AD15" s="9">
        <f>IF(AND(AA15=0,AB15=0),0,IF(AA15&lt;AB15,((AB15-AA15)*24)-AC15,(((1-AA15)+AB15)*24)-AC15))</f>
        <v>0</v>
      </c>
      <c r="AE15" s="9">
        <f t="shared" si="11"/>
        <v>24</v>
      </c>
      <c r="AF15" s="77">
        <f>IFERROR(VLOOKUP(Vaktplan!$A$57,Vaktplan!$BR$4:$CL$35,86-AM68,FALSE),0)</f>
        <v>0</v>
      </c>
      <c r="AG15" s="77">
        <f>IFERROR(VLOOKUP(Vaktplan!$A$57,Vaktplan!$BR$4:$CL$35,86-AL68,FALSE),0)</f>
        <v>0</v>
      </c>
      <c r="AH15" s="9">
        <f>IFERROR(VLOOKUP(Vaktplan!$A$57,Vaktplan!$BR$4:$CL$35,89-$AM68,FALSE),0)</f>
        <v>0</v>
      </c>
      <c r="AI15" s="9">
        <f>IF(AND(AF15=0,AG15=0),0,IF(AF15&lt;AG15,((AG15-AF15)*24)-AH15,(((1-AF15)+AG15)*24)-AH15))</f>
        <v>0</v>
      </c>
      <c r="AJ15" s="9">
        <f t="shared" si="13"/>
        <v>24</v>
      </c>
      <c r="AK15" s="9">
        <f t="shared" si="1"/>
        <v>0</v>
      </c>
      <c r="AL15" s="92"/>
      <c r="AM15" s="10"/>
    </row>
    <row r="16" spans="1:39" ht="13" x14ac:dyDescent="0.25">
      <c r="A16" s="7">
        <v>11</v>
      </c>
      <c r="B16" s="77">
        <f>IFERROR(VLOOKUP(Vaktplan!$A$57,Vaktplan!$BS$4:$CL$35,87-AH69,FALSE),0)</f>
        <v>0</v>
      </c>
      <c r="C16" s="77">
        <f>IFERROR(VLOOKUP(Vaktplan!$A$57,Vaktplan!$BS$4:$CL$35,87-AG69,FALSE),0)</f>
        <v>0</v>
      </c>
      <c r="D16" s="9">
        <f>IFERROR(VLOOKUP(Vaktplan!$A$57,Vaktplan!$BS$4:$CL$35,89-AG69,FALSE),0)</f>
        <v>0</v>
      </c>
      <c r="E16" s="9">
        <f t="shared" si="16"/>
        <v>0</v>
      </c>
      <c r="F16" s="9">
        <f t="shared" si="2"/>
        <v>24</v>
      </c>
      <c r="G16" s="77">
        <f>IFERROR(VLOOKUP(Vaktplan!$A$57,Vaktplan!$BT$4:$CL$35,86-AH69,FALSE),0)</f>
        <v>0</v>
      </c>
      <c r="H16" s="77">
        <f>IFERROR(VLOOKUP(Vaktplan!$A$57,Vaktplan!$BT$4:$CL$35,86-AG69,FALSE),0)</f>
        <v>0</v>
      </c>
      <c r="I16" s="9">
        <f>IFERROR(VLOOKUP(Vaktplan!$A$57,Vaktplan!$BT$4:$CL$35,89-$AH69,FALSE),0)</f>
        <v>0</v>
      </c>
      <c r="J16" s="9">
        <f t="shared" si="3"/>
        <v>0</v>
      </c>
      <c r="K16" s="9">
        <f t="shared" si="4"/>
        <v>24</v>
      </c>
      <c r="L16" s="77">
        <f>IFERROR(VLOOKUP(Vaktplan!$A$57,Vaktplan!$BU$4:$CL$35,86-AI69,FALSE),0)</f>
        <v>0</v>
      </c>
      <c r="M16" s="77">
        <f>IFERROR(VLOOKUP(Vaktplan!$A$57,Vaktplan!$BU$4:$CL$35,86-AH69,FALSE),0)</f>
        <v>0</v>
      </c>
      <c r="N16" s="9">
        <f>IFERROR(VLOOKUP(Vaktplan!$A$57,Vaktplan!$BU$4:$CL$35,89-$AI69,FALSE),0)</f>
        <v>0</v>
      </c>
      <c r="O16" s="9">
        <f t="shared" si="5"/>
        <v>0</v>
      </c>
      <c r="P16" s="9">
        <f t="shared" si="6"/>
        <v>24</v>
      </c>
      <c r="Q16" s="77">
        <f>IFERROR(VLOOKUP(Vaktplan!$A$57,Vaktplan!$BV$4:$CL$35,86-AJ69,FALSE),0)</f>
        <v>0</v>
      </c>
      <c r="R16" s="77">
        <f>IFERROR(VLOOKUP(Vaktplan!$A$57,Vaktplan!$BV$4:$CL$35,86-AI69,FALSE),0)</f>
        <v>0</v>
      </c>
      <c r="S16" s="9">
        <f>IFERROR(VLOOKUP(Vaktplan!$A$57,Vaktplan!$BV$4:$CL$35,89-$AJ69,FALSE),0)</f>
        <v>0</v>
      </c>
      <c r="T16" s="9">
        <f t="shared" si="0"/>
        <v>0</v>
      </c>
      <c r="U16" s="9">
        <f t="shared" si="7"/>
        <v>24</v>
      </c>
      <c r="V16" s="77">
        <f>IFERROR(VLOOKUP(Vaktplan!$A$57,Vaktplan!$BW$4:$CL$35,86-AK69,FALSE),0)</f>
        <v>0</v>
      </c>
      <c r="W16" s="77">
        <f>IFERROR(VLOOKUP(Vaktplan!$A$57,Vaktplan!$BW$4:$CL$35,86-AJ69,FALSE),0)</f>
        <v>0</v>
      </c>
      <c r="X16" s="9">
        <f>IFERROR(VLOOKUP(Vaktplan!$A$57,Vaktplan!$BW$4:$CL$35,89-$AK69,FALSE),0)</f>
        <v>0</v>
      </c>
      <c r="Y16" s="9">
        <f>IF(AND(V16=0,W16=0),0,IF(V16&lt;W16,((W16-V16)*24)-X16,(((1-V16)+W16)*24)-X16))</f>
        <v>0</v>
      </c>
      <c r="Z16" s="9">
        <f t="shared" si="9"/>
        <v>24</v>
      </c>
      <c r="AA16" s="77">
        <f>IFERROR(VLOOKUP(Vaktplan!$A$57,Vaktplan!$BX$4:$CL$35,86-AL69,FALSE),0)</f>
        <v>0</v>
      </c>
      <c r="AB16" s="77">
        <f>IFERROR(VLOOKUP(Vaktplan!$A$57,Vaktplan!$BX$4:$CL$35,86-AK69,FALSE),0)</f>
        <v>0</v>
      </c>
      <c r="AC16" s="9">
        <f>IFERROR(VLOOKUP(Vaktplan!$A$57,Vaktplan!$BX$4:$CL$35,89-$AL69,FALSE),0)</f>
        <v>0</v>
      </c>
      <c r="AD16" s="9">
        <f>IF(AND(AA16=0,AB16=0),0,IF(AA16&lt;AB16,((AB16-AA16)*24)-AC16,(((1-AA16)+AB16)*24)-AC16))</f>
        <v>0</v>
      </c>
      <c r="AE16" s="9">
        <f t="shared" si="11"/>
        <v>24</v>
      </c>
      <c r="AF16" s="77">
        <f>IFERROR(VLOOKUP(Vaktplan!$A$57,Vaktplan!$BY$4:$CL$35,86-AM69,FALSE),0)</f>
        <v>0</v>
      </c>
      <c r="AG16" s="77">
        <f>IFERROR(VLOOKUP(Vaktplan!$A$57,Vaktplan!$BY$4:$CL$35,86-AL69,FALSE),0)</f>
        <v>0</v>
      </c>
      <c r="AH16" s="9">
        <f>IFERROR(VLOOKUP(Vaktplan!$A$57,Vaktplan!$BY$4:$CL$35,89-$AM69,FALSE),0)</f>
        <v>0</v>
      </c>
      <c r="AI16" s="9">
        <f>IF(AND(AF16=0,AG16=0),0,IF(AF16&lt;AG16,((AG16-AF16)*24)-AH16,(((1-AF16)+AG16)*24)-AH16))</f>
        <v>0</v>
      </c>
      <c r="AJ16" s="9">
        <f t="shared" si="13"/>
        <v>24</v>
      </c>
      <c r="AK16" s="9">
        <f t="shared" si="1"/>
        <v>0</v>
      </c>
      <c r="AL16" s="92"/>
      <c r="AM16" s="10"/>
    </row>
    <row r="17" spans="1:43" ht="13" x14ac:dyDescent="0.25">
      <c r="A17" s="7">
        <v>12</v>
      </c>
      <c r="B17" s="77">
        <f>IFERROR(VLOOKUP(Vaktplan!$A$57,Vaktplan!$BZ$4:$CL$35,87-AH70,FALSE),0)</f>
        <v>0</v>
      </c>
      <c r="C17" s="77">
        <f>IFERROR(VLOOKUP(Vaktplan!$A$57,Vaktplan!$BZ$4:$CL$35,87-AG70,FALSE),0)</f>
        <v>0</v>
      </c>
      <c r="D17" s="9">
        <f>IFERROR(VLOOKUP(Vaktplan!$A$57,Vaktplan!$BZ$4:$CL$35,89-AG70,FALSE),0)</f>
        <v>0</v>
      </c>
      <c r="E17" s="9">
        <f t="shared" si="16"/>
        <v>0</v>
      </c>
      <c r="F17" s="9">
        <f t="shared" si="2"/>
        <v>24</v>
      </c>
      <c r="G17" s="77">
        <f>IFERROR(VLOOKUP(Vaktplan!$A$57,Vaktplan!$CA$4:$CL$35,86-AH70,FALSE),0)</f>
        <v>0</v>
      </c>
      <c r="H17" s="77">
        <f>IFERROR(VLOOKUP(Vaktplan!$A$57,Vaktplan!$CA$4:$CL$35,86-AG70,FALSE),0)</f>
        <v>0</v>
      </c>
      <c r="I17" s="9">
        <f>IFERROR(VLOOKUP(Vaktplan!$A$57,Vaktplan!$CA$4:$CL$35,89-$AH70,FALSE),0)</f>
        <v>0</v>
      </c>
      <c r="J17" s="9">
        <f t="shared" si="3"/>
        <v>0</v>
      </c>
      <c r="K17" s="9">
        <f t="shared" si="4"/>
        <v>24</v>
      </c>
      <c r="L17" s="77">
        <f>IFERROR(VLOOKUP(Vaktplan!$A$57,Vaktplan!$CB$4:$CL$35,86-AI70,FALSE),0)</f>
        <v>0</v>
      </c>
      <c r="M17" s="77">
        <f>IFERROR(VLOOKUP(Vaktplan!$A$57,Vaktplan!$CB$4:$CL$35,86-AH70,FALSE),0)</f>
        <v>0</v>
      </c>
      <c r="N17" s="9">
        <f>IFERROR(VLOOKUP(Vaktplan!$A$57,Vaktplan!$CB$4:$CL$35,89-$AI70,FALSE),0)</f>
        <v>0</v>
      </c>
      <c r="O17" s="9">
        <f t="shared" si="5"/>
        <v>0</v>
      </c>
      <c r="P17" s="9">
        <f t="shared" si="6"/>
        <v>24</v>
      </c>
      <c r="Q17" s="77">
        <f>IFERROR(VLOOKUP(Vaktplan!$A$57,Vaktplan!$CC$4:$CL$35,86-AJ70,FALSE),0)</f>
        <v>0</v>
      </c>
      <c r="R17" s="77">
        <f>IFERROR(VLOOKUP(Vaktplan!$A$57,Vaktplan!$CC$4:$CL$35,86-AI70,FALSE),0)</f>
        <v>0</v>
      </c>
      <c r="S17" s="9">
        <f>IFERROR(VLOOKUP(Vaktplan!$A$57,Vaktplan!$CC$4:$CL$35,89-$AJ70,FALSE),0)</f>
        <v>0</v>
      </c>
      <c r="T17" s="9">
        <f t="shared" si="0"/>
        <v>0</v>
      </c>
      <c r="U17" s="9">
        <f t="shared" si="7"/>
        <v>24</v>
      </c>
      <c r="V17" s="77">
        <f>IFERROR(VLOOKUP(Vaktplan!$A$57,Vaktplan!$CD$4:$CL$35,86-AK70,FALSE),0)</f>
        <v>0</v>
      </c>
      <c r="W17" s="77">
        <f>IFERROR(VLOOKUP(Vaktplan!$A$57,Vaktplan!$CD$4:$CL$35,86-AJ70,FALSE),0)</f>
        <v>0</v>
      </c>
      <c r="X17" s="9">
        <f>IFERROR(VLOOKUP(Vaktplan!$A$57,Vaktplan!$CD$4:$CL$35,89-$AK70,FALSE),0)</f>
        <v>0</v>
      </c>
      <c r="Y17" s="9">
        <f>IF(AND(V17=0,W17=0),0,IF(V17&lt;W17,((W17-V17)*24)-X17,(((1-V17)+W17)*24)-X17))</f>
        <v>0</v>
      </c>
      <c r="Z17" s="9">
        <f t="shared" si="9"/>
        <v>24</v>
      </c>
      <c r="AA17" s="77">
        <f>IFERROR(VLOOKUP(Vaktplan!$A$57,Vaktplan!$CE$4:$CL$35,86-AL70,FALSE),0)</f>
        <v>0</v>
      </c>
      <c r="AB17" s="77">
        <f>IFERROR(VLOOKUP(Vaktplan!$A$57,Vaktplan!$CE$4:$CL$35,86-AK70,FALSE),0)</f>
        <v>0</v>
      </c>
      <c r="AC17" s="9">
        <f>IFERROR(VLOOKUP(Vaktplan!$A$57,Vaktplan!$CE$4:$FCE$35,89-$AL70,FALSE),0)</f>
        <v>0</v>
      </c>
      <c r="AD17" s="9">
        <f>IF(AND(AA17=0,AB17=0),0,IF(AA17&lt;AB17,((AB17-AA17)*24)-AC17,(((1-AA17)+AB17)*24)-AC17))</f>
        <v>0</v>
      </c>
      <c r="AE17" s="9">
        <f t="shared" si="11"/>
        <v>24</v>
      </c>
      <c r="AF17" s="77">
        <f>IFERROR(VLOOKUP(Vaktplan!$A$57,Vaktplan!$CF$4:$CL$35,86-AM70,FALSE),0)</f>
        <v>0</v>
      </c>
      <c r="AG17" s="77">
        <f>IFERROR(VLOOKUP(Vaktplan!$A$57,Vaktplan!$CF$4:$CL$35,86-AL70,FALSE),0)</f>
        <v>0</v>
      </c>
      <c r="AH17" s="9">
        <f>IFERROR(VLOOKUP(Vaktplan!$A$57,Vaktplan!$CF$4:$CL$35,89-$AM70,FALSE),0)</f>
        <v>0</v>
      </c>
      <c r="AI17" s="9">
        <f>IF(AND(AF17=0,AG17=0),0,IF(AF17&lt;AG17,((AG17-AF17)*24)-AH17,(((1-AF17)+AG17)*24)-AH17))</f>
        <v>0</v>
      </c>
      <c r="AJ17" s="9">
        <f t="shared" si="13"/>
        <v>24</v>
      </c>
      <c r="AK17" s="9">
        <f t="shared" si="1"/>
        <v>0</v>
      </c>
      <c r="AL17" s="92"/>
      <c r="AM17" s="10"/>
    </row>
    <row r="19" spans="1:43" ht="13" x14ac:dyDescent="0.3">
      <c r="A19" s="4" t="s">
        <v>76</v>
      </c>
    </row>
    <row r="20" spans="1:43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3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3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3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3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6" spans="1:43" ht="13" x14ac:dyDescent="0.3">
      <c r="A26" s="4" t="s">
        <v>77</v>
      </c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</row>
    <row r="27" spans="1:43" ht="13" x14ac:dyDescent="0.3">
      <c r="A27" s="3" t="s">
        <v>78</v>
      </c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80" t="s">
        <v>79</v>
      </c>
      <c r="AM27" s="78"/>
      <c r="AN27" s="78"/>
      <c r="AO27" s="78"/>
    </row>
    <row r="28" spans="1:43" ht="13" x14ac:dyDescent="0.3">
      <c r="A28" s="98" t="s">
        <v>36</v>
      </c>
      <c r="B28" s="98"/>
      <c r="C28" s="98"/>
      <c r="D28" s="88"/>
      <c r="E28" s="8">
        <f>E2</f>
        <v>0</v>
      </c>
      <c r="F28" s="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>
        <v>1</v>
      </c>
      <c r="AM28" s="78"/>
      <c r="AN28" s="78"/>
      <c r="AO28" s="78"/>
    </row>
    <row r="29" spans="1:43" ht="13" x14ac:dyDescent="0.3">
      <c r="A29" s="98" t="s">
        <v>80</v>
      </c>
      <c r="B29" s="98"/>
      <c r="C29" s="98"/>
      <c r="D29" s="88"/>
      <c r="E29" s="5">
        <f>E3</f>
        <v>0</v>
      </c>
      <c r="F29" s="5"/>
      <c r="T29" s="10"/>
      <c r="U29" s="10"/>
      <c r="V29" s="10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80" t="s">
        <v>81</v>
      </c>
      <c r="AH29" s="80"/>
      <c r="AI29" s="78"/>
      <c r="AJ29" s="78"/>
      <c r="AK29" s="78"/>
      <c r="AL29" s="78">
        <v>2</v>
      </c>
      <c r="AM29" s="78"/>
      <c r="AN29" s="78"/>
      <c r="AO29" s="78"/>
      <c r="AP29" s="10"/>
      <c r="AQ29" s="10"/>
    </row>
    <row r="30" spans="1:43" ht="13" x14ac:dyDescent="0.3">
      <c r="A30" s="98" t="s">
        <v>82</v>
      </c>
      <c r="B30" s="98"/>
      <c r="C30" s="98"/>
      <c r="D30" s="88"/>
      <c r="T30" s="10"/>
      <c r="U30" s="10"/>
      <c r="V30" s="10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>
        <v>3</v>
      </c>
      <c r="AM30" s="78"/>
      <c r="AN30" s="78"/>
      <c r="AO30" s="78"/>
      <c r="AP30" s="10"/>
      <c r="AQ30" s="10"/>
    </row>
    <row r="31" spans="1:43" ht="13" x14ac:dyDescent="0.3">
      <c r="A31" s="4" t="s">
        <v>83</v>
      </c>
      <c r="B31" s="4" t="s">
        <v>84</v>
      </c>
      <c r="C31" s="4" t="s">
        <v>85</v>
      </c>
      <c r="D31" s="98" t="s">
        <v>86</v>
      </c>
      <c r="E31" s="98"/>
      <c r="F31" s="4" t="s">
        <v>87</v>
      </c>
      <c r="G31" s="4" t="s">
        <v>88</v>
      </c>
      <c r="H31" s="98" t="s">
        <v>27</v>
      </c>
      <c r="I31" s="98"/>
      <c r="J31" s="4" t="s">
        <v>28</v>
      </c>
      <c r="K31" s="4" t="s">
        <v>29</v>
      </c>
      <c r="L31" s="4" t="s">
        <v>30</v>
      </c>
      <c r="M31" s="4" t="s">
        <v>31</v>
      </c>
      <c r="N31" s="98" t="s">
        <v>32</v>
      </c>
      <c r="O31" s="98"/>
      <c r="T31" s="10"/>
      <c r="U31" s="10"/>
      <c r="V31" s="10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80" t="s">
        <v>9</v>
      </c>
      <c r="AH31" s="80"/>
      <c r="AI31" s="78"/>
      <c r="AJ31" s="78"/>
      <c r="AK31" s="78"/>
      <c r="AL31" s="78">
        <v>4</v>
      </c>
      <c r="AM31" s="78"/>
      <c r="AN31" s="78"/>
      <c r="AO31" s="78"/>
      <c r="AP31" s="10"/>
      <c r="AQ31" s="10"/>
    </row>
    <row r="32" spans="1:43" ht="13" x14ac:dyDescent="0.3">
      <c r="A32" s="3">
        <f>AK6</f>
        <v>0</v>
      </c>
      <c r="B32" s="3">
        <f>AK7</f>
        <v>0</v>
      </c>
      <c r="C32" s="3">
        <f>AK8</f>
        <v>0</v>
      </c>
      <c r="D32" s="101">
        <f>AK9</f>
        <v>0</v>
      </c>
      <c r="E32" s="101"/>
      <c r="F32" s="3">
        <f>AK10</f>
        <v>0</v>
      </c>
      <c r="G32" s="3">
        <f>AK11</f>
        <v>0</v>
      </c>
      <c r="H32" s="101">
        <f>AK12</f>
        <v>0</v>
      </c>
      <c r="I32" s="101"/>
      <c r="J32" s="3">
        <f>AK13</f>
        <v>0</v>
      </c>
      <c r="K32" s="3">
        <f>AK14</f>
        <v>0</v>
      </c>
      <c r="L32" s="3">
        <f>AK15</f>
        <v>0</v>
      </c>
      <c r="M32" s="3">
        <f>AK16</f>
        <v>0</v>
      </c>
      <c r="N32" s="101">
        <f>AK17</f>
        <v>0</v>
      </c>
      <c r="O32" s="101"/>
      <c r="T32" s="11" t="s">
        <v>70</v>
      </c>
      <c r="U32" s="10" t="s">
        <v>89</v>
      </c>
      <c r="V32" s="10" t="s">
        <v>90</v>
      </c>
      <c r="W32" s="78" t="s">
        <v>91</v>
      </c>
      <c r="X32" s="78" t="s">
        <v>92</v>
      </c>
      <c r="Y32" s="78" t="s">
        <v>93</v>
      </c>
      <c r="Z32" s="78" t="s">
        <v>94</v>
      </c>
      <c r="AA32" s="78"/>
      <c r="AB32" s="78"/>
      <c r="AC32" s="78"/>
      <c r="AD32" s="78"/>
      <c r="AE32" s="78"/>
      <c r="AF32" s="78"/>
      <c r="AG32" s="78" t="s">
        <v>10</v>
      </c>
      <c r="AH32" s="78"/>
      <c r="AI32" s="79">
        <v>42177</v>
      </c>
      <c r="AJ32" s="79"/>
      <c r="AK32" s="78"/>
      <c r="AL32" s="78">
        <v>5</v>
      </c>
      <c r="AM32" s="78"/>
      <c r="AN32" s="78"/>
      <c r="AO32" s="78"/>
      <c r="AP32" s="10"/>
      <c r="AQ32" s="10"/>
    </row>
    <row r="33" spans="1:43" ht="13" x14ac:dyDescent="0.3">
      <c r="A33" s="98" t="s">
        <v>95</v>
      </c>
      <c r="B33" s="98"/>
      <c r="C33" s="98"/>
      <c r="D33" s="88"/>
      <c r="G33" s="101"/>
      <c r="H33" s="101"/>
      <c r="I33" s="90"/>
      <c r="T33" s="10">
        <v>1</v>
      </c>
      <c r="U33" s="10">
        <f>IF(AND(B6&gt;0,G6&gt;0),0,IF(AND(G6&gt;0),0,F6+K6))</f>
        <v>48</v>
      </c>
      <c r="V33" s="10">
        <f>IF(AND(G6&gt;0,L6&gt;0),0,IF(AND(L6&gt;0),0,K6+P6))</f>
        <v>48</v>
      </c>
      <c r="W33" s="78">
        <f>IF(AND(L6&gt;0,Q6&gt;0),0,IF(AND(Q6&gt;0),0,P6+U6))</f>
        <v>48</v>
      </c>
      <c r="X33" s="78">
        <f>IF(AND(Q6&gt;0,V6&gt;0),0,IF(AND(V6&gt;0),0,U6+Z6))</f>
        <v>48</v>
      </c>
      <c r="Y33" s="78">
        <f>IF(AND(V6&gt;0,AA6&gt;0),0,IF(AND(AA6&gt;0),0,Z6+AE6))</f>
        <v>48</v>
      </c>
      <c r="Z33" s="78">
        <f>IF(AND(AA6&gt;0,AF6&gt;0),0,IF(AND(AF6&gt;0),0,AE6+AJ6))</f>
        <v>48</v>
      </c>
      <c r="AA33" s="78"/>
      <c r="AB33" s="78"/>
      <c r="AC33" s="78"/>
      <c r="AD33" s="78"/>
      <c r="AE33" s="78"/>
      <c r="AF33" s="78"/>
      <c r="AG33" s="78" t="s">
        <v>11</v>
      </c>
      <c r="AH33" s="78"/>
      <c r="AI33" s="79">
        <v>42178</v>
      </c>
      <c r="AJ33" s="79"/>
      <c r="AK33" s="78"/>
      <c r="AL33" s="78">
        <v>6</v>
      </c>
      <c r="AM33" s="78"/>
      <c r="AN33" s="78"/>
      <c r="AO33" s="78"/>
      <c r="AP33" s="10"/>
      <c r="AQ33" s="10"/>
    </row>
    <row r="34" spans="1:43" x14ac:dyDescent="0.25">
      <c r="A34" s="101" t="s">
        <v>96</v>
      </c>
      <c r="B34" s="101"/>
      <c r="C34" s="3">
        <f>(AK6+AK7+AK8+AK9+AK10+AK11+AK12+AK13+AK14+AK15+AK16+AK17)/M1</f>
        <v>0</v>
      </c>
      <c r="T34" s="10">
        <v>2</v>
      </c>
      <c r="U34" s="10">
        <f t="shared" ref="U34:U40" si="17">IF(AND(B7&gt;0,G7&gt;0),0,IF(AND(G7&gt;0),0,F7+K7))</f>
        <v>48</v>
      </c>
      <c r="V34" s="10">
        <f t="shared" ref="V34:V40" si="18">IF(AND(G7&gt;0,L7&gt;0),0,IF(AND(L7&gt;0),0,K7+P7))</f>
        <v>48</v>
      </c>
      <c r="W34" s="78">
        <f t="shared" ref="W34:W44" si="19">IF(AND(L7&gt;0,Q7&gt;0),0,IF(AND(Q7&gt;0),0,P7+U7))</f>
        <v>48</v>
      </c>
      <c r="X34" s="78">
        <f t="shared" ref="X34:X44" si="20">IF(AND(Q7&gt;0,V7&gt;0),0,IF(AND(V7&gt;0),0,U7+Z7))</f>
        <v>48</v>
      </c>
      <c r="Y34" s="78">
        <f t="shared" ref="Y34:Y44" si="21">IF(AND(V7&gt;0,AA7&gt;0),0,IF(AND(AA7&gt;0),0,Z7+AE7))</f>
        <v>48</v>
      </c>
      <c r="Z34" s="78">
        <f t="shared" ref="Z34:Z44" si="22">IF(AND(AA7&gt;0,AF7&gt;0),0,IF(AND(AF7&gt;0),0,AE7+AJ7))</f>
        <v>48</v>
      </c>
      <c r="AA34" s="78"/>
      <c r="AB34" s="78"/>
      <c r="AC34" s="78"/>
      <c r="AD34" s="78"/>
      <c r="AE34" s="78"/>
      <c r="AF34" s="78"/>
      <c r="AG34" s="78" t="s">
        <v>12</v>
      </c>
      <c r="AH34" s="78"/>
      <c r="AI34" s="79">
        <v>42179</v>
      </c>
      <c r="AJ34" s="79"/>
      <c r="AK34" s="78"/>
      <c r="AL34" s="78">
        <v>7</v>
      </c>
      <c r="AM34" s="78"/>
      <c r="AN34" s="78"/>
      <c r="AO34" s="78"/>
      <c r="AP34" s="10"/>
      <c r="AQ34" s="10"/>
    </row>
    <row r="35" spans="1:43" x14ac:dyDescent="0.25">
      <c r="T35" s="10">
        <v>3</v>
      </c>
      <c r="U35" s="10">
        <f t="shared" si="17"/>
        <v>48</v>
      </c>
      <c r="V35" s="10">
        <f t="shared" si="18"/>
        <v>48</v>
      </c>
      <c r="W35" s="78">
        <f t="shared" si="19"/>
        <v>48</v>
      </c>
      <c r="X35" s="78">
        <f t="shared" si="20"/>
        <v>48</v>
      </c>
      <c r="Y35" s="78">
        <f t="shared" si="21"/>
        <v>48</v>
      </c>
      <c r="Z35" s="78">
        <f t="shared" si="22"/>
        <v>48</v>
      </c>
      <c r="AA35" s="78"/>
      <c r="AB35" s="78"/>
      <c r="AC35" s="78"/>
      <c r="AD35" s="78"/>
      <c r="AE35" s="78"/>
      <c r="AF35" s="78"/>
      <c r="AG35" s="78" t="s">
        <v>13</v>
      </c>
      <c r="AH35" s="78"/>
      <c r="AI35" s="79">
        <v>42180</v>
      </c>
      <c r="AJ35" s="79"/>
      <c r="AK35" s="78"/>
      <c r="AL35" s="78">
        <v>8</v>
      </c>
      <c r="AM35" s="78"/>
      <c r="AN35" s="78"/>
      <c r="AO35" s="78"/>
      <c r="AP35" s="78"/>
      <c r="AQ35" s="10"/>
    </row>
    <row r="36" spans="1:43" ht="13" x14ac:dyDescent="0.3">
      <c r="A36" s="98" t="s">
        <v>97</v>
      </c>
      <c r="B36" s="98"/>
      <c r="C36" s="98"/>
      <c r="D36" s="98"/>
      <c r="E36" s="98"/>
      <c r="F36" s="88"/>
      <c r="T36" s="10">
        <v>4</v>
      </c>
      <c r="U36" s="10">
        <f t="shared" si="17"/>
        <v>48</v>
      </c>
      <c r="V36" s="10">
        <f t="shared" si="18"/>
        <v>48</v>
      </c>
      <c r="W36" s="78">
        <f t="shared" si="19"/>
        <v>48</v>
      </c>
      <c r="X36" s="78">
        <f t="shared" si="20"/>
        <v>48</v>
      </c>
      <c r="Y36" s="78">
        <f t="shared" si="21"/>
        <v>48</v>
      </c>
      <c r="Z36" s="78">
        <f t="shared" si="22"/>
        <v>48</v>
      </c>
      <c r="AA36" s="78"/>
      <c r="AB36" s="78"/>
      <c r="AC36" s="78"/>
      <c r="AD36" s="78"/>
      <c r="AE36" s="78"/>
      <c r="AF36" s="78"/>
      <c r="AG36" s="78" t="s">
        <v>14</v>
      </c>
      <c r="AH36" s="78"/>
      <c r="AI36" s="79">
        <v>42181</v>
      </c>
      <c r="AJ36" s="79"/>
      <c r="AK36" s="78"/>
      <c r="AL36" s="3">
        <v>9</v>
      </c>
      <c r="AM36" s="78"/>
      <c r="AN36" s="78"/>
      <c r="AO36" s="78"/>
      <c r="AP36" s="78"/>
      <c r="AQ36" s="10"/>
    </row>
    <row r="37" spans="1:43" x14ac:dyDescent="0.25">
      <c r="A37" s="99" t="e">
        <f>C34/E3</f>
        <v>#DIV/0!</v>
      </c>
      <c r="B37" s="99"/>
      <c r="C37" s="99"/>
      <c r="T37" s="10">
        <v>5</v>
      </c>
      <c r="U37" s="10">
        <f t="shared" si="17"/>
        <v>48</v>
      </c>
      <c r="V37" s="10">
        <f t="shared" si="18"/>
        <v>48</v>
      </c>
      <c r="W37" s="78">
        <f t="shared" si="19"/>
        <v>48</v>
      </c>
      <c r="X37" s="78">
        <f t="shared" si="20"/>
        <v>48</v>
      </c>
      <c r="Y37" s="78">
        <f t="shared" si="21"/>
        <v>48</v>
      </c>
      <c r="Z37" s="78">
        <f t="shared" si="22"/>
        <v>48</v>
      </c>
      <c r="AA37" s="78"/>
      <c r="AB37" s="78"/>
      <c r="AC37" s="78"/>
      <c r="AD37" s="78"/>
      <c r="AE37" s="78"/>
      <c r="AF37" s="78"/>
      <c r="AG37" s="78" t="s">
        <v>15</v>
      </c>
      <c r="AH37" s="78"/>
      <c r="AI37" s="79">
        <v>42182</v>
      </c>
      <c r="AJ37" s="79"/>
      <c r="AK37" s="78"/>
      <c r="AL37" s="3">
        <v>10</v>
      </c>
      <c r="AM37" s="78"/>
      <c r="AN37" s="78"/>
      <c r="AO37" s="78"/>
      <c r="AP37" s="78"/>
      <c r="AQ37" s="10"/>
    </row>
    <row r="38" spans="1:43" x14ac:dyDescent="0.25">
      <c r="T38" s="10">
        <v>6</v>
      </c>
      <c r="U38" s="10">
        <f t="shared" si="17"/>
        <v>48</v>
      </c>
      <c r="V38" s="10">
        <f t="shared" si="18"/>
        <v>48</v>
      </c>
      <c r="W38" s="78">
        <f t="shared" si="19"/>
        <v>48</v>
      </c>
      <c r="X38" s="78">
        <f t="shared" si="20"/>
        <v>48</v>
      </c>
      <c r="Y38" s="78">
        <f t="shared" si="21"/>
        <v>48</v>
      </c>
      <c r="Z38" s="78">
        <f t="shared" si="22"/>
        <v>48</v>
      </c>
      <c r="AA38" s="78"/>
      <c r="AB38" s="78"/>
      <c r="AC38" s="78"/>
      <c r="AD38" s="78"/>
      <c r="AE38" s="78"/>
      <c r="AF38" s="78"/>
      <c r="AG38" s="78" t="s">
        <v>16</v>
      </c>
      <c r="AH38" s="78"/>
      <c r="AI38" s="79">
        <v>42183</v>
      </c>
      <c r="AJ38" s="79"/>
      <c r="AK38" s="78"/>
      <c r="AL38" s="3">
        <v>11</v>
      </c>
      <c r="AM38" s="78"/>
      <c r="AN38" s="78"/>
      <c r="AO38" s="78"/>
      <c r="AP38" s="78"/>
      <c r="AQ38" s="10"/>
    </row>
    <row r="39" spans="1:43" x14ac:dyDescent="0.25">
      <c r="T39" s="10">
        <v>7</v>
      </c>
      <c r="U39" s="10">
        <f t="shared" si="17"/>
        <v>48</v>
      </c>
      <c r="V39" s="10">
        <f t="shared" si="18"/>
        <v>48</v>
      </c>
      <c r="W39" s="78">
        <f t="shared" si="19"/>
        <v>48</v>
      </c>
      <c r="X39" s="78">
        <f t="shared" si="20"/>
        <v>48</v>
      </c>
      <c r="Y39" s="78">
        <f t="shared" si="21"/>
        <v>48</v>
      </c>
      <c r="Z39" s="78">
        <f t="shared" si="22"/>
        <v>48</v>
      </c>
      <c r="AA39" s="78"/>
      <c r="AB39" s="78"/>
      <c r="AC39" s="78"/>
      <c r="AD39" s="78"/>
      <c r="AE39" s="78"/>
      <c r="AF39" s="78"/>
      <c r="AG39" s="100">
        <f>IF(E1=AG32,AI32,IF(E1=AG33,AI33,IF(E1=AG34,AI34,IF(E1=AG35,AI35,IF(E1=AG36,AI36,IF(E1=AG37,AI37,IF(E1=AG38,AI38,AI32)))))))</f>
        <v>42177</v>
      </c>
      <c r="AH39" s="100"/>
      <c r="AI39" s="100"/>
      <c r="AJ39" s="100"/>
      <c r="AK39" s="100"/>
      <c r="AL39" s="3">
        <v>12</v>
      </c>
      <c r="AM39" s="78"/>
      <c r="AN39" s="78"/>
      <c r="AO39" s="78"/>
      <c r="AP39" s="78"/>
      <c r="AQ39" s="10"/>
    </row>
    <row r="40" spans="1:43" ht="13" x14ac:dyDescent="0.3">
      <c r="A40" s="4" t="s">
        <v>98</v>
      </c>
      <c r="T40" s="10">
        <v>8</v>
      </c>
      <c r="U40" s="10">
        <f t="shared" si="17"/>
        <v>48</v>
      </c>
      <c r="V40" s="10">
        <f t="shared" si="18"/>
        <v>48</v>
      </c>
      <c r="W40" s="78">
        <f t="shared" si="19"/>
        <v>48</v>
      </c>
      <c r="X40" s="78">
        <f t="shared" si="20"/>
        <v>48</v>
      </c>
      <c r="Y40" s="78">
        <f t="shared" si="21"/>
        <v>48</v>
      </c>
      <c r="Z40" s="78">
        <f t="shared" si="22"/>
        <v>48</v>
      </c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10"/>
    </row>
    <row r="41" spans="1:43" x14ac:dyDescent="0.25">
      <c r="A41" s="3" t="s">
        <v>99</v>
      </c>
      <c r="T41" s="10"/>
      <c r="U41" s="10"/>
      <c r="V41" s="10"/>
      <c r="W41" s="78">
        <f t="shared" si="19"/>
        <v>48</v>
      </c>
      <c r="X41" s="78">
        <f t="shared" si="20"/>
        <v>48</v>
      </c>
      <c r="Y41" s="78">
        <f t="shared" si="21"/>
        <v>48</v>
      </c>
      <c r="Z41" s="78">
        <f t="shared" si="22"/>
        <v>48</v>
      </c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10"/>
    </row>
    <row r="42" spans="1:43" ht="13" x14ac:dyDescent="0.3">
      <c r="A42" s="3" t="s">
        <v>100</v>
      </c>
      <c r="O42" s="81">
        <v>0.29166666666666669</v>
      </c>
      <c r="P42" s="81">
        <v>0.33333333333333331</v>
      </c>
      <c r="Q42" s="3">
        <f>(P42-O42)*24</f>
        <v>0.99999999999999911</v>
      </c>
      <c r="T42" s="10"/>
      <c r="U42" s="10"/>
      <c r="V42" s="10"/>
      <c r="W42" s="78">
        <f t="shared" si="19"/>
        <v>48</v>
      </c>
      <c r="X42" s="78">
        <f t="shared" si="20"/>
        <v>48</v>
      </c>
      <c r="Y42" s="78">
        <f t="shared" si="21"/>
        <v>48</v>
      </c>
      <c r="Z42" s="78">
        <f t="shared" si="22"/>
        <v>48</v>
      </c>
      <c r="AA42" s="78"/>
      <c r="AB42" s="78"/>
      <c r="AC42" s="78"/>
      <c r="AD42" s="78"/>
      <c r="AE42" s="78"/>
      <c r="AF42" s="78"/>
      <c r="AG42" s="80" t="s">
        <v>101</v>
      </c>
      <c r="AH42" s="80"/>
      <c r="AI42" s="78"/>
      <c r="AJ42" s="78"/>
      <c r="AK42" s="78"/>
      <c r="AL42" s="80" t="s">
        <v>102</v>
      </c>
      <c r="AM42" s="78"/>
      <c r="AN42" s="78"/>
      <c r="AO42" s="78"/>
      <c r="AP42" s="78"/>
      <c r="AQ42" s="10"/>
    </row>
    <row r="43" spans="1:43" x14ac:dyDescent="0.25">
      <c r="T43" s="10"/>
      <c r="U43" s="10"/>
      <c r="V43" s="10"/>
      <c r="W43" s="78">
        <f t="shared" si="19"/>
        <v>48</v>
      </c>
      <c r="X43" s="78">
        <f t="shared" si="20"/>
        <v>48</v>
      </c>
      <c r="Y43" s="78">
        <f t="shared" si="21"/>
        <v>48</v>
      </c>
      <c r="Z43" s="78">
        <f t="shared" si="22"/>
        <v>48</v>
      </c>
      <c r="AA43" s="78"/>
      <c r="AB43" s="78"/>
      <c r="AC43" s="78"/>
      <c r="AD43" s="78"/>
      <c r="AE43" s="78"/>
      <c r="AF43" s="78"/>
      <c r="AG43" s="78">
        <v>33.6</v>
      </c>
      <c r="AH43" s="78"/>
      <c r="AI43" s="78"/>
      <c r="AJ43" s="78"/>
      <c r="AK43" s="78"/>
      <c r="AL43" s="78" t="s">
        <v>103</v>
      </c>
      <c r="AM43" s="78"/>
      <c r="AN43" s="78"/>
      <c r="AO43" s="78"/>
      <c r="AP43" s="78"/>
      <c r="AQ43" s="10"/>
    </row>
    <row r="44" spans="1:43" x14ac:dyDescent="0.25">
      <c r="A44" s="3" t="s">
        <v>104</v>
      </c>
      <c r="T44" s="10"/>
      <c r="U44" s="10"/>
      <c r="V44" s="10"/>
      <c r="W44" s="78">
        <f t="shared" si="19"/>
        <v>48</v>
      </c>
      <c r="X44" s="78">
        <f t="shared" si="20"/>
        <v>48</v>
      </c>
      <c r="Y44" s="78">
        <f t="shared" si="21"/>
        <v>48</v>
      </c>
      <c r="Z44" s="78">
        <f t="shared" si="22"/>
        <v>48</v>
      </c>
      <c r="AA44" s="78"/>
      <c r="AB44" s="78"/>
      <c r="AC44" s="78"/>
      <c r="AD44" s="78"/>
      <c r="AE44" s="78"/>
      <c r="AF44" s="78"/>
      <c r="AG44" s="78">
        <v>35.5</v>
      </c>
      <c r="AH44" s="78"/>
      <c r="AI44" s="78"/>
      <c r="AJ44" s="78"/>
      <c r="AK44" s="78"/>
      <c r="AL44" s="78" t="s">
        <v>105</v>
      </c>
      <c r="AM44" s="78"/>
      <c r="AN44" s="78"/>
      <c r="AO44" s="78"/>
      <c r="AP44" s="78"/>
      <c r="AQ44" s="10"/>
    </row>
    <row r="45" spans="1:43" x14ac:dyDescent="0.25">
      <c r="A45" s="1">
        <v>11</v>
      </c>
      <c r="B45" s="5">
        <f>COUNTIF($F$6:$F$13,"&lt;" &amp; A45)+COUNTIF($K$6:$K$13,"&lt;" &amp; A45)+COUNTIF($P$6:$P$13,"&lt;" &amp; A45)+COUNTIF($U$6:$U$13,"&lt;" &amp; A45)+COUNTIF($Z$6:$Z$13,"&lt;" &amp; A45)+COUNTIF($AE$6:$AE$13,"&lt;" &amp; A45)+COUNTIF($AJ$6:$AJ$13,"&lt;" &amp; A45)</f>
        <v>0</v>
      </c>
      <c r="T45" s="10"/>
      <c r="U45" s="10"/>
      <c r="V45" s="10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>
        <v>37.5</v>
      </c>
      <c r="AH45" s="78"/>
      <c r="AI45" s="78"/>
      <c r="AJ45" s="78"/>
      <c r="AK45" s="78"/>
      <c r="AL45" s="78"/>
      <c r="AM45" s="78"/>
      <c r="AN45" s="78"/>
      <c r="AO45" s="78"/>
      <c r="AP45" s="78"/>
      <c r="AQ45" s="10"/>
    </row>
    <row r="46" spans="1:43" x14ac:dyDescent="0.25">
      <c r="T46" s="10"/>
      <c r="U46" s="10"/>
      <c r="V46" s="10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78"/>
      <c r="AQ46" s="10"/>
    </row>
    <row r="47" spans="1:43" x14ac:dyDescent="0.25">
      <c r="T47" s="10"/>
      <c r="U47" s="10"/>
      <c r="V47" s="10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10"/>
    </row>
    <row r="48" spans="1:43" x14ac:dyDescent="0.25">
      <c r="T48" s="10"/>
      <c r="U48" s="10"/>
      <c r="V48" s="10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78"/>
      <c r="AO48" s="78"/>
      <c r="AP48" s="78"/>
      <c r="AQ48" s="10"/>
    </row>
    <row r="49" spans="1:43" ht="13" x14ac:dyDescent="0.3">
      <c r="A49" s="4" t="s">
        <v>106</v>
      </c>
      <c r="T49" s="10"/>
      <c r="U49" s="10"/>
      <c r="V49" s="10"/>
      <c r="W49" s="78"/>
      <c r="X49" s="78"/>
      <c r="Y49" s="78"/>
      <c r="Z49" s="78"/>
      <c r="AA49" s="78"/>
      <c r="AB49" s="80" t="s">
        <v>107</v>
      </c>
      <c r="AC49" s="80"/>
      <c r="AD49" s="78"/>
      <c r="AE49" s="78"/>
      <c r="AF49" s="78"/>
      <c r="AG49" s="78"/>
      <c r="AH49" s="78"/>
      <c r="AI49" s="78"/>
      <c r="AJ49" s="78"/>
      <c r="AK49" s="78"/>
      <c r="AL49" s="78"/>
      <c r="AM49" s="78"/>
      <c r="AN49" s="78"/>
      <c r="AO49" s="78"/>
      <c r="AP49" s="78"/>
      <c r="AQ49" s="10"/>
    </row>
    <row r="50" spans="1:43" x14ac:dyDescent="0.25">
      <c r="A50" s="3" t="s">
        <v>108</v>
      </c>
      <c r="T50" s="10"/>
      <c r="U50" s="10"/>
      <c r="V50" s="10"/>
      <c r="W50" s="78"/>
      <c r="X50" s="78"/>
      <c r="Y50" s="78"/>
      <c r="Z50" s="78"/>
      <c r="AA50" s="78"/>
      <c r="AB50" s="78" t="s">
        <v>109</v>
      </c>
      <c r="AC50" s="78"/>
      <c r="AD50" s="78"/>
      <c r="AE50" s="78"/>
      <c r="AF50" s="78"/>
      <c r="AG50" s="78"/>
      <c r="AH50" s="78"/>
      <c r="AI50" s="78"/>
      <c r="AJ50" s="78"/>
      <c r="AK50" s="78"/>
      <c r="AL50" s="78"/>
      <c r="AM50" s="78"/>
      <c r="AN50" s="78"/>
      <c r="AO50" s="78"/>
      <c r="AP50" s="78"/>
      <c r="AQ50" s="10"/>
    </row>
    <row r="51" spans="1:43" ht="13" x14ac:dyDescent="0.3">
      <c r="A51" s="4" t="s">
        <v>110</v>
      </c>
      <c r="T51" s="10"/>
      <c r="U51" s="10"/>
      <c r="V51" s="10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  <c r="AN51" s="78"/>
      <c r="AO51" s="78"/>
      <c r="AP51" s="78"/>
      <c r="AQ51" s="10"/>
    </row>
    <row r="52" spans="1:43" x14ac:dyDescent="0.25">
      <c r="A52" s="3" t="s">
        <v>111</v>
      </c>
      <c r="T52" s="10"/>
      <c r="U52" s="10"/>
      <c r="V52" s="10"/>
      <c r="W52" s="78"/>
      <c r="X52" s="78"/>
      <c r="Y52" s="78"/>
      <c r="Z52" s="78"/>
      <c r="AA52" s="78"/>
      <c r="AB52" s="78" t="s">
        <v>112</v>
      </c>
      <c r="AC52" s="78"/>
      <c r="AD52" s="78"/>
      <c r="AE52" s="78"/>
      <c r="AF52" s="78"/>
      <c r="AG52" s="78"/>
      <c r="AH52" s="78"/>
      <c r="AI52" s="78"/>
      <c r="AJ52" s="78"/>
      <c r="AK52" s="78"/>
      <c r="AL52" s="78"/>
      <c r="AM52" s="78"/>
      <c r="AN52" s="78"/>
      <c r="AO52" s="78"/>
      <c r="AP52" s="78"/>
      <c r="AQ52" s="10"/>
    </row>
    <row r="53" spans="1:43" x14ac:dyDescent="0.25">
      <c r="A53" s="3" t="s">
        <v>113</v>
      </c>
      <c r="T53" s="10"/>
      <c r="U53" s="10"/>
      <c r="V53" s="10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78"/>
      <c r="AO53" s="78"/>
      <c r="AP53" s="78"/>
      <c r="AQ53" s="10"/>
    </row>
    <row r="54" spans="1:43" x14ac:dyDescent="0.25">
      <c r="A54" s="3" t="s">
        <v>114</v>
      </c>
      <c r="T54" s="10"/>
      <c r="U54" s="10"/>
      <c r="V54" s="10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78"/>
      <c r="AL54" s="78"/>
      <c r="AM54" s="78"/>
      <c r="AN54" s="78"/>
      <c r="AO54" s="78"/>
      <c r="AP54" s="78"/>
      <c r="AQ54" s="10"/>
    </row>
    <row r="55" spans="1:43" x14ac:dyDescent="0.25">
      <c r="T55" s="10"/>
      <c r="U55" s="10"/>
      <c r="V55" s="10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10"/>
    </row>
    <row r="56" spans="1:43" ht="13" x14ac:dyDescent="0.3">
      <c r="A56" s="4" t="s">
        <v>115</v>
      </c>
      <c r="T56" s="10"/>
      <c r="U56" s="10"/>
      <c r="V56" s="10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78"/>
      <c r="AO56" s="78"/>
      <c r="AP56" s="78"/>
      <c r="AQ56" s="10"/>
    </row>
    <row r="57" spans="1:43" x14ac:dyDescent="0.25">
      <c r="A57" s="3" t="s">
        <v>116</v>
      </c>
      <c r="T57" s="10"/>
      <c r="U57" s="10"/>
      <c r="V57" s="10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/>
      <c r="AO57" s="78"/>
      <c r="AP57" s="78"/>
      <c r="AQ57" s="10"/>
    </row>
    <row r="58" spans="1:43" ht="13" x14ac:dyDescent="0.3">
      <c r="A58" s="4" t="s">
        <v>110</v>
      </c>
      <c r="T58" s="10"/>
      <c r="U58" s="10"/>
      <c r="V58" s="10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 t="s">
        <v>117</v>
      </c>
      <c r="AH58" s="78"/>
      <c r="AI58" s="78"/>
      <c r="AJ58" s="78"/>
      <c r="AK58" s="78"/>
      <c r="AL58" s="78"/>
      <c r="AM58" s="78"/>
      <c r="AN58" s="78"/>
      <c r="AO58" s="78"/>
      <c r="AP58" s="78"/>
      <c r="AQ58" s="10"/>
    </row>
    <row r="59" spans="1:43" x14ac:dyDescent="0.25">
      <c r="A59" s="3" t="s">
        <v>111</v>
      </c>
      <c r="T59" s="10"/>
      <c r="U59" s="10"/>
      <c r="V59" s="10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>
        <v>0</v>
      </c>
      <c r="AH59" s="78">
        <v>1</v>
      </c>
      <c r="AI59" s="78">
        <v>2</v>
      </c>
      <c r="AJ59" s="78">
        <v>3</v>
      </c>
      <c r="AK59" s="78">
        <v>4</v>
      </c>
      <c r="AL59" s="78">
        <v>5</v>
      </c>
      <c r="AM59" s="78">
        <v>6</v>
      </c>
      <c r="AN59" s="78"/>
      <c r="AO59" s="78"/>
      <c r="AP59" s="78"/>
      <c r="AQ59" s="10"/>
    </row>
    <row r="60" spans="1:43" x14ac:dyDescent="0.25">
      <c r="A60" s="3" t="s">
        <v>113</v>
      </c>
      <c r="T60" s="10"/>
      <c r="U60" s="10"/>
      <c r="V60" s="10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>
        <v>7</v>
      </c>
      <c r="AH60" s="78">
        <v>8</v>
      </c>
      <c r="AI60" s="78">
        <v>9</v>
      </c>
      <c r="AJ60" s="78">
        <v>10</v>
      </c>
      <c r="AK60" s="78">
        <v>11</v>
      </c>
      <c r="AL60" s="78">
        <v>12</v>
      </c>
      <c r="AM60" s="78">
        <v>13</v>
      </c>
      <c r="AN60" s="78"/>
      <c r="AO60" s="78"/>
      <c r="AP60" s="78"/>
      <c r="AQ60" s="10"/>
    </row>
    <row r="61" spans="1:43" x14ac:dyDescent="0.25">
      <c r="T61" s="10"/>
      <c r="U61" s="10"/>
      <c r="V61" s="10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>
        <v>14</v>
      </c>
      <c r="AH61" s="78">
        <v>15</v>
      </c>
      <c r="AI61" s="78">
        <v>16</v>
      </c>
      <c r="AJ61" s="78">
        <v>17</v>
      </c>
      <c r="AK61" s="78">
        <v>18</v>
      </c>
      <c r="AL61" s="78">
        <v>19</v>
      </c>
      <c r="AM61" s="78">
        <v>20</v>
      </c>
      <c r="AN61" s="78"/>
      <c r="AO61" s="78"/>
      <c r="AP61" s="78"/>
      <c r="AQ61" s="10"/>
    </row>
    <row r="62" spans="1:43" ht="13" x14ac:dyDescent="0.3">
      <c r="A62" s="4" t="s">
        <v>118</v>
      </c>
      <c r="T62" s="10"/>
      <c r="U62" s="10"/>
      <c r="V62" s="10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>
        <v>21</v>
      </c>
      <c r="AH62" s="78">
        <v>22</v>
      </c>
      <c r="AI62" s="78">
        <v>23</v>
      </c>
      <c r="AJ62" s="78">
        <v>24</v>
      </c>
      <c r="AK62" s="78">
        <v>25</v>
      </c>
      <c r="AL62" s="78">
        <v>26</v>
      </c>
      <c r="AM62" s="78">
        <v>27</v>
      </c>
      <c r="AN62" s="78"/>
      <c r="AO62" s="78"/>
      <c r="AP62" s="78"/>
      <c r="AQ62" s="10"/>
    </row>
    <row r="63" spans="1:43" x14ac:dyDescent="0.25">
      <c r="A63" s="3" t="s">
        <v>119</v>
      </c>
      <c r="T63" s="10"/>
      <c r="U63" s="10"/>
      <c r="V63" s="10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>
        <v>28</v>
      </c>
      <c r="AH63" s="78">
        <v>29</v>
      </c>
      <c r="AI63" s="78">
        <v>30</v>
      </c>
      <c r="AJ63" s="78">
        <v>31</v>
      </c>
      <c r="AK63" s="78">
        <v>32</v>
      </c>
      <c r="AL63" s="78">
        <v>33</v>
      </c>
      <c r="AM63" s="78">
        <v>34</v>
      </c>
      <c r="AN63" s="78"/>
      <c r="AO63" s="78"/>
      <c r="AP63" s="78"/>
      <c r="AQ63" s="10"/>
    </row>
    <row r="64" spans="1:43" x14ac:dyDescent="0.25">
      <c r="A64" s="3" t="s">
        <v>120</v>
      </c>
      <c r="T64" s="10"/>
      <c r="U64" s="10"/>
      <c r="V64" s="10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>
        <v>35</v>
      </c>
      <c r="AH64" s="78">
        <v>36</v>
      </c>
      <c r="AI64" s="78">
        <v>37</v>
      </c>
      <c r="AJ64" s="78">
        <v>38</v>
      </c>
      <c r="AK64" s="78">
        <v>39</v>
      </c>
      <c r="AL64" s="78">
        <v>40</v>
      </c>
      <c r="AM64" s="78">
        <v>41</v>
      </c>
      <c r="AN64" s="78"/>
      <c r="AO64" s="78"/>
      <c r="AP64" s="78"/>
      <c r="AQ64" s="10"/>
    </row>
    <row r="65" spans="1:43" x14ac:dyDescent="0.25">
      <c r="T65" s="10"/>
      <c r="U65" s="10"/>
      <c r="V65" s="10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>
        <v>42</v>
      </c>
      <c r="AH65" s="78">
        <v>43</v>
      </c>
      <c r="AI65" s="78">
        <v>44</v>
      </c>
      <c r="AJ65" s="78">
        <v>45</v>
      </c>
      <c r="AK65" s="78">
        <v>46</v>
      </c>
      <c r="AL65" s="78">
        <v>47</v>
      </c>
      <c r="AM65" s="78">
        <v>48</v>
      </c>
      <c r="AN65" s="78"/>
      <c r="AO65" s="78"/>
      <c r="AP65" s="78"/>
      <c r="AQ65" s="10"/>
    </row>
    <row r="66" spans="1:43" ht="13" x14ac:dyDescent="0.3">
      <c r="A66" s="3" t="s">
        <v>121</v>
      </c>
      <c r="B66" s="4"/>
      <c r="T66" s="10"/>
      <c r="U66" s="10"/>
      <c r="V66" s="10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>
        <v>49</v>
      </c>
      <c r="AH66" s="78">
        <v>50</v>
      </c>
      <c r="AI66" s="78">
        <v>51</v>
      </c>
      <c r="AJ66" s="78">
        <v>52</v>
      </c>
      <c r="AK66" s="78">
        <v>53</v>
      </c>
      <c r="AL66" s="78">
        <v>54</v>
      </c>
      <c r="AM66" s="78">
        <v>55</v>
      </c>
      <c r="AN66" s="78"/>
      <c r="AO66" s="78"/>
      <c r="AP66" s="78"/>
      <c r="AQ66" s="10"/>
    </row>
    <row r="67" spans="1:43" ht="13" x14ac:dyDescent="0.3">
      <c r="A67" s="1">
        <v>9</v>
      </c>
      <c r="B67" s="5">
        <f>COUNTIF($E$6:$E$13,"&gt;" &amp; A67)+COUNTIF($J$6:$J$13,"&gt;" &amp; A67)+COUNTIF($O$6:$O$13,"&gt;" &amp; A67)+COUNTIF($T$6:$T$13,"&gt;" &amp; A67)+COUNTIF($Y$6:$Y$13,"&gt;" &amp; A67)+COUNTIF($AD$6:$AD$13,"&gt;" &amp; A67)+COUNTIF($AI$6:$AI$13,"&gt;" &amp; A67)</f>
        <v>0</v>
      </c>
      <c r="C67" s="3" t="s">
        <v>122</v>
      </c>
      <c r="E67" s="3" t="s">
        <v>123</v>
      </c>
      <c r="H67" s="1" t="s">
        <v>124</v>
      </c>
      <c r="L67" s="3" t="s">
        <v>125</v>
      </c>
      <c r="T67" s="10"/>
      <c r="U67" s="10"/>
      <c r="V67" s="10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>
        <v>56</v>
      </c>
      <c r="AH67" s="78">
        <v>57</v>
      </c>
      <c r="AI67" s="78">
        <v>58</v>
      </c>
      <c r="AJ67" s="78">
        <v>59</v>
      </c>
      <c r="AK67" s="78">
        <v>60</v>
      </c>
      <c r="AL67" s="78">
        <v>61</v>
      </c>
      <c r="AM67" s="78">
        <v>62</v>
      </c>
      <c r="AN67" s="78"/>
      <c r="AO67" s="78"/>
      <c r="AP67" s="78"/>
      <c r="AQ67" s="10"/>
    </row>
    <row r="68" spans="1:43" x14ac:dyDescent="0.25">
      <c r="T68" s="10"/>
      <c r="U68" s="10"/>
      <c r="V68" s="10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>
        <v>63</v>
      </c>
      <c r="AH68" s="78">
        <v>64</v>
      </c>
      <c r="AI68" s="78">
        <v>65</v>
      </c>
      <c r="AJ68" s="78">
        <v>66</v>
      </c>
      <c r="AK68" s="78">
        <v>67</v>
      </c>
      <c r="AL68" s="78">
        <v>68</v>
      </c>
      <c r="AM68" s="78">
        <v>69</v>
      </c>
      <c r="AN68" s="78"/>
      <c r="AO68" s="78"/>
      <c r="AP68" s="78"/>
      <c r="AQ68" s="10"/>
    </row>
    <row r="69" spans="1:43" x14ac:dyDescent="0.25">
      <c r="A69" s="3" t="s">
        <v>126</v>
      </c>
      <c r="T69" s="10"/>
      <c r="U69" s="10"/>
      <c r="V69" s="10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>
        <v>70</v>
      </c>
      <c r="AH69" s="78">
        <v>71</v>
      </c>
      <c r="AI69" s="78">
        <v>72</v>
      </c>
      <c r="AJ69" s="78">
        <v>73</v>
      </c>
      <c r="AK69" s="78">
        <v>74</v>
      </c>
      <c r="AL69" s="78">
        <v>75</v>
      </c>
      <c r="AM69" s="78">
        <v>76</v>
      </c>
      <c r="AN69" s="78"/>
      <c r="AO69" s="78"/>
      <c r="AP69" s="78"/>
      <c r="AQ69" s="10"/>
    </row>
    <row r="70" spans="1:43" x14ac:dyDescent="0.25">
      <c r="A70" s="1">
        <v>20</v>
      </c>
      <c r="B70" s="5">
        <f>COUNTIF($AK$6:$AK$13,"&gt;" &amp; A70)</f>
        <v>0</v>
      </c>
      <c r="C70" s="3" t="s">
        <v>127</v>
      </c>
      <c r="E70" s="3" t="s">
        <v>128</v>
      </c>
      <c r="H70" s="1" t="s">
        <v>124</v>
      </c>
      <c r="T70" s="10"/>
      <c r="U70" s="10"/>
      <c r="V70" s="10"/>
      <c r="W70" s="78"/>
      <c r="X70" s="78"/>
      <c r="Y70" s="78"/>
      <c r="Z70" s="78"/>
      <c r="AA70" s="78"/>
      <c r="AB70" s="78"/>
      <c r="AC70" s="78"/>
      <c r="AD70" s="78"/>
      <c r="AE70" s="78"/>
      <c r="AF70" s="78"/>
      <c r="AG70" s="78">
        <v>77</v>
      </c>
      <c r="AH70" s="78">
        <v>78</v>
      </c>
      <c r="AI70" s="78">
        <v>79</v>
      </c>
      <c r="AJ70" s="78">
        <v>80</v>
      </c>
      <c r="AK70" s="78">
        <v>81</v>
      </c>
      <c r="AL70" s="78">
        <v>82</v>
      </c>
      <c r="AM70" s="78">
        <v>83</v>
      </c>
      <c r="AN70" s="78"/>
      <c r="AO70" s="78"/>
      <c r="AP70" s="78"/>
      <c r="AQ70" s="10"/>
    </row>
    <row r="71" spans="1:43" x14ac:dyDescent="0.25">
      <c r="W71" s="78"/>
      <c r="X71" s="78"/>
      <c r="Y71" s="78"/>
      <c r="Z71" s="78"/>
      <c r="AA71" s="78"/>
      <c r="AB71" s="78"/>
      <c r="AC71" s="78"/>
      <c r="AD71" s="78"/>
      <c r="AE71" s="78"/>
      <c r="AF71" s="78"/>
      <c r="AG71" s="78">
        <v>84</v>
      </c>
      <c r="AH71" s="78">
        <v>85</v>
      </c>
      <c r="AI71" s="78">
        <v>86</v>
      </c>
      <c r="AJ71" s="78">
        <v>87</v>
      </c>
      <c r="AK71" s="78">
        <v>88</v>
      </c>
      <c r="AL71" s="78">
        <v>89</v>
      </c>
      <c r="AM71" s="78">
        <v>90</v>
      </c>
      <c r="AN71" s="78"/>
      <c r="AO71" s="78"/>
      <c r="AP71" s="78"/>
    </row>
    <row r="72" spans="1:43" x14ac:dyDescent="0.25"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  <c r="AL72" s="78"/>
      <c r="AM72" s="78"/>
      <c r="AN72" s="78"/>
      <c r="AO72" s="78"/>
      <c r="AP72" s="78"/>
    </row>
    <row r="73" spans="1:43" x14ac:dyDescent="0.25">
      <c r="W73" s="78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8"/>
      <c r="AK73" s="78"/>
      <c r="AL73" s="78"/>
      <c r="AM73" s="78"/>
      <c r="AN73" s="78"/>
      <c r="AO73" s="78"/>
      <c r="AP73" s="78"/>
    </row>
    <row r="74" spans="1:43" x14ac:dyDescent="0.25"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78"/>
      <c r="AO74" s="78"/>
      <c r="AP74" s="78"/>
    </row>
    <row r="75" spans="1:43" x14ac:dyDescent="0.25"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  <c r="AK75" s="78"/>
      <c r="AL75" s="78"/>
      <c r="AM75" s="78"/>
      <c r="AN75" s="78"/>
      <c r="AO75" s="78"/>
      <c r="AP75" s="78"/>
    </row>
    <row r="76" spans="1:43" x14ac:dyDescent="0.25">
      <c r="W76" s="78"/>
      <c r="X76" s="78"/>
      <c r="Y76" s="78"/>
      <c r="Z76" s="78"/>
      <c r="AA76" s="78"/>
      <c r="AB76" s="78"/>
      <c r="AC76" s="78"/>
      <c r="AD76" s="78"/>
      <c r="AE76" s="78"/>
      <c r="AF76" s="78"/>
      <c r="AG76" s="78"/>
      <c r="AH76" s="78"/>
      <c r="AI76" s="78"/>
      <c r="AJ76" s="78"/>
      <c r="AK76" s="78"/>
      <c r="AL76" s="78"/>
      <c r="AM76" s="78"/>
      <c r="AN76" s="78"/>
      <c r="AO76" s="78"/>
      <c r="AP76" s="78"/>
    </row>
    <row r="77" spans="1:43" x14ac:dyDescent="0.25"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78"/>
      <c r="AK77" s="78"/>
      <c r="AL77" s="78"/>
      <c r="AM77" s="78"/>
      <c r="AN77" s="78"/>
      <c r="AO77" s="78"/>
      <c r="AP77" s="78"/>
    </row>
    <row r="78" spans="1:43" x14ac:dyDescent="0.25">
      <c r="W78" s="78"/>
      <c r="X78" s="78"/>
      <c r="Y78" s="78"/>
      <c r="Z78" s="78"/>
      <c r="AA78" s="78"/>
      <c r="AB78" s="78"/>
      <c r="AC78" s="78"/>
      <c r="AD78" s="78"/>
      <c r="AE78" s="78"/>
      <c r="AF78" s="78"/>
      <c r="AG78" s="78"/>
      <c r="AH78" s="78"/>
      <c r="AI78" s="78"/>
      <c r="AJ78" s="78"/>
      <c r="AK78" s="78"/>
      <c r="AL78" s="78"/>
      <c r="AM78" s="78"/>
      <c r="AN78" s="78"/>
      <c r="AO78" s="78"/>
      <c r="AP78" s="78"/>
    </row>
    <row r="79" spans="1:43" x14ac:dyDescent="0.25">
      <c r="W79" s="78"/>
      <c r="X79" s="78"/>
      <c r="Y79" s="78"/>
      <c r="Z79" s="78"/>
      <c r="AA79" s="78"/>
      <c r="AB79" s="78"/>
      <c r="AC79" s="78"/>
      <c r="AD79" s="78"/>
      <c r="AE79" s="78"/>
      <c r="AF79" s="78"/>
      <c r="AG79" s="78"/>
      <c r="AH79" s="78"/>
      <c r="AI79" s="78"/>
      <c r="AJ79" s="78"/>
      <c r="AK79" s="78"/>
      <c r="AL79" s="78"/>
      <c r="AM79" s="78"/>
      <c r="AN79" s="78"/>
      <c r="AO79" s="78"/>
      <c r="AP79" s="78"/>
    </row>
    <row r="80" spans="1:43" x14ac:dyDescent="0.25">
      <c r="W80" s="78"/>
      <c r="X80" s="78"/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  <c r="AJ80" s="78"/>
      <c r="AK80" s="78"/>
      <c r="AL80" s="78"/>
      <c r="AM80" s="78"/>
      <c r="AN80" s="78"/>
      <c r="AO80" s="78"/>
      <c r="AP80" s="78"/>
    </row>
    <row r="81" spans="1:42" x14ac:dyDescent="0.25"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  <c r="AJ81" s="78"/>
      <c r="AK81" s="78"/>
      <c r="AL81" s="78"/>
      <c r="AM81" s="78"/>
      <c r="AN81" s="78"/>
      <c r="AO81" s="78"/>
      <c r="AP81" s="78"/>
    </row>
    <row r="82" spans="1:42" x14ac:dyDescent="0.25"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8"/>
      <c r="AH82" s="78"/>
      <c r="AI82" s="78"/>
      <c r="AJ82" s="78"/>
      <c r="AK82" s="78"/>
      <c r="AL82" s="78"/>
      <c r="AM82" s="78"/>
      <c r="AN82" s="78"/>
      <c r="AO82" s="78"/>
      <c r="AP82" s="78"/>
    </row>
    <row r="83" spans="1:42" x14ac:dyDescent="0.25"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</row>
    <row r="84" spans="1:42" x14ac:dyDescent="0.25"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</row>
    <row r="85" spans="1:42" x14ac:dyDescent="0.25"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</row>
    <row r="86" spans="1:42" x14ac:dyDescent="0.25"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8"/>
      <c r="AO86" s="78"/>
      <c r="AP86" s="78"/>
    </row>
    <row r="87" spans="1:42" x14ac:dyDescent="0.25"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  <c r="AN87" s="78"/>
      <c r="AO87" s="78"/>
      <c r="AP87" s="78"/>
    </row>
    <row r="95" spans="1:42" ht="13" x14ac:dyDescent="0.3">
      <c r="A95" s="4"/>
    </row>
    <row r="106" spans="1:1" ht="13" x14ac:dyDescent="0.3">
      <c r="A106" s="4"/>
    </row>
  </sheetData>
  <sheetProtection algorithmName="SHA-512" hashValue="VSlPbtioyG/d26JMKwfj8bnxuDzagdQQ3a1LLewx414dyIBH7yGo4QYDPEDotHzhtihcnXzegOwUr5lycE6odQ==" saltValue="foCZXJgptJDZd8N6ZYgDIg==" spinCount="100000" sheet="1" objects="1" scenarios="1"/>
  <mergeCells count="27">
    <mergeCell ref="A1:C1"/>
    <mergeCell ref="H1:L1"/>
    <mergeCell ref="A2:C2"/>
    <mergeCell ref="A3:C3"/>
    <mergeCell ref="B4:F4"/>
    <mergeCell ref="G4:J4"/>
    <mergeCell ref="L4:O4"/>
    <mergeCell ref="I2:J2"/>
    <mergeCell ref="V4:Y4"/>
    <mergeCell ref="AA4:AD4"/>
    <mergeCell ref="AF4:AI4"/>
    <mergeCell ref="AG39:AK39"/>
    <mergeCell ref="N31:O31"/>
    <mergeCell ref="N32:O32"/>
    <mergeCell ref="A28:C28"/>
    <mergeCell ref="A29:C29"/>
    <mergeCell ref="A30:C30"/>
    <mergeCell ref="Q4:T4"/>
    <mergeCell ref="A37:C37"/>
    <mergeCell ref="D31:E31"/>
    <mergeCell ref="H31:I31"/>
    <mergeCell ref="A33:C33"/>
    <mergeCell ref="G33:H33"/>
    <mergeCell ref="A34:B34"/>
    <mergeCell ref="A36:E36"/>
    <mergeCell ref="D32:E32"/>
    <mergeCell ref="H32:I32"/>
  </mergeCells>
  <conditionalFormatting sqref="A6:A17">
    <cfRule type="cellIs" dxfId="422" priority="363" operator="equal">
      <formula>0</formula>
    </cfRule>
  </conditionalFormatting>
  <conditionalFormatting sqref="A37">
    <cfRule type="cellIs" dxfId="421" priority="243" operator="notEqual">
      <formula>$E$2</formula>
    </cfRule>
    <cfRule type="cellIs" dxfId="420" priority="244" operator="equal">
      <formula>$E$2</formula>
    </cfRule>
  </conditionalFormatting>
  <conditionalFormatting sqref="A32:D32 F32:H32 C34">
    <cfRule type="cellIs" dxfId="419" priority="241" operator="notEqual">
      <formula>$E$3</formula>
    </cfRule>
    <cfRule type="cellIs" dxfId="418" priority="242" operator="equal">
      <formula>$E$3</formula>
    </cfRule>
  </conditionalFormatting>
  <conditionalFormatting sqref="B6:D17">
    <cfRule type="expression" dxfId="417" priority="112">
      <formula>$A6=0</formula>
    </cfRule>
  </conditionalFormatting>
  <conditionalFormatting sqref="E6:E17">
    <cfRule type="expression" dxfId="416" priority="116">
      <formula>AND($H$67="ja",E6&gt;$A$67)</formula>
    </cfRule>
    <cfRule type="cellIs" dxfId="415" priority="117" operator="greaterThanOrEqual">
      <formula>0</formula>
    </cfRule>
  </conditionalFormatting>
  <conditionalFormatting sqref="F6:F17">
    <cfRule type="cellIs" dxfId="414" priority="31" operator="lessThan">
      <formula>$A$45</formula>
    </cfRule>
    <cfRule type="cellIs" dxfId="413" priority="32" operator="equal">
      <formula>0</formula>
    </cfRule>
    <cfRule type="cellIs" dxfId="412" priority="33" operator="notEqual">
      <formula>0</formula>
    </cfRule>
  </conditionalFormatting>
  <conditionalFormatting sqref="G6:I17">
    <cfRule type="expression" dxfId="411" priority="52">
      <formula>$A6=0</formula>
    </cfRule>
  </conditionalFormatting>
  <conditionalFormatting sqref="J6:J17">
    <cfRule type="expression" dxfId="410" priority="104">
      <formula>AND($H$67="ja",J6&gt;$A$67)</formula>
    </cfRule>
    <cfRule type="cellIs" dxfId="409" priority="105" operator="greaterThanOrEqual">
      <formula>0</formula>
    </cfRule>
  </conditionalFormatting>
  <conditionalFormatting sqref="J32:N32">
    <cfRule type="cellIs" dxfId="408" priority="239" operator="notEqual">
      <formula>$E$3</formula>
    </cfRule>
    <cfRule type="cellIs" dxfId="407" priority="240" operator="equal">
      <formula>$E$3</formula>
    </cfRule>
  </conditionalFormatting>
  <conditionalFormatting sqref="K6:K17">
    <cfRule type="cellIs" dxfId="406" priority="28" operator="lessThan">
      <formula>$A$45</formula>
    </cfRule>
    <cfRule type="cellIs" dxfId="405" priority="29" operator="equal">
      <formula>0</formula>
    </cfRule>
    <cfRule type="cellIs" dxfId="404" priority="30" operator="notEqual">
      <formula>0</formula>
    </cfRule>
  </conditionalFormatting>
  <conditionalFormatting sqref="L6:N17">
    <cfRule type="expression" dxfId="403" priority="48">
      <formula>$A6=0</formula>
    </cfRule>
  </conditionalFormatting>
  <conditionalFormatting sqref="O6:O17">
    <cfRule type="cellIs" dxfId="402" priority="97" operator="greaterThanOrEqual">
      <formula>0</formula>
    </cfRule>
    <cfRule type="expression" dxfId="401" priority="96">
      <formula>AND($H$67="ja",O6&gt;$A$67)</formula>
    </cfRule>
  </conditionalFormatting>
  <conditionalFormatting sqref="P6:P17">
    <cfRule type="cellIs" dxfId="400" priority="22" operator="lessThan">
      <formula>$A$45</formula>
    </cfRule>
    <cfRule type="cellIs" dxfId="399" priority="23" operator="equal">
      <formula>0</formula>
    </cfRule>
    <cfRule type="cellIs" dxfId="398" priority="24" operator="notEqual">
      <formula>0</formula>
    </cfRule>
  </conditionalFormatting>
  <conditionalFormatting sqref="Q6:S17">
    <cfRule type="expression" dxfId="397" priority="47">
      <formula>$A6=0</formula>
    </cfRule>
  </conditionalFormatting>
  <conditionalFormatting sqref="T6:T17">
    <cfRule type="cellIs" dxfId="396" priority="89" operator="greaterThanOrEqual">
      <formula>0</formula>
    </cfRule>
    <cfRule type="expression" dxfId="395" priority="88">
      <formula>AND($H$67="ja",T6&gt;$A$67)</formula>
    </cfRule>
  </conditionalFormatting>
  <conditionalFormatting sqref="U6:U17">
    <cfRule type="cellIs" dxfId="394" priority="17" operator="equal">
      <formula>0</formula>
    </cfRule>
    <cfRule type="cellIs" dxfId="393" priority="16" operator="lessThan">
      <formula>$A$45</formula>
    </cfRule>
    <cfRule type="cellIs" dxfId="392" priority="18" operator="notEqual">
      <formula>0</formula>
    </cfRule>
  </conditionalFormatting>
  <conditionalFormatting sqref="V6:X17">
    <cfRule type="expression" dxfId="391" priority="46">
      <formula>$A6=0</formula>
    </cfRule>
  </conditionalFormatting>
  <conditionalFormatting sqref="Y6:Y17 AD6:AD17 AI6:AI17">
    <cfRule type="expression" dxfId="390" priority="59">
      <formula>AND($H$67="ja",Y6&gt;$A$67)</formula>
    </cfRule>
    <cfRule type="cellIs" dxfId="389" priority="60" operator="greaterThanOrEqual">
      <formula>0</formula>
    </cfRule>
  </conditionalFormatting>
  <conditionalFormatting sqref="Z6:Z17">
    <cfRule type="cellIs" dxfId="388" priority="11" operator="equal">
      <formula>0</formula>
    </cfRule>
    <cfRule type="cellIs" dxfId="387" priority="10" operator="lessThan">
      <formula>$A$45</formula>
    </cfRule>
    <cfRule type="cellIs" dxfId="386" priority="12" operator="notEqual">
      <formula>0</formula>
    </cfRule>
  </conditionalFormatting>
  <conditionalFormatting sqref="AA6:AC17">
    <cfRule type="expression" dxfId="385" priority="43">
      <formula>$A6=0</formula>
    </cfRule>
  </conditionalFormatting>
  <conditionalFormatting sqref="AE6:AE17">
    <cfRule type="cellIs" dxfId="384" priority="5" operator="equal">
      <formula>0</formula>
    </cfRule>
    <cfRule type="cellIs" dxfId="383" priority="4" operator="lessThan">
      <formula>$A$45</formula>
    </cfRule>
    <cfRule type="cellIs" dxfId="382" priority="6" operator="notEqual">
      <formula>0</formula>
    </cfRule>
  </conditionalFormatting>
  <conditionalFormatting sqref="AF6:AH17">
    <cfRule type="expression" dxfId="381" priority="34">
      <formula>$A6=0</formula>
    </cfRule>
  </conditionalFormatting>
  <conditionalFormatting sqref="AJ6:AJ17">
    <cfRule type="cellIs" dxfId="380" priority="3" operator="notEqual">
      <formula>0</formula>
    </cfRule>
    <cfRule type="cellIs" dxfId="379" priority="2" operator="equal">
      <formula>0</formula>
    </cfRule>
    <cfRule type="cellIs" dxfId="378" priority="1" operator="lessThan">
      <formula>$A$45</formula>
    </cfRule>
  </conditionalFormatting>
  <conditionalFormatting sqref="AK6:AK17">
    <cfRule type="expression" dxfId="377" priority="58">
      <formula>AND($H$70="ja",AK6&gt;$A$70)</formula>
    </cfRule>
    <cfRule type="cellIs" dxfId="376" priority="61" operator="greaterThanOrEqual">
      <formula>0</formula>
    </cfRule>
  </conditionalFormatting>
  <dataValidations count="2">
    <dataValidation type="list" showInputMessage="1" showErrorMessage="1" promptTitle="Velg Turnus startdag" prompt="Velg hvilken dag turnusen starte å telle ifra. (Typisk Mandag)" sqref="E1" xr:uid="{00000000-0002-0000-1200-000000000000}">
      <formula1>Ukedager</formula1>
    </dataValidation>
    <dataValidation type="list" allowBlank="1" showInputMessage="1" showErrorMessage="1" sqref="H67 H70" xr:uid="{00000000-0002-0000-1200-000001000000}">
      <formula1>Ja_og_nei</formula1>
    </dataValidation>
  </dataValidation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2"/>
  <dimension ref="A1:AQ106"/>
  <sheetViews>
    <sheetView zoomScale="85" zoomScaleNormal="85" workbookViewId="0">
      <pane ySplit="24" topLeftCell="A25" activePane="bottomLeft" state="frozen"/>
      <selection pane="bottomLeft" activeCell="C11" sqref="C11"/>
    </sheetView>
  </sheetViews>
  <sheetFormatPr defaultColWidth="9.08984375" defaultRowHeight="12.5" x14ac:dyDescent="0.25"/>
  <cols>
    <col min="1" max="1" width="10.7265625" style="3" customWidth="1"/>
    <col min="2" max="2" width="7.6328125" style="3" customWidth="1"/>
    <col min="3" max="3" width="7.81640625" style="3" customWidth="1"/>
    <col min="4" max="4" width="4.36328125" style="3" bestFit="1" customWidth="1"/>
    <col min="5" max="6" width="10" style="3" customWidth="1"/>
    <col min="7" max="7" width="7" style="3" customWidth="1"/>
    <col min="8" max="8" width="7.6328125" style="3" customWidth="1"/>
    <col min="9" max="9" width="4.36328125" style="3" bestFit="1" customWidth="1"/>
    <col min="10" max="11" width="10" style="3" customWidth="1"/>
    <col min="12" max="12" width="7.26953125" style="3" customWidth="1"/>
    <col min="13" max="13" width="7.7265625" style="3" customWidth="1"/>
    <col min="14" max="14" width="4.36328125" style="3" bestFit="1" customWidth="1"/>
    <col min="15" max="15" width="10.08984375" style="3" bestFit="1" customWidth="1"/>
    <col min="16" max="16" width="10.08984375" style="3" customWidth="1"/>
    <col min="17" max="17" width="7.6328125" style="3" customWidth="1"/>
    <col min="18" max="18" width="7.7265625" style="3" customWidth="1"/>
    <col min="19" max="19" width="4.36328125" style="3" bestFit="1" customWidth="1"/>
    <col min="20" max="20" width="10.08984375" style="3" bestFit="1" customWidth="1"/>
    <col min="21" max="21" width="10.08984375" style="3" customWidth="1"/>
    <col min="22" max="22" width="8.36328125" style="3" customWidth="1"/>
    <col min="23" max="23" width="8.81640625" style="3" customWidth="1"/>
    <col min="24" max="24" width="4.36328125" style="3" bestFit="1" customWidth="1"/>
    <col min="25" max="26" width="10" style="3" customWidth="1"/>
    <col min="27" max="28" width="7.81640625" style="3" customWidth="1"/>
    <col min="29" max="29" width="4.36328125" style="3" bestFit="1" customWidth="1"/>
    <col min="30" max="31" width="9.7265625" style="3" customWidth="1"/>
    <col min="32" max="32" width="6.81640625" style="3" customWidth="1"/>
    <col min="33" max="33" width="7.6328125" style="3" customWidth="1"/>
    <col min="34" max="34" width="4.36328125" style="3" bestFit="1" customWidth="1"/>
    <col min="35" max="36" width="9.6328125" style="3" customWidth="1"/>
    <col min="37" max="37" width="15.6328125" style="3" bestFit="1" customWidth="1"/>
    <col min="38" max="16384" width="9.08984375" style="3"/>
  </cols>
  <sheetData>
    <row r="1" spans="1:39" ht="13" x14ac:dyDescent="0.3">
      <c r="A1" s="98" t="s">
        <v>66</v>
      </c>
      <c r="B1" s="98"/>
      <c r="C1" s="98"/>
      <c r="D1" s="88"/>
      <c r="E1" s="5" t="str">
        <f>Vaktplan!G38</f>
        <v>mandag</v>
      </c>
      <c r="H1" s="98" t="s">
        <v>67</v>
      </c>
      <c r="I1" s="98"/>
      <c r="J1" s="98"/>
      <c r="K1" s="98"/>
      <c r="L1" s="98"/>
      <c r="M1" s="5">
        <f>Vaktplan!AJ58</f>
        <v>12</v>
      </c>
    </row>
    <row r="2" spans="1:39" ht="13" x14ac:dyDescent="0.3">
      <c r="A2" s="98" t="s">
        <v>36</v>
      </c>
      <c r="B2" s="98"/>
      <c r="C2" s="98"/>
      <c r="D2" s="88"/>
      <c r="E2" s="8">
        <f>Vaktplan!AM58</f>
        <v>0</v>
      </c>
      <c r="I2" s="106"/>
      <c r="J2" s="106"/>
    </row>
    <row r="3" spans="1:39" ht="13" x14ac:dyDescent="0.3">
      <c r="A3" s="98" t="s">
        <v>68</v>
      </c>
      <c r="B3" s="98"/>
      <c r="C3" s="98"/>
      <c r="D3" s="88"/>
      <c r="E3" s="5">
        <f>Vaktplan!AQ58</f>
        <v>0</v>
      </c>
      <c r="F3" s="4" t="s">
        <v>69</v>
      </c>
    </row>
    <row r="4" spans="1:39" ht="13" x14ac:dyDescent="0.3">
      <c r="A4" s="89" t="s">
        <v>70</v>
      </c>
      <c r="B4" s="103" t="str">
        <f>TEXT(AG39,"DDDD")</f>
        <v>Monday</v>
      </c>
      <c r="C4" s="104"/>
      <c r="D4" s="104"/>
      <c r="E4" s="104"/>
      <c r="F4" s="105"/>
      <c r="G4" s="102" t="str">
        <f>TEXT($AG$39+1,"DDDD")</f>
        <v>Tuesday</v>
      </c>
      <c r="H4" s="102"/>
      <c r="I4" s="102"/>
      <c r="J4" s="102"/>
      <c r="K4" s="89"/>
      <c r="L4" s="102" t="str">
        <f>TEXT($AG$39+2,"DDDD")</f>
        <v>Wednesday</v>
      </c>
      <c r="M4" s="102"/>
      <c r="N4" s="102"/>
      <c r="O4" s="102"/>
      <c r="P4" s="89"/>
      <c r="Q4" s="102" t="str">
        <f>TEXT($AG$39+3,"DDDD")</f>
        <v>Thursday</v>
      </c>
      <c r="R4" s="102"/>
      <c r="S4" s="102"/>
      <c r="T4" s="102"/>
      <c r="U4" s="89"/>
      <c r="V4" s="102" t="str">
        <f>TEXT($AG$39+4,"DDDD")</f>
        <v>Friday</v>
      </c>
      <c r="W4" s="102"/>
      <c r="X4" s="102"/>
      <c r="Y4" s="102"/>
      <c r="Z4" s="89"/>
      <c r="AA4" s="102" t="str">
        <f>TEXT($AG$39+5,"DDDD")</f>
        <v>Saturday</v>
      </c>
      <c r="AB4" s="102"/>
      <c r="AC4" s="102"/>
      <c r="AD4" s="102"/>
      <c r="AE4" s="89"/>
      <c r="AF4" s="102" t="str">
        <f>TEXT($AG$39+6,"DDDD")</f>
        <v>Sunday</v>
      </c>
      <c r="AG4" s="102"/>
      <c r="AH4" s="102"/>
      <c r="AI4" s="102"/>
      <c r="AJ4" s="89"/>
      <c r="AK4" s="7" t="s">
        <v>71</v>
      </c>
      <c r="AL4" s="91"/>
    </row>
    <row r="5" spans="1:39" x14ac:dyDescent="0.25">
      <c r="A5" s="6"/>
      <c r="B5" s="6" t="s">
        <v>72</v>
      </c>
      <c r="C5" s="6" t="s">
        <v>73</v>
      </c>
      <c r="D5" s="6" t="s">
        <v>55</v>
      </c>
      <c r="E5" s="6" t="s">
        <v>74</v>
      </c>
      <c r="F5" s="6" t="s">
        <v>75</v>
      </c>
      <c r="G5" s="6" t="s">
        <v>72</v>
      </c>
      <c r="H5" s="6" t="s">
        <v>73</v>
      </c>
      <c r="I5" s="6" t="s">
        <v>55</v>
      </c>
      <c r="J5" s="6" t="s">
        <v>74</v>
      </c>
      <c r="K5" s="6" t="s">
        <v>75</v>
      </c>
      <c r="L5" s="6" t="s">
        <v>72</v>
      </c>
      <c r="M5" s="6" t="s">
        <v>73</v>
      </c>
      <c r="N5" s="6" t="s">
        <v>55</v>
      </c>
      <c r="O5" s="6" t="s">
        <v>74</v>
      </c>
      <c r="P5" s="6" t="s">
        <v>75</v>
      </c>
      <c r="Q5" s="6" t="s">
        <v>72</v>
      </c>
      <c r="R5" s="6" t="s">
        <v>73</v>
      </c>
      <c r="S5" s="6" t="s">
        <v>55</v>
      </c>
      <c r="T5" s="6" t="s">
        <v>74</v>
      </c>
      <c r="U5" s="6" t="s">
        <v>75</v>
      </c>
      <c r="V5" s="6" t="s">
        <v>72</v>
      </c>
      <c r="W5" s="6" t="s">
        <v>73</v>
      </c>
      <c r="X5" s="6" t="s">
        <v>55</v>
      </c>
      <c r="Y5" s="6" t="s">
        <v>74</v>
      </c>
      <c r="Z5" s="6" t="s">
        <v>75</v>
      </c>
      <c r="AA5" s="6" t="s">
        <v>72</v>
      </c>
      <c r="AB5" s="6" t="s">
        <v>73</v>
      </c>
      <c r="AC5" s="6" t="s">
        <v>55</v>
      </c>
      <c r="AD5" s="6" t="s">
        <v>74</v>
      </c>
      <c r="AE5" s="6" t="s">
        <v>75</v>
      </c>
      <c r="AF5" s="6" t="s">
        <v>72</v>
      </c>
      <c r="AG5" s="6" t="s">
        <v>73</v>
      </c>
      <c r="AH5" s="6" t="s">
        <v>55</v>
      </c>
      <c r="AI5" s="6" t="s">
        <v>74</v>
      </c>
      <c r="AJ5" s="6" t="s">
        <v>75</v>
      </c>
      <c r="AK5" s="6"/>
      <c r="AL5" s="91"/>
    </row>
    <row r="6" spans="1:39" ht="13" x14ac:dyDescent="0.25">
      <c r="A6" s="7">
        <f>IF(M1&gt;=1,1,0)</f>
        <v>1</v>
      </c>
      <c r="B6" s="77">
        <f>IFERROR(VLOOKUP(Vaktplan!$A$58,Vaktplan!$A$4:$CL$35,87-AH59,FALSE),0)</f>
        <v>0</v>
      </c>
      <c r="C6" s="77">
        <f>IFERROR(VLOOKUP(Vaktplan!$A$58,Vaktplan!$A$4:$CL$35,87-AG59,FALSE),0)</f>
        <v>0</v>
      </c>
      <c r="D6" s="9">
        <f>IFERROR(VLOOKUP(Vaktplan!$A$58,Vaktplan!$A$4:$CL$35,89-AG59,FALSE),0)</f>
        <v>0</v>
      </c>
      <c r="E6" s="9">
        <f>IF(AND(B6=0,C6=0),0,IF(B6&lt;C6,((C6-B6)*24)-D6,(((1-B6)+C6)*24)-D6))</f>
        <v>0</v>
      </c>
      <c r="F6" s="9">
        <f>IF(AND(C6=0,G6=0),24,IF(C6=0,12+(G6*24),IF(C6&lt;G6,((G6-C6)*24),IF(G6=0,(1-C6+0.5)*24,((1-C6)+G6)*24))))</f>
        <v>24</v>
      </c>
      <c r="G6" s="77">
        <f>IFERROR(VLOOKUP(Vaktplan!$A$58,Vaktplan!$B$4:$CL$35,86-AH59,FALSE),0)</f>
        <v>0</v>
      </c>
      <c r="H6" s="77">
        <f>IFERROR(VLOOKUP(Vaktplan!$A$58,Vaktplan!$B$4:$CL$35,86-AG59,FALSE),0)</f>
        <v>0</v>
      </c>
      <c r="I6" s="9">
        <f>IFERROR(VLOOKUP(Vaktplan!$A$58,Vaktplan!$B$4:$CL$35,89-$AH59,FALSE),0)</f>
        <v>0</v>
      </c>
      <c r="J6" s="9">
        <f>IF(AND(G6=0,H6=0),0,IF(G6&lt;H6,((H6-G6)*24)-I6,(((1-G6)+H6)*24)-I6))</f>
        <v>0</v>
      </c>
      <c r="K6" s="9">
        <f>IF(AND(H6=0,L6=0),24,IF(H6=0,12+(L6*24),IF(H6&lt;L6,((L6-H6)*24),IF(L6=0,(1-H6+0.5)*24,((1-H6)+L6)*24))))</f>
        <v>24</v>
      </c>
      <c r="L6" s="77">
        <f>IFERROR(VLOOKUP(Vaktplan!$A$58,Vaktplan!$C$4:$CL$35,86-AI59,FALSE),0)</f>
        <v>0</v>
      </c>
      <c r="M6" s="77">
        <f>IFERROR(VLOOKUP(Vaktplan!$A$58,Vaktplan!$C$4:$CL$35,86-AH59,FALSE),0)</f>
        <v>0</v>
      </c>
      <c r="N6" s="9">
        <f>IFERROR(VLOOKUP(Vaktplan!$A$58,Vaktplan!$C$4:$CL$35,89-$AI59,FALSE),0)</f>
        <v>0</v>
      </c>
      <c r="O6" s="9">
        <f>IF(AND(L6=0,M6=0),0,IF(L6&lt;M6,((M6-L6)*24)-N6,(((1-L6)+M6)*24)-N6))</f>
        <v>0</v>
      </c>
      <c r="P6" s="9">
        <f>IF(AND(M6=0,Q6=0),24,IF(M6=0,12+(Q6*24),IF(M6&lt;Q6,((Q6-M6)*24),IF(Q6=0,(1-M6+0.5)*24,((1-M6)+Q6)*24))))</f>
        <v>24</v>
      </c>
      <c r="Q6" s="77">
        <f>IFERROR(VLOOKUP(Vaktplan!$A$58,Vaktplan!$D$4:$CL$35,86-AJ59,FALSE),0)</f>
        <v>0</v>
      </c>
      <c r="R6" s="77">
        <f>IFERROR(VLOOKUP(Vaktplan!$A$58,Vaktplan!$D$4:$CL$35,86-AI59,FALSE),0)</f>
        <v>0</v>
      </c>
      <c r="S6" s="9">
        <f>IFERROR(VLOOKUP(Vaktplan!$A$58,Vaktplan!$D$4:$CL$35,89-$AJ59,FALSE),0)</f>
        <v>0</v>
      </c>
      <c r="T6" s="9">
        <f t="shared" ref="T6:T17" si="0">IF(AND(Q6=0,R6=0),0,IF(Q6&lt;R6,((R6-Q6)*24)-S6,(((1-Q6)+R6)*24)-S6))</f>
        <v>0</v>
      </c>
      <c r="U6" s="9">
        <f>IF(AND(R6=0,V6=0),24,IF(R6=0,12+(V6*24),IF(R6&lt;V6,((V6-R6)*24),IF(V6=0,(1-R6+0.5)*24,((1-R6)+V6)*24))))</f>
        <v>24</v>
      </c>
      <c r="V6" s="77">
        <f>IFERROR(VLOOKUP(Vaktplan!$A$58,Vaktplan!$E$4:$CL$35,86-AK59,FALSE),0)</f>
        <v>0</v>
      </c>
      <c r="W6" s="77">
        <f>IFERROR(VLOOKUP(Vaktplan!$A$58,Vaktplan!$E$4:$CL$35,86-AJ59,FALSE),0)</f>
        <v>0</v>
      </c>
      <c r="X6" s="9">
        <f>IFERROR(VLOOKUP(Vaktplan!$A$58,Vaktplan!$E$4:$CL$35,89-$AK59,FALSE),0)</f>
        <v>0</v>
      </c>
      <c r="Y6" s="9">
        <f>IF(AND(V6=0,W6=0),0,IF(V6&lt;W6,((W6-V6)*24)-X6,(((1-V6)+W6)*24)-X6))</f>
        <v>0</v>
      </c>
      <c r="Z6" s="9">
        <f>IF(AND(W6=0,AA6=0),24,IF(W6=0,12+(AA6*24),IF(W6&lt;AA6,((AA6-W6)*24),IF(AA6=0,(1-W6+0.5)*24,((1-W6)+AA6)*24))))</f>
        <v>24</v>
      </c>
      <c r="AA6" s="77">
        <f>IFERROR(VLOOKUP(Vaktplan!$A$58,Vaktplan!$F$4:$CL$35,86-AL59,FALSE),0)</f>
        <v>0</v>
      </c>
      <c r="AB6" s="77">
        <f>IFERROR(VLOOKUP(Vaktplan!$A$58,Vaktplan!$F$4:$CL$35,86-AK59,FALSE),0)</f>
        <v>0</v>
      </c>
      <c r="AC6" s="9">
        <f>IFERROR(VLOOKUP(Vaktplan!$A$58,Vaktplan!$F$4:$CL$35,89-$AL59,FALSE),0)</f>
        <v>0</v>
      </c>
      <c r="AD6" s="9">
        <f>IF(AND(AA6=0,AB6=0),0,IF(AA6&lt;AB6,((AB6-AA6)*24)-AC6,(((1-AA6)+AB6)*24)-AC6))</f>
        <v>0</v>
      </c>
      <c r="AE6" s="9">
        <f>IF(AND(AB6=0,AF6=0),24,IF(AB6=0,12+(AF6*24),IF(AB6&lt;AF6,((AF6-AB6)*24),IF(AF6=0,(1-AB6+0.5)*24,((1-AB6)+AF6)*24))))</f>
        <v>24</v>
      </c>
      <c r="AF6" s="77">
        <f>IFERROR(VLOOKUP(Vaktplan!$A$58,Vaktplan!$G$4:$CL$35,86-AM59,FALSE),0)</f>
        <v>0</v>
      </c>
      <c r="AG6" s="77">
        <f>IFERROR(VLOOKUP(Vaktplan!$A$58,Vaktplan!$G$4:$CL$35,86-AL59,FALSE),0)</f>
        <v>0</v>
      </c>
      <c r="AH6" s="9">
        <f>IFERROR(VLOOKUP(Vaktplan!$A$58,Vaktplan!$G$4:$CL$35,89-$AM59,FALSE),0)</f>
        <v>0</v>
      </c>
      <c r="AI6" s="9">
        <f>IF(AND(AF6=0,AG6=0),0,IF(AF6&lt;AG6,((AG6-AF6)*24)-AH6,(((1-AF6)+AG6)*24)-AH6))</f>
        <v>0</v>
      </c>
      <c r="AJ6" s="9">
        <f>IF($M$1=AL28,IF(AND(AG6=0,B6=0),24,IF(AG6=0,12+($B$6*24),IF(AG6&lt;$B$6,(($B$6-AG6)*24),IF($B$6=0,(1-AG6+1)*24,((1-AG6)+$B$6)*24)))),IF(AND(AG6=0,B7=0),24,IF(AG6=0,12+(B7*24),IF(AG6&lt;B7,((B7-AG6)*24),IF(B7=0,(1-AG6+1)*24,((1-AG6)+B7)*24)))))</f>
        <v>24</v>
      </c>
      <c r="AK6" s="9">
        <f t="shared" ref="AK6:AK17" si="1">E6+J6+O6+T6+Y6+AD6+AI6</f>
        <v>0</v>
      </c>
      <c r="AL6" s="92">
        <f>AJ6</f>
        <v>24</v>
      </c>
      <c r="AM6" s="10">
        <f>AK6</f>
        <v>0</v>
      </c>
    </row>
    <row r="7" spans="1:39" ht="13" x14ac:dyDescent="0.25">
      <c r="A7" s="7">
        <f>IF($M$1&gt;=2,2,0)</f>
        <v>2</v>
      </c>
      <c r="B7" s="77">
        <f>IFERROR(VLOOKUP(Vaktplan!$A$58,Vaktplan!$H$4:$CL$35,87-AH60,FALSE),0)</f>
        <v>0</v>
      </c>
      <c r="C7" s="77">
        <f>IFERROR(VLOOKUP(Vaktplan!$A$58,Vaktplan!$H$4:$CL$35,87-AG60,FALSE),0)</f>
        <v>0</v>
      </c>
      <c r="D7" s="9">
        <f>IFERROR(VLOOKUP(Vaktplan!$A$58,Vaktplan!$H$4:$CL$35,89-AG60,FALSE),0)</f>
        <v>0</v>
      </c>
      <c r="E7" s="9">
        <f>IF(AND(B7=0,C7=0),0,IF(B7&lt;C7,((C7-B7)*24)-D7,(((1-B7)+C7)*24)-D7))</f>
        <v>0</v>
      </c>
      <c r="F7" s="9">
        <f t="shared" ref="F7:F17" si="2">IF(AND(C7=0,G7=0),24,IF(C7=0,12+(G7*24),IF(C7&lt;G7,((G7-C7)*24),IF(G7=0,(1-C7+0.5)*24,((1-C7)+G7)*24))))</f>
        <v>24</v>
      </c>
      <c r="G7" s="77">
        <f>IFERROR(VLOOKUP(Vaktplan!$A$58,Vaktplan!$I$4:$CL$35,86-AH60,FALSE),0)</f>
        <v>0</v>
      </c>
      <c r="H7" s="77">
        <f>IFERROR(VLOOKUP(Vaktplan!$A$58,Vaktplan!$I$4:$CL$35,86-AG60,FALSE),0)</f>
        <v>0</v>
      </c>
      <c r="I7" s="9">
        <f>IFERROR(VLOOKUP(Vaktplan!$A$58,Vaktplan!$I$4:$CL$35,89-$AH60,FALSE),0)</f>
        <v>0</v>
      </c>
      <c r="J7" s="9">
        <f t="shared" ref="J7:J17" si="3">IF(AND(G7=0,H7=0),0,IF(G7&lt;H7,((H7-G7)*24)-I7,(((1-G7)+H7)*24)-I7))</f>
        <v>0</v>
      </c>
      <c r="K7" s="9">
        <f t="shared" ref="K7:K17" si="4">IF(AND(H7=0,L7=0),24,IF(H7=0,12+(L7*24),IF(H7&lt;L7,((L7-H7)*24),IF(L7=0,(1-H7+0.5)*24,((1-H7)+L7)*24))))</f>
        <v>24</v>
      </c>
      <c r="L7" s="77">
        <f>IFERROR(VLOOKUP(Vaktplan!$A$58,Vaktplan!$J$4:$CL$35,86-AI60,FALSE),0)</f>
        <v>0</v>
      </c>
      <c r="M7" s="77">
        <f>IFERROR(VLOOKUP(Vaktplan!$A$58,Vaktplan!$J$4:$CL$35,86-AH60,FALSE),0)</f>
        <v>0</v>
      </c>
      <c r="N7" s="9">
        <f>IFERROR(VLOOKUP(Vaktplan!$A$58,Vaktplan!$J$4:$CL$35,89-$AI60,FALSE),0)</f>
        <v>0</v>
      </c>
      <c r="O7" s="9">
        <f t="shared" ref="O7:O17" si="5">IF(AND(L7=0,M7=0),0,IF(L7&lt;M7,((M7-L7)*24)-N7,(((1-L7)+M7)*24)-N7))</f>
        <v>0</v>
      </c>
      <c r="P7" s="9">
        <f t="shared" ref="P7:P17" si="6">IF(AND(M7=0,Q7=0),24,IF(M7=0,12+(Q7*24),IF(M7&lt;Q7,((Q7-M7)*24),IF(Q7=0,(1-M7+0.5)*24,((1-M7)+Q7)*24))))</f>
        <v>24</v>
      </c>
      <c r="Q7" s="77">
        <f>IFERROR(VLOOKUP(Vaktplan!$A$58,Vaktplan!$K$4:$CL$35,86-AJ60,FALSE),0)</f>
        <v>0</v>
      </c>
      <c r="R7" s="77">
        <f>IFERROR(VLOOKUP(Vaktplan!$A$58,Vaktplan!$K$4:$CL$35,86-AI60,FALSE),0)</f>
        <v>0</v>
      </c>
      <c r="S7" s="9">
        <f>IFERROR(VLOOKUP(Vaktplan!$A$58,Vaktplan!$K$4:$CL$35,89-$AJ60,FALSE),0)</f>
        <v>0</v>
      </c>
      <c r="T7" s="9">
        <f t="shared" si="0"/>
        <v>0</v>
      </c>
      <c r="U7" s="9">
        <f t="shared" ref="U7:U17" si="7">IF(AND(R7=0,V7=0),24,IF(R7=0,12+(V7*24),IF(R7&lt;V7,((V7-R7)*24),IF(V7=0,(1-R7+0.5)*24,((1-R7)+V7)*24))))</f>
        <v>24</v>
      </c>
      <c r="V7" s="77">
        <f>IFERROR(VLOOKUP(Vaktplan!$A$58,Vaktplan!$L$4:$CL$35,86-AK60,FALSE),0)</f>
        <v>0</v>
      </c>
      <c r="W7" s="77">
        <f>IFERROR(VLOOKUP(Vaktplan!$A$58,Vaktplan!$L$4:$CL$35,86-AJ60,FALSE),0)</f>
        <v>0</v>
      </c>
      <c r="X7" s="9">
        <f>IFERROR(VLOOKUP(Vaktplan!$A$58,Vaktplan!$L$4:$CL$35,89-$AK60,FALSE),0)</f>
        <v>0</v>
      </c>
      <c r="Y7" s="9">
        <f t="shared" ref="Y7:Y13" si="8">IF(AND(V7=0,W7=0),0,IF(V7&lt;W7,((W7-V7)*24)-X7,(((1-V7)+W7)*24)-X7))</f>
        <v>0</v>
      </c>
      <c r="Z7" s="9">
        <f t="shared" ref="Z7:Z17" si="9">IF(AND(W7=0,AA7=0),24,IF(W7=0,12+(AA7*24),IF(W7&lt;AA7,((AA7-W7)*24),IF(AA7=0,(1-W7+0.5)*24,((1-W7)+AA7)*24))))</f>
        <v>24</v>
      </c>
      <c r="AA7" s="77">
        <f>IFERROR(VLOOKUP(Vaktplan!$A$58,Vaktplan!$M$4:$CL$35,86-AL60,FALSE),0)</f>
        <v>0</v>
      </c>
      <c r="AB7" s="77">
        <f>IFERROR(VLOOKUP(Vaktplan!$A$58,Vaktplan!$M$4:$CL$35,86-AK60,FALSE),0)</f>
        <v>0</v>
      </c>
      <c r="AC7" s="9">
        <f>IFERROR(VLOOKUP(Vaktplan!$A$58,Vaktplan!$M$4:$CL$35,89-$AL60,FALSE),0)</f>
        <v>0</v>
      </c>
      <c r="AD7" s="9">
        <f t="shared" ref="AD7:AD13" si="10">IF(AND(AA7=0,AB7=0),0,IF(AA7&lt;AB7,((AB7-AA7)*24)-AC7,(((1-AA7)+AB7)*24)-AC7))</f>
        <v>0</v>
      </c>
      <c r="AE7" s="9">
        <f t="shared" ref="AE7:AE17" si="11">IF(AND(AB7=0,AF7=0),24,IF(AB7=0,12+(AF7*24),IF(AB7&lt;AF7,((AF7-AB7)*24),IF(AF7=0,(1-AB7+0.5)*24,((1-AB7)+AF7)*24))))</f>
        <v>24</v>
      </c>
      <c r="AF7" s="77">
        <f>IFERROR(VLOOKUP(Vaktplan!$A$58,Vaktplan!$N$4:$CL$35,86-AM60,FALSE),0)</f>
        <v>0</v>
      </c>
      <c r="AG7" s="77">
        <f>IFERROR(VLOOKUP(Vaktplan!$A$58,Vaktplan!$N$4:$CL$35,86-AL60,FALSE),0)</f>
        <v>0</v>
      </c>
      <c r="AH7" s="9">
        <f>IFERROR(VLOOKUP(Vaktplan!$A$58,Vaktplan!$N$4:$CL$35,89-$AM60,FALSE),0)</f>
        <v>0</v>
      </c>
      <c r="AI7" s="9">
        <f t="shared" ref="AI7:AI13" si="12">IF(AND(AF7=0,AG7=0),0,IF(AF7&lt;AG7,((AG7-AF7)*24)-AH7,(((1-AF7)+AG7)*24)-AH7))</f>
        <v>0</v>
      </c>
      <c r="AJ7" s="9">
        <f t="shared" ref="AJ7:AJ17" si="13">IF($M$1=AL29,IF(AND(AG7=0,B7=0),24,IF(AG7=0,12+($B$6*24),IF(AG7&lt;$B$6,(($B$6-AG7)*24),IF($B$6=0,(1-AG7+1)*24,((1-AG7)+$B$6)*24)))),IF(AND(AG7=0,B8=0),24,IF(AG7=0,12+(B8*24),IF(AG7&lt;B8,((B8-AG7)*24),IF(B8=0,(1-AG7+1)*24,((1-AG7)+B8)*24)))))</f>
        <v>24</v>
      </c>
      <c r="AK7" s="9">
        <f t="shared" si="1"/>
        <v>0</v>
      </c>
      <c r="AL7" s="92">
        <f t="shared" ref="AL7:AL13" si="14">AJ7</f>
        <v>24</v>
      </c>
      <c r="AM7" s="10">
        <f t="shared" ref="AM7:AM13" si="15">AK7</f>
        <v>0</v>
      </c>
    </row>
    <row r="8" spans="1:39" ht="13" x14ac:dyDescent="0.25">
      <c r="A8" s="7">
        <f>IF($M$1&gt;=3,3,0)</f>
        <v>3</v>
      </c>
      <c r="B8" s="77">
        <f>IFERROR(VLOOKUP(Vaktplan!$A$58,Vaktplan!$O$4:$CL$35,87-AH61,FALSE),0)</f>
        <v>0</v>
      </c>
      <c r="C8" s="77">
        <f>IFERROR(VLOOKUP(Vaktplan!$A$58,Vaktplan!$O$4:$CL$35,87-AG61,FALSE),0)</f>
        <v>0</v>
      </c>
      <c r="D8" s="9">
        <f>IFERROR(VLOOKUP(Vaktplan!$A$58,Vaktplan!$O$4:$CL$35,89-AG61,FALSE),0)</f>
        <v>0</v>
      </c>
      <c r="E8" s="9">
        <f t="shared" ref="E8:E17" si="16">IF(AND(B8=0,C8=0),0,IF(B8&lt;C8,((C8-B8)*24)-D8,(((1-B8)+C8)*24)-D8))</f>
        <v>0</v>
      </c>
      <c r="F8" s="9">
        <f t="shared" si="2"/>
        <v>24</v>
      </c>
      <c r="G8" s="77">
        <f>IFERROR(VLOOKUP(Vaktplan!$A$58,Vaktplan!$P$4:$CL$35,86-AH61,FALSE),0)</f>
        <v>0</v>
      </c>
      <c r="H8" s="77">
        <f>IFERROR(VLOOKUP(Vaktplan!$A$58,Vaktplan!$P$4:$CL$35,86-AG61,FALSE),0)</f>
        <v>0</v>
      </c>
      <c r="I8" s="9">
        <f>IFERROR(VLOOKUP(Vaktplan!$A$58,Vaktplan!$P$4:$CL$35,89-$AH61,FALSE),0)</f>
        <v>0</v>
      </c>
      <c r="J8" s="9">
        <f>IF(AND(G8=0,H8=0),0,IF(G8&lt;H8,((H8-G8)*24)-I8,(((1-G8)+H8)*24)-I8))</f>
        <v>0</v>
      </c>
      <c r="K8" s="9">
        <f t="shared" si="4"/>
        <v>24</v>
      </c>
      <c r="L8" s="77">
        <f>IFERROR(VLOOKUP(Vaktplan!$A$58,Vaktplan!$Q$4:$CL$35,86-AI61,FALSE),0)</f>
        <v>0</v>
      </c>
      <c r="M8" s="77">
        <f>IFERROR(VLOOKUP(Vaktplan!$A$58,Vaktplan!$Q$4:$CL$35,86-AH61,FALSE),0)</f>
        <v>0</v>
      </c>
      <c r="N8" s="9">
        <f>IFERROR(VLOOKUP(Vaktplan!$A$58,Vaktplan!$Q$4:$CL$35,89-$AI61,FALSE),0)</f>
        <v>0</v>
      </c>
      <c r="O8" s="9">
        <f t="shared" si="5"/>
        <v>0</v>
      </c>
      <c r="P8" s="9">
        <f t="shared" si="6"/>
        <v>24</v>
      </c>
      <c r="Q8" s="77">
        <f>IFERROR(VLOOKUP(Vaktplan!$A$58,Vaktplan!$R$4:$CL$35,86-AJ61,FALSE),0)</f>
        <v>0</v>
      </c>
      <c r="R8" s="77">
        <f>IFERROR(VLOOKUP(Vaktplan!$A$58,Vaktplan!$R$4:$CL$35,86-AI61,FALSE),0)</f>
        <v>0</v>
      </c>
      <c r="S8" s="9">
        <f>IFERROR(VLOOKUP(Vaktplan!$A$58,Vaktplan!$R$4:$CL$35,89-$AJ61,FALSE),0)</f>
        <v>0</v>
      </c>
      <c r="T8" s="9">
        <f t="shared" si="0"/>
        <v>0</v>
      </c>
      <c r="U8" s="9">
        <f t="shared" si="7"/>
        <v>24</v>
      </c>
      <c r="V8" s="77">
        <f>IFERROR(VLOOKUP(Vaktplan!$A$58,Vaktplan!$S$4:$CL$35,86-AK61,FALSE),0)</f>
        <v>0</v>
      </c>
      <c r="W8" s="77">
        <f>IFERROR(VLOOKUP(Vaktplan!$A$58,Vaktplan!$S$4:$CL$35,86-AJ61,FALSE),0)</f>
        <v>0</v>
      </c>
      <c r="X8" s="9">
        <f>IFERROR(VLOOKUP(Vaktplan!$A$58,Vaktplan!$S$4:$CL$35,89-$AK61,FALSE),0)</f>
        <v>0</v>
      </c>
      <c r="Y8" s="9">
        <f t="shared" si="8"/>
        <v>0</v>
      </c>
      <c r="Z8" s="9">
        <f t="shared" si="9"/>
        <v>24</v>
      </c>
      <c r="AA8" s="77">
        <f>IFERROR(VLOOKUP(Vaktplan!$A$58,Vaktplan!$T$4:$CL$35,86-AL61,FALSE),0)</f>
        <v>0</v>
      </c>
      <c r="AB8" s="77">
        <f>IFERROR(VLOOKUP(Vaktplan!$A$58,Vaktplan!$T$4:$CL$35,86-AK61,FALSE),0)</f>
        <v>0</v>
      </c>
      <c r="AC8" s="9">
        <f>IFERROR(VLOOKUP(Vaktplan!$A$58,Vaktplan!$T$4:$CL$35,89-$AL61,FALSE),0)</f>
        <v>0</v>
      </c>
      <c r="AD8" s="9">
        <f t="shared" si="10"/>
        <v>0</v>
      </c>
      <c r="AE8" s="9">
        <f t="shared" si="11"/>
        <v>24</v>
      </c>
      <c r="AF8" s="77">
        <f>IFERROR(VLOOKUP(Vaktplan!$A$58,Vaktplan!$U$4:$CL$35,86-AM61,FALSE),0)</f>
        <v>0</v>
      </c>
      <c r="AG8" s="77">
        <f>IFERROR(VLOOKUP(Vaktplan!$A$58,Vaktplan!$U$4:$CL$35,86-AL61,FALSE),0)</f>
        <v>0</v>
      </c>
      <c r="AH8" s="9">
        <f>IFERROR(VLOOKUP(Vaktplan!$A$58,Vaktplan!$U$4:$CL$35,89-$AM61,FALSE),0)</f>
        <v>0</v>
      </c>
      <c r="AI8" s="9">
        <f t="shared" si="12"/>
        <v>0</v>
      </c>
      <c r="AJ8" s="9">
        <f t="shared" si="13"/>
        <v>24</v>
      </c>
      <c r="AK8" s="9">
        <f t="shared" si="1"/>
        <v>0</v>
      </c>
      <c r="AL8" s="92">
        <f t="shared" si="14"/>
        <v>24</v>
      </c>
      <c r="AM8" s="10">
        <f t="shared" si="15"/>
        <v>0</v>
      </c>
    </row>
    <row r="9" spans="1:39" ht="13" x14ac:dyDescent="0.25">
      <c r="A9" s="7">
        <f>IF($M$1&gt;=4,4,0)</f>
        <v>4</v>
      </c>
      <c r="B9" s="77">
        <f>IFERROR(VLOOKUP(Vaktplan!$A$58,Vaktplan!$V$4:$CL$35,87-AH62,FALSE),0)</f>
        <v>0</v>
      </c>
      <c r="C9" s="77">
        <f>IFERROR(VLOOKUP(Vaktplan!$A$58,Vaktplan!$V$4:$CL$35,87-AG62,FALSE),0)</f>
        <v>0</v>
      </c>
      <c r="D9" s="9">
        <f>IFERROR(VLOOKUP(Vaktplan!$A$58,Vaktplan!$V$4:$CL$35,89-AG62,FALSE),0)</f>
        <v>0</v>
      </c>
      <c r="E9" s="9">
        <f t="shared" si="16"/>
        <v>0</v>
      </c>
      <c r="F9" s="9">
        <f t="shared" si="2"/>
        <v>24</v>
      </c>
      <c r="G9" s="77">
        <f>IFERROR(VLOOKUP(Vaktplan!$A$58,Vaktplan!$W$4:$CL$35,86-AH62,FALSE),0)</f>
        <v>0</v>
      </c>
      <c r="H9" s="77">
        <f>IFERROR(VLOOKUP(Vaktplan!$A$58,Vaktplan!$W$4:$CL$35,86-AG62,FALSE),0)</f>
        <v>0</v>
      </c>
      <c r="I9" s="9">
        <f>IFERROR(VLOOKUP(Vaktplan!$A$58,Vaktplan!$W$4:$CL$35,89-$AH62,FALSE),0)</f>
        <v>0</v>
      </c>
      <c r="J9" s="9">
        <f t="shared" si="3"/>
        <v>0</v>
      </c>
      <c r="K9" s="9">
        <f t="shared" si="4"/>
        <v>24</v>
      </c>
      <c r="L9" s="77">
        <f>IFERROR(VLOOKUP(Vaktplan!$A$58,Vaktplan!$X$4:$CL$35,86-AI62,FALSE),0)</f>
        <v>0</v>
      </c>
      <c r="M9" s="77">
        <f>IFERROR(VLOOKUP(Vaktplan!$A$58,Vaktplan!$X$4:$CL$35,86-AH62,FALSE),0)</f>
        <v>0</v>
      </c>
      <c r="N9" s="9">
        <f>IFERROR(VLOOKUP(Vaktplan!$A$58,Vaktplan!$X$4:$CL$35,89-$AI62,FALSE),0)</f>
        <v>0</v>
      </c>
      <c r="O9" s="9">
        <f t="shared" si="5"/>
        <v>0</v>
      </c>
      <c r="P9" s="9">
        <f t="shared" si="6"/>
        <v>24</v>
      </c>
      <c r="Q9" s="77">
        <f>IFERROR(VLOOKUP(Vaktplan!$A$58,Vaktplan!$Y$4:$CL$35,86-AJ62,FALSE),0)</f>
        <v>0</v>
      </c>
      <c r="R9" s="77">
        <f>IFERROR(VLOOKUP(Vaktplan!$A$58,Vaktplan!$Y$4:$CL$35,86-AI62,FALSE),0)</f>
        <v>0</v>
      </c>
      <c r="S9" s="9">
        <f>IFERROR(VLOOKUP(Vaktplan!$A$58,Vaktplan!$Y$4:$CL$35,89-$AJ62,FALSE),0)</f>
        <v>0</v>
      </c>
      <c r="T9" s="9">
        <f t="shared" si="0"/>
        <v>0</v>
      </c>
      <c r="U9" s="9">
        <f t="shared" si="7"/>
        <v>24</v>
      </c>
      <c r="V9" s="77">
        <f>IFERROR(VLOOKUP(Vaktplan!$A$58,Vaktplan!$Z$4:$CL$35,86-AK62,FALSE),0)</f>
        <v>0</v>
      </c>
      <c r="W9" s="77">
        <f>IFERROR(VLOOKUP(Vaktplan!$A$58,Vaktplan!$Z$4:$CL$35,86-AJ62,FALSE),0)</f>
        <v>0</v>
      </c>
      <c r="X9" s="9">
        <f>IFERROR(VLOOKUP(Vaktplan!$A$58,Vaktplan!$Z$4:$CL$35,89-$AK62,FALSE),0)</f>
        <v>0</v>
      </c>
      <c r="Y9" s="9">
        <f t="shared" si="8"/>
        <v>0</v>
      </c>
      <c r="Z9" s="9">
        <f t="shared" si="9"/>
        <v>24</v>
      </c>
      <c r="AA9" s="77">
        <f>IFERROR(VLOOKUP(Vaktplan!$A$58,Vaktplan!$AA$4:$CL$35,86-AL62,FALSE),0)</f>
        <v>0</v>
      </c>
      <c r="AB9" s="77">
        <f>IFERROR(VLOOKUP(Vaktplan!$A$58,Vaktplan!$AA$4:$CL$35,86-AK62,FALSE),0)</f>
        <v>0</v>
      </c>
      <c r="AC9" s="9">
        <f>IFERROR(VLOOKUP(Vaktplan!$A$58,Vaktplan!$AA$4:$CL$35,89-$AL62,FALSE),0)</f>
        <v>0</v>
      </c>
      <c r="AD9" s="9">
        <f t="shared" si="10"/>
        <v>0</v>
      </c>
      <c r="AE9" s="9">
        <f t="shared" si="11"/>
        <v>24</v>
      </c>
      <c r="AF9" s="77">
        <f>IFERROR(VLOOKUP(Vaktplan!$A$58,Vaktplan!$AB$4:$CL$35,86-AM62,FALSE),0)</f>
        <v>0</v>
      </c>
      <c r="AG9" s="77">
        <f>IFERROR(VLOOKUP(Vaktplan!$A$58,Vaktplan!$AB$4:$CL$35,86-AL62,FALSE),0)</f>
        <v>0</v>
      </c>
      <c r="AH9" s="9">
        <f>IFERROR(VLOOKUP(Vaktplan!$A$58,Vaktplan!$AB$4:$CL$35,89-$AM62,FALSE),0)</f>
        <v>0</v>
      </c>
      <c r="AI9" s="9">
        <f t="shared" si="12"/>
        <v>0</v>
      </c>
      <c r="AJ9" s="9">
        <f t="shared" si="13"/>
        <v>24</v>
      </c>
      <c r="AK9" s="9">
        <f t="shared" si="1"/>
        <v>0</v>
      </c>
      <c r="AL9" s="92">
        <f t="shared" si="14"/>
        <v>24</v>
      </c>
      <c r="AM9" s="10">
        <f t="shared" si="15"/>
        <v>0</v>
      </c>
    </row>
    <row r="10" spans="1:39" ht="13" x14ac:dyDescent="0.25">
      <c r="A10" s="7">
        <f>IF($M$1&gt;=5,5,0)</f>
        <v>5</v>
      </c>
      <c r="B10" s="77">
        <f>IFERROR(VLOOKUP(Vaktplan!$A$58,Vaktplan!$AC$4:$CL$35,87-AH63,FALSE),0)</f>
        <v>0</v>
      </c>
      <c r="C10" s="77">
        <f>IFERROR(VLOOKUP(Vaktplan!$A$58,Vaktplan!$AC$4:$CL$35,87-AG63,FALSE),0)</f>
        <v>0</v>
      </c>
      <c r="D10" s="9">
        <f>IFERROR(VLOOKUP(Vaktplan!$A$58,Vaktplan!$AC$4:$CL$35,89-AG63,FALSE),0)</f>
        <v>0</v>
      </c>
      <c r="E10" s="9">
        <f t="shared" si="16"/>
        <v>0</v>
      </c>
      <c r="F10" s="9">
        <f t="shared" si="2"/>
        <v>24</v>
      </c>
      <c r="G10" s="77">
        <f>IFERROR(VLOOKUP(Vaktplan!$A$58,Vaktplan!$AD$4:$CL$35,86-AH63,FALSE),0)</f>
        <v>0</v>
      </c>
      <c r="H10" s="77">
        <f>IFERROR(VLOOKUP(Vaktplan!$A$58,Vaktplan!$AD$4:$CL$35,86-AG63,FALSE),0)</f>
        <v>0</v>
      </c>
      <c r="I10" s="9">
        <f>IFERROR(VLOOKUP(Vaktplan!$A$58,Vaktplan!$AD$4:$CL$35,89-$AH63,FALSE),0)</f>
        <v>0</v>
      </c>
      <c r="J10" s="9">
        <f t="shared" si="3"/>
        <v>0</v>
      </c>
      <c r="K10" s="9">
        <f t="shared" si="4"/>
        <v>24</v>
      </c>
      <c r="L10" s="77">
        <f>IFERROR(VLOOKUP(Vaktplan!$A$58,Vaktplan!$AE$4:$CL$35,86-AI63,FALSE),0)</f>
        <v>0</v>
      </c>
      <c r="M10" s="77">
        <f>IFERROR(VLOOKUP(Vaktplan!$A$58,Vaktplan!$AE$4:$CL$35,86-AH63,FALSE),0)</f>
        <v>0</v>
      </c>
      <c r="N10" s="9">
        <f>IFERROR(VLOOKUP(Vaktplan!$A$58,Vaktplan!$AE$4:$CL$35,89-$AI63,FALSE),0)</f>
        <v>0</v>
      </c>
      <c r="O10" s="9">
        <f t="shared" si="5"/>
        <v>0</v>
      </c>
      <c r="P10" s="9">
        <f t="shared" si="6"/>
        <v>24</v>
      </c>
      <c r="Q10" s="77">
        <f>IFERROR(VLOOKUP(Vaktplan!$A$58,Vaktplan!$AF$4:$CL$35,86-AJ63,FALSE),0)</f>
        <v>0</v>
      </c>
      <c r="R10" s="77">
        <f>IFERROR(VLOOKUP(Vaktplan!$A$58,Vaktplan!$AF$4:$CL$35,86-AI63,FALSE),0)</f>
        <v>0</v>
      </c>
      <c r="S10" s="9">
        <f>IFERROR(VLOOKUP(Vaktplan!$A$58,Vaktplan!$AF$4:$CL$35,89-$AJ63,FALSE),0)</f>
        <v>0</v>
      </c>
      <c r="T10" s="9">
        <f t="shared" si="0"/>
        <v>0</v>
      </c>
      <c r="U10" s="9">
        <f t="shared" si="7"/>
        <v>24</v>
      </c>
      <c r="V10" s="77">
        <f>IFERROR(VLOOKUP(Vaktplan!$A$58,Vaktplan!$AG$4:$CL$35,86-AK63,FALSE),0)</f>
        <v>0</v>
      </c>
      <c r="W10" s="77">
        <f>IFERROR(VLOOKUP(Vaktplan!$A$58,Vaktplan!$AG$4:$CL$35,86-AJ63,FALSE),0)</f>
        <v>0</v>
      </c>
      <c r="X10" s="9">
        <f>IFERROR(VLOOKUP(Vaktplan!$A$58,Vaktplan!$AG$4:$CL$35,89-$AK63,FALSE),0)</f>
        <v>0</v>
      </c>
      <c r="Y10" s="9">
        <f t="shared" si="8"/>
        <v>0</v>
      </c>
      <c r="Z10" s="9">
        <f t="shared" si="9"/>
        <v>24</v>
      </c>
      <c r="AA10" s="77">
        <f>IFERROR(VLOOKUP(Vaktplan!$A$58,Vaktplan!$AH$4:$CL$35,86-AL63,FALSE),0)</f>
        <v>0</v>
      </c>
      <c r="AB10" s="77">
        <f>IFERROR(VLOOKUP(Vaktplan!$A$58,Vaktplan!$AH$4:$CL$35,86-AK63,FALSE),0)</f>
        <v>0</v>
      </c>
      <c r="AC10" s="9">
        <f>IFERROR(VLOOKUP(Vaktplan!$A$58,Vaktplan!$AH$4:$CL$35,89-$AL63,FALSE),0)</f>
        <v>0</v>
      </c>
      <c r="AD10" s="9">
        <f t="shared" si="10"/>
        <v>0</v>
      </c>
      <c r="AE10" s="9">
        <f t="shared" si="11"/>
        <v>24</v>
      </c>
      <c r="AF10" s="77">
        <f>IFERROR(VLOOKUP(Vaktplan!$A$58,Vaktplan!$AI$4:$CL$35,86-AM63,FALSE),0)</f>
        <v>0</v>
      </c>
      <c r="AG10" s="77">
        <f>IFERROR(VLOOKUP(Vaktplan!$A$58,Vaktplan!$AI$4:$CL$35,86-AL63,FALSE),0)</f>
        <v>0</v>
      </c>
      <c r="AH10" s="9">
        <f>IFERROR(VLOOKUP(Vaktplan!$A$58,Vaktplan!$AI$4:$CL$35,89-$AM63,FALSE),0)</f>
        <v>0</v>
      </c>
      <c r="AI10" s="9">
        <f t="shared" si="12"/>
        <v>0</v>
      </c>
      <c r="AJ10" s="9">
        <f t="shared" si="13"/>
        <v>24</v>
      </c>
      <c r="AK10" s="9">
        <f t="shared" si="1"/>
        <v>0</v>
      </c>
      <c r="AL10" s="92">
        <f t="shared" si="14"/>
        <v>24</v>
      </c>
      <c r="AM10" s="10">
        <f t="shared" si="15"/>
        <v>0</v>
      </c>
    </row>
    <row r="11" spans="1:39" ht="13" x14ac:dyDescent="0.25">
      <c r="A11" s="7">
        <f>IF($M$1&gt;=6,6,0)</f>
        <v>6</v>
      </c>
      <c r="B11" s="77">
        <f>IFERROR(VLOOKUP(Vaktplan!$A$58,Vaktplan!$AJ$4:$CL$35,87-AH64,FALSE),0)</f>
        <v>0</v>
      </c>
      <c r="C11" s="77">
        <f>IFERROR(VLOOKUP(Vaktplan!$A$58,Vaktplan!$AJ$4:$CL$35,87-AG64,FALSE),0)</f>
        <v>0</v>
      </c>
      <c r="D11" s="9">
        <f>IFERROR(VLOOKUP(Vaktplan!$A$58,Vaktplan!$AJ$4:$CL$35,89-AG64,FALSE),0)</f>
        <v>0</v>
      </c>
      <c r="E11" s="9">
        <f t="shared" si="16"/>
        <v>0</v>
      </c>
      <c r="F11" s="9">
        <f t="shared" si="2"/>
        <v>24</v>
      </c>
      <c r="G11" s="77">
        <f>IFERROR(VLOOKUP(Vaktplan!$A$58,Vaktplan!$AK$4:$CL$35,86-AH64,FALSE),0)</f>
        <v>0</v>
      </c>
      <c r="H11" s="77">
        <f>IFERROR(VLOOKUP(Vaktplan!$A$58,Vaktplan!$AK$4:$CL$35,86-AG64,FALSE),0)</f>
        <v>0</v>
      </c>
      <c r="I11" s="9">
        <f>IFERROR(VLOOKUP(Vaktplan!$A$58,Vaktplan!$AK$4:$CL$35,89-$AH64,FALSE),0)</f>
        <v>0</v>
      </c>
      <c r="J11" s="9">
        <f t="shared" si="3"/>
        <v>0</v>
      </c>
      <c r="K11" s="9">
        <f t="shared" si="4"/>
        <v>24</v>
      </c>
      <c r="L11" s="77">
        <f>IFERROR(VLOOKUP(Vaktplan!$A$58,Vaktplan!$AL$4:$CL$35,86-AI64,FALSE),0)</f>
        <v>0</v>
      </c>
      <c r="M11" s="77">
        <f>IFERROR(VLOOKUP(Vaktplan!$A$58,Vaktplan!$AL$4:$CL$35,86-AH64,FALSE),0)</f>
        <v>0</v>
      </c>
      <c r="N11" s="9">
        <f>IFERROR(VLOOKUP(Vaktplan!$A$58,Vaktplan!$AL$4:$CL$35,89-$AI64,FALSE),0)</f>
        <v>0</v>
      </c>
      <c r="O11" s="9">
        <f t="shared" si="5"/>
        <v>0</v>
      </c>
      <c r="P11" s="9">
        <f t="shared" si="6"/>
        <v>24</v>
      </c>
      <c r="Q11" s="77">
        <f>IFERROR(VLOOKUP(Vaktplan!$A$58,Vaktplan!$AM$4:$CL$35,86-AJ64,FALSE),0)</f>
        <v>0</v>
      </c>
      <c r="R11" s="77">
        <f>IFERROR(VLOOKUP(Vaktplan!$A$58,Vaktplan!$AM$4:$CL$35,86-AI64,FALSE),0)</f>
        <v>0</v>
      </c>
      <c r="S11" s="9">
        <f>IFERROR(VLOOKUP(Vaktplan!$A$58,Vaktplan!$AM$4:$CL$35,89-$AJ64,FALSE),0)</f>
        <v>0</v>
      </c>
      <c r="T11" s="9">
        <f t="shared" si="0"/>
        <v>0</v>
      </c>
      <c r="U11" s="9">
        <f t="shared" si="7"/>
        <v>24</v>
      </c>
      <c r="V11" s="77">
        <f>IFERROR(VLOOKUP(Vaktplan!$A$58,Vaktplan!$AN$4:$CL$35,86-AK64,FALSE),0)</f>
        <v>0</v>
      </c>
      <c r="W11" s="77">
        <f>IFERROR(VLOOKUP(Vaktplan!$A$58,Vaktplan!$AN$4:$CL$35,86-AJ64,FALSE),0)</f>
        <v>0</v>
      </c>
      <c r="X11" s="9">
        <f>IFERROR(VLOOKUP(Vaktplan!$A$58,Vaktplan!$AN$4:$CL$35,89-$AK64,FALSE),0)</f>
        <v>0</v>
      </c>
      <c r="Y11" s="9">
        <f t="shared" si="8"/>
        <v>0</v>
      </c>
      <c r="Z11" s="9">
        <f t="shared" si="9"/>
        <v>24</v>
      </c>
      <c r="AA11" s="77">
        <f>IFERROR(VLOOKUP(Vaktplan!$A$58,Vaktplan!$AO$4:$CL$35,86-AL64,FALSE),0)</f>
        <v>0</v>
      </c>
      <c r="AB11" s="77">
        <f>IFERROR(VLOOKUP(Vaktplan!$A$58,Vaktplan!$AO$4:$CL$35,86-AK64,FALSE),0)</f>
        <v>0</v>
      </c>
      <c r="AC11" s="9">
        <f>IFERROR(VLOOKUP(Vaktplan!$A$58,Vaktplan!$AO$4:$CL$35,89-$AL64,FALSE),0)</f>
        <v>0</v>
      </c>
      <c r="AD11" s="9">
        <f t="shared" si="10"/>
        <v>0</v>
      </c>
      <c r="AE11" s="9">
        <f t="shared" si="11"/>
        <v>24</v>
      </c>
      <c r="AF11" s="77">
        <f>IFERROR(VLOOKUP(Vaktplan!$A$58,Vaktplan!$AP$4:$CL$35,86-AM64,FALSE),0)</f>
        <v>0</v>
      </c>
      <c r="AG11" s="77">
        <f>IFERROR(VLOOKUP(Vaktplan!$A$58,Vaktplan!$AP$4:$CL$35,86-AL64,FALSE),0)</f>
        <v>0</v>
      </c>
      <c r="AH11" s="9">
        <f>IFERROR(VLOOKUP(Vaktplan!$A$58,Vaktplan!$AP$4:$CL$35,89-$AM64,FALSE),0)</f>
        <v>0</v>
      </c>
      <c r="AI11" s="9">
        <f t="shared" si="12"/>
        <v>0</v>
      </c>
      <c r="AJ11" s="9">
        <f t="shared" si="13"/>
        <v>24</v>
      </c>
      <c r="AK11" s="9">
        <f t="shared" si="1"/>
        <v>0</v>
      </c>
      <c r="AL11" s="92">
        <f t="shared" si="14"/>
        <v>24</v>
      </c>
      <c r="AM11" s="10">
        <f t="shared" si="15"/>
        <v>0</v>
      </c>
    </row>
    <row r="12" spans="1:39" ht="13" x14ac:dyDescent="0.25">
      <c r="A12" s="7">
        <f>IF($M$1&gt;=7,7,0)</f>
        <v>7</v>
      </c>
      <c r="B12" s="77">
        <f>IFERROR(VLOOKUP(Vaktplan!$A$58,Vaktplan!$AQ$4:$CL$35,87-AH65,FALSE),0)</f>
        <v>0</v>
      </c>
      <c r="C12" s="77">
        <f>IFERROR(VLOOKUP(Vaktplan!$A$58,Vaktplan!$AQ$4:$CL$35,87-AG65,FALSE),0)</f>
        <v>0</v>
      </c>
      <c r="D12" s="9">
        <f>IFERROR(VLOOKUP(Vaktplan!$A$58,Vaktplan!$AQ$4:$CL$35,89-AG65,FALSE),0)</f>
        <v>0</v>
      </c>
      <c r="E12" s="9">
        <f t="shared" si="16"/>
        <v>0</v>
      </c>
      <c r="F12" s="9">
        <f t="shared" si="2"/>
        <v>24</v>
      </c>
      <c r="G12" s="77">
        <f>IFERROR(VLOOKUP(Vaktplan!$A$58,Vaktplan!$AR$4:$CL$35,86-AH65,FALSE),0)</f>
        <v>0</v>
      </c>
      <c r="H12" s="77">
        <f>IFERROR(VLOOKUP(Vaktplan!$A$58,Vaktplan!$AR$4:$CL$35,86-AG65,FALSE),0)</f>
        <v>0</v>
      </c>
      <c r="I12" s="9">
        <f>IFERROR(VLOOKUP(Vaktplan!$A$58,Vaktplan!$AR$4:$CL$35,89-$AH65,FALSE),0)</f>
        <v>0</v>
      </c>
      <c r="J12" s="9">
        <f t="shared" si="3"/>
        <v>0</v>
      </c>
      <c r="K12" s="9">
        <f t="shared" si="4"/>
        <v>24</v>
      </c>
      <c r="L12" s="77">
        <f>IFERROR(VLOOKUP(Vaktplan!$A$58,Vaktplan!$AS$4:$CL$35,86-AI65,FALSE),0)</f>
        <v>0</v>
      </c>
      <c r="M12" s="77">
        <f>IFERROR(VLOOKUP(Vaktplan!$A$58,Vaktplan!$AS$4:$CL$35,86-AH65,FALSE),0)</f>
        <v>0</v>
      </c>
      <c r="N12" s="9">
        <f>IFERROR(VLOOKUP(Vaktplan!$A$58,Vaktplan!$AS$4:$CL$35,89-$AI65,FALSE),0)</f>
        <v>0</v>
      </c>
      <c r="O12" s="9">
        <f t="shared" si="5"/>
        <v>0</v>
      </c>
      <c r="P12" s="9">
        <f t="shared" si="6"/>
        <v>24</v>
      </c>
      <c r="Q12" s="77">
        <f>IFERROR(VLOOKUP(Vaktplan!$A$58,Vaktplan!$AT$4:$CL$35,86-AJ65,FALSE),0)</f>
        <v>0</v>
      </c>
      <c r="R12" s="77">
        <f>IFERROR(VLOOKUP(Vaktplan!$A$58,Vaktplan!$AT$4:$CL$35,86-AI65,FALSE),0)</f>
        <v>0</v>
      </c>
      <c r="S12" s="9">
        <f>IFERROR(VLOOKUP(Vaktplan!$A$58,Vaktplan!$AT$4:$CL$35,89-$AJ65,FALSE),0)</f>
        <v>0</v>
      </c>
      <c r="T12" s="9">
        <f t="shared" si="0"/>
        <v>0</v>
      </c>
      <c r="U12" s="9">
        <f t="shared" si="7"/>
        <v>24</v>
      </c>
      <c r="V12" s="77">
        <f>IFERROR(VLOOKUP(Vaktplan!$A$58,Vaktplan!$AU$4:$CL$35,86-AK65,FALSE),0)</f>
        <v>0</v>
      </c>
      <c r="W12" s="77">
        <f>IFERROR(VLOOKUP(Vaktplan!$A$58,Vaktplan!$AU$4:$CL$35,86-AJ65,FALSE),0)</f>
        <v>0</v>
      </c>
      <c r="X12" s="9">
        <f>IFERROR(VLOOKUP(Vaktplan!$A$58,Vaktplan!$AU$4:$CL$35,89-$AK65,FALSE),0)</f>
        <v>0</v>
      </c>
      <c r="Y12" s="9">
        <f t="shared" si="8"/>
        <v>0</v>
      </c>
      <c r="Z12" s="9">
        <f t="shared" si="9"/>
        <v>24</v>
      </c>
      <c r="AA12" s="77">
        <f>IFERROR(VLOOKUP(Vaktplan!$A$58,Vaktplan!$AV$4:$CL$35,86-AL65,FALSE),0)</f>
        <v>0</v>
      </c>
      <c r="AB12" s="77">
        <f>IFERROR(VLOOKUP(Vaktplan!$A$58,Vaktplan!$AV$4:$CL$35,86-AK65,FALSE),0)</f>
        <v>0</v>
      </c>
      <c r="AC12" s="9">
        <f>IFERROR(VLOOKUP(Vaktplan!$A$58,Vaktplan!$AV$4:$CL$35,89-$AL65,FALSE),0)</f>
        <v>0</v>
      </c>
      <c r="AD12" s="9">
        <f t="shared" si="10"/>
        <v>0</v>
      </c>
      <c r="AE12" s="9">
        <f t="shared" si="11"/>
        <v>24</v>
      </c>
      <c r="AF12" s="77">
        <f>IFERROR(VLOOKUP(Vaktplan!$A$58,Vaktplan!$AW$4:$CL$35,86-AM65,FALSE),0)</f>
        <v>0</v>
      </c>
      <c r="AG12" s="77">
        <f>IFERROR(VLOOKUP(Vaktplan!$A$58,Vaktplan!$AW$4:$CL$35,86-AL65,FALSE),0)</f>
        <v>0</v>
      </c>
      <c r="AH12" s="9">
        <f>IFERROR(VLOOKUP(Vaktplan!$A$58,Vaktplan!$AW$4:$CL$35,89-$AM65,FALSE),0)</f>
        <v>0</v>
      </c>
      <c r="AI12" s="9">
        <f t="shared" si="12"/>
        <v>0</v>
      </c>
      <c r="AJ12" s="9">
        <f t="shared" si="13"/>
        <v>24</v>
      </c>
      <c r="AK12" s="9">
        <f t="shared" si="1"/>
        <v>0</v>
      </c>
      <c r="AL12" s="92">
        <f t="shared" si="14"/>
        <v>24</v>
      </c>
      <c r="AM12" s="10">
        <f t="shared" si="15"/>
        <v>0</v>
      </c>
    </row>
    <row r="13" spans="1:39" ht="13" x14ac:dyDescent="0.25">
      <c r="A13" s="7">
        <f>IF($M$1&gt;=8,8,0)</f>
        <v>8</v>
      </c>
      <c r="B13" s="77">
        <f>IFERROR(VLOOKUP(Vaktplan!$A$58,Vaktplan!$AX$4:$CL$35,87-AH66,FALSE),0)</f>
        <v>0</v>
      </c>
      <c r="C13" s="77">
        <f>IFERROR(VLOOKUP(Vaktplan!$A$58,Vaktplan!$AX$4:$CL$35,87-AG66,FALSE),0)</f>
        <v>0</v>
      </c>
      <c r="D13" s="9">
        <f>IFERROR(VLOOKUP(Vaktplan!$A$58,Vaktplan!$AX$4:$CL$35,89-AG66,FALSE),0)</f>
        <v>0</v>
      </c>
      <c r="E13" s="9">
        <f t="shared" si="16"/>
        <v>0</v>
      </c>
      <c r="F13" s="9">
        <f t="shared" si="2"/>
        <v>24</v>
      </c>
      <c r="G13" s="77">
        <f>IFERROR(VLOOKUP(Vaktplan!$A$58,Vaktplan!$AY$4:$CL$35,86-AH66,FALSE),0)</f>
        <v>0</v>
      </c>
      <c r="H13" s="77">
        <f>IFERROR(VLOOKUP(Vaktplan!$A$58,Vaktplan!$AY$4:$CL$35,86-AG66,FALSE),0)</f>
        <v>0</v>
      </c>
      <c r="I13" s="9">
        <f>IFERROR(VLOOKUP(Vaktplan!$A$58,Vaktplan!$AY$4:$CL$35,89-$AH66,FALSE),0)</f>
        <v>0</v>
      </c>
      <c r="J13" s="9">
        <f t="shared" si="3"/>
        <v>0</v>
      </c>
      <c r="K13" s="9">
        <f t="shared" si="4"/>
        <v>24</v>
      </c>
      <c r="L13" s="77">
        <f>IFERROR(VLOOKUP(Vaktplan!$A$58,Vaktplan!$AZ$4:$CL$35,86-AI66,FALSE),0)</f>
        <v>0</v>
      </c>
      <c r="M13" s="77">
        <f>IFERROR(VLOOKUP(Vaktplan!$A$58,Vaktplan!$AZ$4:$CL$35,86-AH66,FALSE),0)</f>
        <v>0</v>
      </c>
      <c r="N13" s="9">
        <f>IFERROR(VLOOKUP(Vaktplan!$A$58,Vaktplan!$AZ$4:$CL$35,89-$AI66,FALSE),0)</f>
        <v>0</v>
      </c>
      <c r="O13" s="9">
        <f t="shared" si="5"/>
        <v>0</v>
      </c>
      <c r="P13" s="9">
        <f t="shared" si="6"/>
        <v>24</v>
      </c>
      <c r="Q13" s="77">
        <f>IFERROR(VLOOKUP(Vaktplan!$A$58,Vaktplan!$BA$4:$CL$35,86-AJ66,FALSE),0)</f>
        <v>0</v>
      </c>
      <c r="R13" s="77">
        <f>IFERROR(VLOOKUP(Vaktplan!$A$58,Vaktplan!$BA$4:$CL$35,86-AI66,FALSE),0)</f>
        <v>0</v>
      </c>
      <c r="S13" s="9">
        <f>IFERROR(VLOOKUP(Vaktplan!$A$58,Vaktplan!$BA$4:$CL$35,89-$AJ66,FALSE),0)</f>
        <v>0</v>
      </c>
      <c r="T13" s="9">
        <f t="shared" si="0"/>
        <v>0</v>
      </c>
      <c r="U13" s="9">
        <f t="shared" si="7"/>
        <v>24</v>
      </c>
      <c r="V13" s="77">
        <f>IFERROR(VLOOKUP(Vaktplan!$A$58,Vaktplan!$BB$4:$CL$35,86-AK66,FALSE),0)</f>
        <v>0</v>
      </c>
      <c r="W13" s="77">
        <f>IFERROR(VLOOKUP(Vaktplan!$A$58,Vaktplan!$BB$4:$CL$35,86-AJ66,FALSE),0)</f>
        <v>0</v>
      </c>
      <c r="X13" s="9">
        <f>IFERROR(VLOOKUP(Vaktplan!$A$58,Vaktplan!$BB$4:$CL$35,89-$AK66,FALSE),0)</f>
        <v>0</v>
      </c>
      <c r="Y13" s="9">
        <f t="shared" si="8"/>
        <v>0</v>
      </c>
      <c r="Z13" s="9">
        <f t="shared" si="9"/>
        <v>24</v>
      </c>
      <c r="AA13" s="77">
        <f>IFERROR(VLOOKUP(Vaktplan!$A$58,Vaktplan!$BC$4:$CL$35,86-AL66,FALSE),0)</f>
        <v>0</v>
      </c>
      <c r="AB13" s="77">
        <f>IFERROR(VLOOKUP(Vaktplan!$A$58,Vaktplan!$BC$4:$CL$35,86-AK66,FALSE),0)</f>
        <v>0</v>
      </c>
      <c r="AC13" s="9">
        <f>IFERROR(VLOOKUP(Vaktplan!$A$58,Vaktplan!$BC$4:$CL$35,89-$AL66,FALSE),0)</f>
        <v>0</v>
      </c>
      <c r="AD13" s="9">
        <f t="shared" si="10"/>
        <v>0</v>
      </c>
      <c r="AE13" s="9">
        <f t="shared" si="11"/>
        <v>24</v>
      </c>
      <c r="AF13" s="77">
        <f>IFERROR(VLOOKUP(Vaktplan!$A$58,Vaktplan!$BD$4:$CL$35,86-AM66,FALSE),0)</f>
        <v>0</v>
      </c>
      <c r="AG13" s="77">
        <f>IFERROR(VLOOKUP(Vaktplan!$A$58,Vaktplan!$BD$4:$CL$35,86-AL66,FALSE),0)</f>
        <v>0</v>
      </c>
      <c r="AH13" s="9">
        <f>IFERROR(VLOOKUP(Vaktplan!$A$58,Vaktplan!$BD$4:$CL$35,89-$AM66,FALSE),0)</f>
        <v>0</v>
      </c>
      <c r="AI13" s="9">
        <f t="shared" si="12"/>
        <v>0</v>
      </c>
      <c r="AJ13" s="9">
        <f t="shared" si="13"/>
        <v>24</v>
      </c>
      <c r="AK13" s="9">
        <f t="shared" si="1"/>
        <v>0</v>
      </c>
      <c r="AL13" s="92">
        <f t="shared" si="14"/>
        <v>24</v>
      </c>
      <c r="AM13" s="10">
        <f t="shared" si="15"/>
        <v>0</v>
      </c>
    </row>
    <row r="14" spans="1:39" ht="13" x14ac:dyDescent="0.25">
      <c r="A14" s="7">
        <v>9</v>
      </c>
      <c r="B14" s="77">
        <f>IFERROR(VLOOKUP(Vaktplan!$A$58,Vaktplan!$BE$4:$CL$35,87-AH67,FALSE),0)</f>
        <v>0</v>
      </c>
      <c r="C14" s="77">
        <f>IFERROR(VLOOKUP(Vaktplan!$A$58,Vaktplan!$BE$4:$CL$35,87-AG67,FALSE),0)</f>
        <v>0</v>
      </c>
      <c r="D14" s="9">
        <f>IFERROR(VLOOKUP(Vaktplan!$A$58,Vaktplan!$BE$4:$CL$35,89-AG67,FALSE),0)</f>
        <v>0</v>
      </c>
      <c r="E14" s="9">
        <f t="shared" si="16"/>
        <v>0</v>
      </c>
      <c r="F14" s="9">
        <f t="shared" si="2"/>
        <v>24</v>
      </c>
      <c r="G14" s="77">
        <f>IFERROR(VLOOKUP(Vaktplan!$A$58,Vaktplan!$BF$4:$CL$35,86-AH67,FALSE),0)</f>
        <v>0</v>
      </c>
      <c r="H14" s="77">
        <f>IFERROR(VLOOKUP(Vaktplan!$A$58,Vaktplan!$BF$4:$CL$35,86-AG67,FALSE),0)</f>
        <v>0</v>
      </c>
      <c r="I14" s="9">
        <f>IFERROR(VLOOKUP(Vaktplan!$A$58,Vaktplan!$BF$4:$CL$35,89-$AH67,FALSE),0)</f>
        <v>0</v>
      </c>
      <c r="J14" s="9">
        <f t="shared" si="3"/>
        <v>0</v>
      </c>
      <c r="K14" s="9">
        <f t="shared" si="4"/>
        <v>24</v>
      </c>
      <c r="L14" s="77">
        <f>IFERROR(VLOOKUP(Vaktplan!$A$58,Vaktplan!$BG$4:$CL$35,86-AI67,FALSE),0)</f>
        <v>0</v>
      </c>
      <c r="M14" s="77">
        <f>IFERROR(VLOOKUP(Vaktplan!$A$58,Vaktplan!$BG$4:$CL$35,86-AH67,FALSE),0)</f>
        <v>0</v>
      </c>
      <c r="N14" s="9">
        <f>IFERROR(VLOOKUP(Vaktplan!$A$58,Vaktplan!$BG$4:$CL$35,89-$AI67,FALSE),0)</f>
        <v>0</v>
      </c>
      <c r="O14" s="9">
        <f t="shared" si="5"/>
        <v>0</v>
      </c>
      <c r="P14" s="9">
        <f t="shared" si="6"/>
        <v>24</v>
      </c>
      <c r="Q14" s="77">
        <f>IFERROR(VLOOKUP(Vaktplan!$A$58,Vaktplan!$BH$4:$CL$35,86-AJ67,FALSE),0)</f>
        <v>0</v>
      </c>
      <c r="R14" s="77">
        <f>IFERROR(VLOOKUP(Vaktplan!$A$58,Vaktplan!$BH$4:$CL$35,86-AI67,FALSE),0)</f>
        <v>0</v>
      </c>
      <c r="S14" s="9">
        <f>IFERROR(VLOOKUP(Vaktplan!$A$58,Vaktplan!$BH$4:$CL$35,89-$AJ67,FALSE),0)</f>
        <v>0</v>
      </c>
      <c r="T14" s="9">
        <f t="shared" si="0"/>
        <v>0</v>
      </c>
      <c r="U14" s="9">
        <f t="shared" si="7"/>
        <v>24</v>
      </c>
      <c r="V14" s="77">
        <f>IFERROR(VLOOKUP(Vaktplan!$A$58,Vaktplan!$BI$4:$CL$35,86-AK67,FALSE),0)</f>
        <v>0</v>
      </c>
      <c r="W14" s="77">
        <f>IFERROR(VLOOKUP(Vaktplan!$A$58,Vaktplan!$BI$4:$CL$35,86-AJ67,FALSE),0)</f>
        <v>0</v>
      </c>
      <c r="X14" s="9">
        <f>IFERROR(VLOOKUP(Vaktplan!$A$58,Vaktplan!$BI$4:$CL$35,89-$AK67,FALSE),0)</f>
        <v>0</v>
      </c>
      <c r="Y14" s="9">
        <f>IF(AND(V14=0,W14=0),0,IF(V14&lt;W14,((W14-V14)*24)-X14,(((1-V14)+W14)*24)-X14))</f>
        <v>0</v>
      </c>
      <c r="Z14" s="9">
        <f t="shared" si="9"/>
        <v>24</v>
      </c>
      <c r="AA14" s="77">
        <f>IFERROR(VLOOKUP(Vaktplan!$A$58,Vaktplan!$BJ$4:$CL$35,86-AL67,FALSE),0)</f>
        <v>0</v>
      </c>
      <c r="AB14" s="77">
        <f>IFERROR(VLOOKUP(Vaktplan!$A$58,Vaktplan!$BJ$4:$CL$35,86-AK67,FALSE),0)</f>
        <v>0</v>
      </c>
      <c r="AC14" s="9">
        <f>IFERROR(VLOOKUP(Vaktplan!$A$58,Vaktplan!$BJ$4:$CL$35,89-$AL67,FALSE),0)</f>
        <v>0</v>
      </c>
      <c r="AD14" s="9">
        <f>IF(AND(AA14=0,AB14=0),0,IF(AA14&lt;AB14,((AB14-AA14)*24)-AC14,(((1-AA14)+AB14)*24)-AC14))</f>
        <v>0</v>
      </c>
      <c r="AE14" s="9">
        <f t="shared" si="11"/>
        <v>24</v>
      </c>
      <c r="AF14" s="77">
        <f>IFERROR(VLOOKUP(Vaktplan!$A$58,Vaktplan!$BK$4:$CL$35,86-AM67,FALSE),0)</f>
        <v>0</v>
      </c>
      <c r="AG14" s="77">
        <f>IFERROR(VLOOKUP(Vaktplan!$A$58,Vaktplan!$BK$4:$CL$35,86-AL67,FALSE),0)</f>
        <v>0</v>
      </c>
      <c r="AH14" s="9">
        <f>IFERROR(VLOOKUP(Vaktplan!$A$58,Vaktplan!$BK$4:$CL$35,89-$AM67,FALSE),0)</f>
        <v>0</v>
      </c>
      <c r="AI14" s="9">
        <f>IF(AND(AF14=0,AG14=0),0,IF(AF14&lt;AG14,((AG14-AF14)*24)-AH14,(((1-AF14)+AG14)*24)-AH14))</f>
        <v>0</v>
      </c>
      <c r="AJ14" s="9">
        <f t="shared" si="13"/>
        <v>24</v>
      </c>
      <c r="AK14" s="9">
        <f t="shared" si="1"/>
        <v>0</v>
      </c>
      <c r="AL14" s="92"/>
      <c r="AM14" s="10"/>
    </row>
    <row r="15" spans="1:39" ht="13" x14ac:dyDescent="0.25">
      <c r="A15" s="7">
        <v>10</v>
      </c>
      <c r="B15" s="77">
        <f>IFERROR(VLOOKUP(Vaktplan!$A$58,Vaktplan!$BL$4:$CL$35,87-AH68,FALSE),0)</f>
        <v>0</v>
      </c>
      <c r="C15" s="77">
        <f>IFERROR(VLOOKUP(Vaktplan!$A$58,Vaktplan!$BL$4:$CL$35,87-AG68,FALSE),0)</f>
        <v>0</v>
      </c>
      <c r="D15" s="9">
        <f>IFERROR(VLOOKUP(Vaktplan!$A$58,Vaktplan!$BL$4:$CL$35,89-AG68,FALSE),0)</f>
        <v>0</v>
      </c>
      <c r="E15" s="9">
        <f t="shared" si="16"/>
        <v>0</v>
      </c>
      <c r="F15" s="9">
        <f t="shared" si="2"/>
        <v>24</v>
      </c>
      <c r="G15" s="77">
        <f>IFERROR(VLOOKUP(Vaktplan!$A$58,Vaktplan!$BM$4:$CL$35,86-AH68,FALSE),0)</f>
        <v>0</v>
      </c>
      <c r="H15" s="77">
        <f>IFERROR(VLOOKUP(Vaktplan!$A$58,Vaktplan!$BM$4:$CL$35,86-AG68,FALSE),0)</f>
        <v>0</v>
      </c>
      <c r="I15" s="9">
        <f>IFERROR(VLOOKUP(Vaktplan!$A$58,Vaktplan!$BM$4:$CL$35,89-$AH68,FALSE),0)</f>
        <v>0</v>
      </c>
      <c r="J15" s="9">
        <f t="shared" si="3"/>
        <v>0</v>
      </c>
      <c r="K15" s="9">
        <f t="shared" si="4"/>
        <v>24</v>
      </c>
      <c r="L15" s="77">
        <f>IFERROR(VLOOKUP(Vaktplan!$A$58,Vaktplan!$BN$4:$CL$35,86-AI68,FALSE),0)</f>
        <v>0</v>
      </c>
      <c r="M15" s="77">
        <f>IFERROR(VLOOKUP(Vaktplan!$A$58,Vaktplan!$BN$4:$CL$35,86-AH68,FALSE),0)</f>
        <v>0</v>
      </c>
      <c r="N15" s="9">
        <f>IFERROR(VLOOKUP(Vaktplan!$A$58,Vaktplan!$BN$4:$CL$35,89-$AI68,FALSE),0)</f>
        <v>0</v>
      </c>
      <c r="O15" s="9">
        <f t="shared" si="5"/>
        <v>0</v>
      </c>
      <c r="P15" s="9">
        <f t="shared" si="6"/>
        <v>24</v>
      </c>
      <c r="Q15" s="77">
        <f>IFERROR(VLOOKUP(Vaktplan!$A$58,Vaktplan!$BO$4:$CL$35,86-AJ68,FALSE),0)</f>
        <v>0</v>
      </c>
      <c r="R15" s="77">
        <f>IFERROR(VLOOKUP(Vaktplan!$A$58,Vaktplan!$BO$4:$CL$35,86-AI68,FALSE),0)</f>
        <v>0</v>
      </c>
      <c r="S15" s="9">
        <f>IFERROR(VLOOKUP(Vaktplan!$A$58,Vaktplan!$BO$4:$CL$35,89-$AJ68,FALSE),0)</f>
        <v>0</v>
      </c>
      <c r="T15" s="9">
        <f t="shared" si="0"/>
        <v>0</v>
      </c>
      <c r="U15" s="9">
        <f t="shared" si="7"/>
        <v>24</v>
      </c>
      <c r="V15" s="77">
        <f>IFERROR(VLOOKUP(Vaktplan!$A$58,Vaktplan!$BP$4:$CL$35,86-AK68,FALSE),0)</f>
        <v>0</v>
      </c>
      <c r="W15" s="77">
        <f>IFERROR(VLOOKUP(Vaktplan!$A$58,Vaktplan!$BP$4:$CL$35,86-AJ68,FALSE),0)</f>
        <v>0</v>
      </c>
      <c r="X15" s="9">
        <f>IFERROR(VLOOKUP(Vaktplan!$A$58,Vaktplan!$BP$4:$CL$35,89-$AK68,FALSE),0)</f>
        <v>0</v>
      </c>
      <c r="Y15" s="9">
        <f>IF(AND(V15=0,W15=0),0,IF(V15&lt;W15,((W15-V15)*24)-X15,(((1-V15)+W15)*24)-X15))</f>
        <v>0</v>
      </c>
      <c r="Z15" s="9">
        <f t="shared" si="9"/>
        <v>24</v>
      </c>
      <c r="AA15" s="77">
        <f>IFERROR(VLOOKUP(Vaktplan!$A$58,Vaktplan!$BQ$4:$CL$35,86-AL68,FALSE),0)</f>
        <v>0</v>
      </c>
      <c r="AB15" s="77">
        <f>IFERROR(VLOOKUP(Vaktplan!$A$58,Vaktplan!$BQ$4:$CL$35,86-AK68,FALSE),0)</f>
        <v>0</v>
      </c>
      <c r="AC15" s="9">
        <f>IFERROR(VLOOKUP(Vaktplan!$A$58,Vaktplan!$BQ$4:$CL$35,89-$AL68,FALSE),0)</f>
        <v>0</v>
      </c>
      <c r="AD15" s="9">
        <f>IF(AND(AA15=0,AB15=0),0,IF(AA15&lt;AB15,((AB15-AA15)*24)-AC15,(((1-AA15)+AB15)*24)-AC15))</f>
        <v>0</v>
      </c>
      <c r="AE15" s="9">
        <f t="shared" si="11"/>
        <v>24</v>
      </c>
      <c r="AF15" s="77">
        <f>IFERROR(VLOOKUP(Vaktplan!$A$58,Vaktplan!$BR$4:$CL$35,86-AM68,FALSE),0)</f>
        <v>0</v>
      </c>
      <c r="AG15" s="77">
        <f>IFERROR(VLOOKUP(Vaktplan!$A$58,Vaktplan!$BR$4:$CL$35,86-AL68,FALSE),0)</f>
        <v>0</v>
      </c>
      <c r="AH15" s="9">
        <f>IFERROR(VLOOKUP(Vaktplan!$A$58,Vaktplan!$BR$4:$CL$35,89-$AM68,FALSE),0)</f>
        <v>0</v>
      </c>
      <c r="AI15" s="9">
        <f>IF(AND(AF15=0,AG15=0),0,IF(AF15&lt;AG15,((AG15-AF15)*24)-AH15,(((1-AF15)+AG15)*24)-AH15))</f>
        <v>0</v>
      </c>
      <c r="AJ15" s="9">
        <f t="shared" si="13"/>
        <v>24</v>
      </c>
      <c r="AK15" s="9">
        <f t="shared" si="1"/>
        <v>0</v>
      </c>
      <c r="AL15" s="92"/>
      <c r="AM15" s="10"/>
    </row>
    <row r="16" spans="1:39" ht="13" x14ac:dyDescent="0.25">
      <c r="A16" s="7">
        <v>11</v>
      </c>
      <c r="B16" s="77">
        <f>IFERROR(VLOOKUP(Vaktplan!$A$58,Vaktplan!$BS$4:$CL$35,87-AH69,FALSE),0)</f>
        <v>0</v>
      </c>
      <c r="C16" s="77">
        <f>IFERROR(VLOOKUP(Vaktplan!$A$58,Vaktplan!$BS$4:$CL$35,87-AG69,FALSE),0)</f>
        <v>0</v>
      </c>
      <c r="D16" s="9">
        <f>IFERROR(VLOOKUP(Vaktplan!$A$58,Vaktplan!$BS$4:$CL$35,89-AG69,FALSE),0)</f>
        <v>0</v>
      </c>
      <c r="E16" s="9">
        <f t="shared" si="16"/>
        <v>0</v>
      </c>
      <c r="F16" s="9">
        <f t="shared" si="2"/>
        <v>24</v>
      </c>
      <c r="G16" s="77">
        <f>IFERROR(VLOOKUP(Vaktplan!$A$58,Vaktplan!$BT$4:$CL$35,86-AH69,FALSE),0)</f>
        <v>0</v>
      </c>
      <c r="H16" s="77">
        <f>IFERROR(VLOOKUP(Vaktplan!$A$58,Vaktplan!$BT$4:$CL$35,86-AG69,FALSE),0)</f>
        <v>0</v>
      </c>
      <c r="I16" s="9">
        <f>IFERROR(VLOOKUP(Vaktplan!$A$58,Vaktplan!$BT$4:$CL$35,89-$AH69,FALSE),0)</f>
        <v>0</v>
      </c>
      <c r="J16" s="9">
        <f t="shared" si="3"/>
        <v>0</v>
      </c>
      <c r="K16" s="9">
        <f t="shared" si="4"/>
        <v>24</v>
      </c>
      <c r="L16" s="77">
        <f>IFERROR(VLOOKUP(Vaktplan!$A$58,Vaktplan!$BU$4:$CL$35,86-AI69,FALSE),0)</f>
        <v>0</v>
      </c>
      <c r="M16" s="77">
        <f>IFERROR(VLOOKUP(Vaktplan!$A$58,Vaktplan!$BU$4:$CL$35,86-AH69,FALSE),0)</f>
        <v>0</v>
      </c>
      <c r="N16" s="9">
        <f>IFERROR(VLOOKUP(Vaktplan!$A$58,Vaktplan!$BU$4:$CL$35,89-$AI69,FALSE),0)</f>
        <v>0</v>
      </c>
      <c r="O16" s="9">
        <f t="shared" si="5"/>
        <v>0</v>
      </c>
      <c r="P16" s="9">
        <f t="shared" si="6"/>
        <v>24</v>
      </c>
      <c r="Q16" s="77">
        <f>IFERROR(VLOOKUP(Vaktplan!$A$58,Vaktplan!$BV$4:$CL$35,86-AJ69,FALSE),0)</f>
        <v>0</v>
      </c>
      <c r="R16" s="77">
        <f>IFERROR(VLOOKUP(Vaktplan!$A$58,Vaktplan!$BV$4:$CL$35,86-AI69,FALSE),0)</f>
        <v>0</v>
      </c>
      <c r="S16" s="9">
        <f>IFERROR(VLOOKUP(Vaktplan!$A$58,Vaktplan!$BV$4:$CL$35,89-$AJ69,FALSE),0)</f>
        <v>0</v>
      </c>
      <c r="T16" s="9">
        <f t="shared" si="0"/>
        <v>0</v>
      </c>
      <c r="U16" s="9">
        <f t="shared" si="7"/>
        <v>24</v>
      </c>
      <c r="V16" s="77">
        <f>IFERROR(VLOOKUP(Vaktplan!$A$58,Vaktplan!$BW$4:$CL$35,86-AK69,FALSE),0)</f>
        <v>0</v>
      </c>
      <c r="W16" s="77">
        <f>IFERROR(VLOOKUP(Vaktplan!$A$58,Vaktplan!$BW$4:$CL$35,86-AJ69,FALSE),0)</f>
        <v>0</v>
      </c>
      <c r="X16" s="9">
        <f>IFERROR(VLOOKUP(Vaktplan!$A$58,Vaktplan!$BW$4:$CL$35,89-$AK69,FALSE),0)</f>
        <v>0</v>
      </c>
      <c r="Y16" s="9">
        <f>IF(AND(V16=0,W16=0),0,IF(V16&lt;W16,((W16-V16)*24)-X16,(((1-V16)+W16)*24)-X16))</f>
        <v>0</v>
      </c>
      <c r="Z16" s="9">
        <f t="shared" si="9"/>
        <v>24</v>
      </c>
      <c r="AA16" s="77">
        <f>IFERROR(VLOOKUP(Vaktplan!$A$58,Vaktplan!$BX$4:$CL$35,86-AL69,FALSE),0)</f>
        <v>0</v>
      </c>
      <c r="AB16" s="77">
        <f>IFERROR(VLOOKUP(Vaktplan!$A$58,Vaktplan!$BX$4:$CL$35,86-AK69,FALSE),0)</f>
        <v>0</v>
      </c>
      <c r="AC16" s="9">
        <f>IFERROR(VLOOKUP(Vaktplan!$A$58,Vaktplan!$BX$4:$CL$35,89-$AL69,FALSE),0)</f>
        <v>0</v>
      </c>
      <c r="AD16" s="9">
        <f>IF(AND(AA16=0,AB16=0),0,IF(AA16&lt;AB16,((AB16-AA16)*24)-AC16,(((1-AA16)+AB16)*24)-AC16))</f>
        <v>0</v>
      </c>
      <c r="AE16" s="9">
        <f t="shared" si="11"/>
        <v>24</v>
      </c>
      <c r="AF16" s="77">
        <f>IFERROR(VLOOKUP(Vaktplan!$A$58,Vaktplan!$BY$4:$CL$35,86-AM69,FALSE),0)</f>
        <v>0</v>
      </c>
      <c r="AG16" s="77">
        <f>IFERROR(VLOOKUP(Vaktplan!$A$58,Vaktplan!$BY$4:$CL$35,86-AL69,FALSE),0)</f>
        <v>0</v>
      </c>
      <c r="AH16" s="9">
        <f>IFERROR(VLOOKUP(Vaktplan!$A$58,Vaktplan!$BY$4:$CL$35,89-$AM69,FALSE),0)</f>
        <v>0</v>
      </c>
      <c r="AI16" s="9">
        <f>IF(AND(AF16=0,AG16=0),0,IF(AF16&lt;AG16,((AG16-AF16)*24)-AH16,(((1-AF16)+AG16)*24)-AH16))</f>
        <v>0</v>
      </c>
      <c r="AJ16" s="9">
        <f t="shared" si="13"/>
        <v>24</v>
      </c>
      <c r="AK16" s="9">
        <f t="shared" si="1"/>
        <v>0</v>
      </c>
      <c r="AL16" s="92"/>
      <c r="AM16" s="10"/>
    </row>
    <row r="17" spans="1:43" ht="13" x14ac:dyDescent="0.25">
      <c r="A17" s="7">
        <v>12</v>
      </c>
      <c r="B17" s="77">
        <f>IFERROR(VLOOKUP(Vaktplan!$A$58,Vaktplan!$BZ$4:$CL$35,87-AH70,FALSE),0)</f>
        <v>0</v>
      </c>
      <c r="C17" s="77">
        <f>IFERROR(VLOOKUP(Vaktplan!$A$58,Vaktplan!$BZ$4:$CL$35,87-AG70,FALSE),0)</f>
        <v>0</v>
      </c>
      <c r="D17" s="9">
        <f>IFERROR(VLOOKUP(Vaktplan!$A$58,Vaktplan!$BZ$4:$CL$35,89-AG70,FALSE),0)</f>
        <v>0</v>
      </c>
      <c r="E17" s="9">
        <f t="shared" si="16"/>
        <v>0</v>
      </c>
      <c r="F17" s="9">
        <f t="shared" si="2"/>
        <v>24</v>
      </c>
      <c r="G17" s="77">
        <f>IFERROR(VLOOKUP(Vaktplan!$A$58,Vaktplan!$CA$4:$CL$35,86-AH70,FALSE),0)</f>
        <v>0</v>
      </c>
      <c r="H17" s="77">
        <f>IFERROR(VLOOKUP(Vaktplan!$A$58,Vaktplan!$CA$4:$CL$35,86-AG70,FALSE),0)</f>
        <v>0</v>
      </c>
      <c r="I17" s="9">
        <f>IFERROR(VLOOKUP(Vaktplan!$A$58,Vaktplan!$CA$4:$CL$35,89-$AH70,FALSE),0)</f>
        <v>0</v>
      </c>
      <c r="J17" s="9">
        <f t="shared" si="3"/>
        <v>0</v>
      </c>
      <c r="K17" s="9">
        <f t="shared" si="4"/>
        <v>24</v>
      </c>
      <c r="L17" s="77">
        <f>IFERROR(VLOOKUP(Vaktplan!$A$58,Vaktplan!$CB$4:$CL$35,86-AI70,FALSE),0)</f>
        <v>0</v>
      </c>
      <c r="M17" s="77">
        <f>IFERROR(VLOOKUP(Vaktplan!$A$58,Vaktplan!$CB$4:$CL$35,86-AH70,FALSE),0)</f>
        <v>0</v>
      </c>
      <c r="N17" s="9">
        <f>IFERROR(VLOOKUP(Vaktplan!$A$58,Vaktplan!$CB$4:$CL$35,89-$AI70,FALSE),0)</f>
        <v>0</v>
      </c>
      <c r="O17" s="9">
        <f t="shared" si="5"/>
        <v>0</v>
      </c>
      <c r="P17" s="9">
        <f t="shared" si="6"/>
        <v>24</v>
      </c>
      <c r="Q17" s="77">
        <f>IFERROR(VLOOKUP(Vaktplan!$A$58,Vaktplan!$CC$4:$CL$35,86-AJ70,FALSE),0)</f>
        <v>0</v>
      </c>
      <c r="R17" s="77">
        <f>IFERROR(VLOOKUP(Vaktplan!$A$58,Vaktplan!$CC$4:$CL$35,86-AI70,FALSE),0)</f>
        <v>0</v>
      </c>
      <c r="S17" s="9">
        <f>IFERROR(VLOOKUP(Vaktplan!$A$58,Vaktplan!$CC$4:$CL$35,89-$AJ70,FALSE),0)</f>
        <v>0</v>
      </c>
      <c r="T17" s="9">
        <f t="shared" si="0"/>
        <v>0</v>
      </c>
      <c r="U17" s="9">
        <f t="shared" si="7"/>
        <v>24</v>
      </c>
      <c r="V17" s="77">
        <f>IFERROR(VLOOKUP(Vaktplan!$A$58,Vaktplan!$CD$4:$CL$35,86-AK70,FALSE),0)</f>
        <v>0</v>
      </c>
      <c r="W17" s="77">
        <f>IFERROR(VLOOKUP(Vaktplan!$A$58,Vaktplan!$CD$4:$CL$35,86-AJ70,FALSE),0)</f>
        <v>0</v>
      </c>
      <c r="X17" s="9">
        <f>IFERROR(VLOOKUP(Vaktplan!$A$58,Vaktplan!$CD$4:$CL$35,89-$AK70,FALSE),0)</f>
        <v>0</v>
      </c>
      <c r="Y17" s="9">
        <f>IF(AND(V17=0,W17=0),0,IF(V17&lt;W17,((W17-V17)*24)-X17,(((1-V17)+W17)*24)-X17))</f>
        <v>0</v>
      </c>
      <c r="Z17" s="9">
        <f t="shared" si="9"/>
        <v>24</v>
      </c>
      <c r="AA17" s="77">
        <f>IFERROR(VLOOKUP(Vaktplan!$A$58,Vaktplan!$CE$4:$CL$35,86-AL70,FALSE),0)</f>
        <v>0</v>
      </c>
      <c r="AB17" s="77">
        <f>IFERROR(VLOOKUP(Vaktplan!$A$58,Vaktplan!$CE$4:$CL$35,86-AK70,FALSE),0)</f>
        <v>0</v>
      </c>
      <c r="AC17" s="9">
        <f>IFERROR(VLOOKUP(Vaktplan!$A$58,Vaktplan!$CE$4:$FCE$35,89-$AL70,FALSE),0)</f>
        <v>0</v>
      </c>
      <c r="AD17" s="9">
        <f>IF(AND(AA17=0,AB17=0),0,IF(AA17&lt;AB17,((AB17-AA17)*24)-AC17,(((1-AA17)+AB17)*24)-AC17))</f>
        <v>0</v>
      </c>
      <c r="AE17" s="9">
        <f t="shared" si="11"/>
        <v>24</v>
      </c>
      <c r="AF17" s="77">
        <f>IFERROR(VLOOKUP(Vaktplan!$A$58,Vaktplan!$CF$4:$CL$35,86-AM70,FALSE),0)</f>
        <v>0</v>
      </c>
      <c r="AG17" s="77">
        <f>IFERROR(VLOOKUP(Vaktplan!$A$58,Vaktplan!$CF$4:$CL$35,86-AL70,FALSE),0)</f>
        <v>0</v>
      </c>
      <c r="AH17" s="9">
        <f>IFERROR(VLOOKUP(Vaktplan!$A$58,Vaktplan!$CF$4:$CL$35,89-$AM70,FALSE),0)</f>
        <v>0</v>
      </c>
      <c r="AI17" s="9">
        <f>IF(AND(AF17=0,AG17=0),0,IF(AF17&lt;AG17,((AG17-AF17)*24)-AH17,(((1-AF17)+AG17)*24)-AH17))</f>
        <v>0</v>
      </c>
      <c r="AJ17" s="9">
        <f t="shared" si="13"/>
        <v>24</v>
      </c>
      <c r="AK17" s="9">
        <f t="shared" si="1"/>
        <v>0</v>
      </c>
      <c r="AL17" s="92"/>
      <c r="AM17" s="10"/>
    </row>
    <row r="19" spans="1:43" ht="13" x14ac:dyDescent="0.3">
      <c r="A19" s="4" t="s">
        <v>76</v>
      </c>
    </row>
    <row r="20" spans="1:43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3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3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3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3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6" spans="1:43" ht="13" x14ac:dyDescent="0.3">
      <c r="A26" s="4" t="s">
        <v>77</v>
      </c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</row>
    <row r="27" spans="1:43" ht="13" x14ac:dyDescent="0.3">
      <c r="A27" s="3" t="s">
        <v>78</v>
      </c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80" t="s">
        <v>79</v>
      </c>
      <c r="AM27" s="78"/>
      <c r="AN27" s="78"/>
      <c r="AO27" s="78"/>
    </row>
    <row r="28" spans="1:43" ht="13" x14ac:dyDescent="0.3">
      <c r="A28" s="98" t="s">
        <v>36</v>
      </c>
      <c r="B28" s="98"/>
      <c r="C28" s="98"/>
      <c r="D28" s="88"/>
      <c r="E28" s="8">
        <f>E2</f>
        <v>0</v>
      </c>
      <c r="F28" s="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>
        <v>1</v>
      </c>
      <c r="AM28" s="78"/>
      <c r="AN28" s="78"/>
      <c r="AO28" s="78"/>
    </row>
    <row r="29" spans="1:43" ht="13" x14ac:dyDescent="0.3">
      <c r="A29" s="98" t="s">
        <v>80</v>
      </c>
      <c r="B29" s="98"/>
      <c r="C29" s="98"/>
      <c r="D29" s="88"/>
      <c r="E29" s="5">
        <f>E3</f>
        <v>0</v>
      </c>
      <c r="F29" s="5"/>
      <c r="T29" s="10"/>
      <c r="U29" s="10"/>
      <c r="V29" s="10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80" t="s">
        <v>81</v>
      </c>
      <c r="AH29" s="80"/>
      <c r="AI29" s="78"/>
      <c r="AJ29" s="78"/>
      <c r="AK29" s="78"/>
      <c r="AL29" s="78">
        <v>2</v>
      </c>
      <c r="AM29" s="78"/>
      <c r="AN29" s="78"/>
      <c r="AO29" s="78"/>
      <c r="AP29" s="10"/>
      <c r="AQ29" s="10"/>
    </row>
    <row r="30" spans="1:43" ht="13" x14ac:dyDescent="0.3">
      <c r="A30" s="98" t="s">
        <v>82</v>
      </c>
      <c r="B30" s="98"/>
      <c r="C30" s="98"/>
      <c r="D30" s="88"/>
      <c r="T30" s="10"/>
      <c r="U30" s="10"/>
      <c r="V30" s="10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>
        <v>3</v>
      </c>
      <c r="AM30" s="78"/>
      <c r="AN30" s="78"/>
      <c r="AO30" s="78"/>
      <c r="AP30" s="10"/>
      <c r="AQ30" s="10"/>
    </row>
    <row r="31" spans="1:43" ht="13" x14ac:dyDescent="0.3">
      <c r="A31" s="4" t="s">
        <v>83</v>
      </c>
      <c r="B31" s="4" t="s">
        <v>84</v>
      </c>
      <c r="C31" s="4" t="s">
        <v>85</v>
      </c>
      <c r="D31" s="98" t="s">
        <v>86</v>
      </c>
      <c r="E31" s="98"/>
      <c r="F31" s="4" t="s">
        <v>87</v>
      </c>
      <c r="G31" s="4" t="s">
        <v>88</v>
      </c>
      <c r="H31" s="98" t="s">
        <v>27</v>
      </c>
      <c r="I31" s="98"/>
      <c r="J31" s="4" t="s">
        <v>28</v>
      </c>
      <c r="K31" s="4" t="s">
        <v>29</v>
      </c>
      <c r="L31" s="4" t="s">
        <v>30</v>
      </c>
      <c r="M31" s="4" t="s">
        <v>31</v>
      </c>
      <c r="N31" s="98" t="s">
        <v>32</v>
      </c>
      <c r="O31" s="98"/>
      <c r="T31" s="10"/>
      <c r="U31" s="10"/>
      <c r="V31" s="10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80" t="s">
        <v>9</v>
      </c>
      <c r="AH31" s="80"/>
      <c r="AI31" s="78"/>
      <c r="AJ31" s="78"/>
      <c r="AK31" s="78"/>
      <c r="AL31" s="78">
        <v>4</v>
      </c>
      <c r="AM31" s="78"/>
      <c r="AN31" s="78"/>
      <c r="AO31" s="78"/>
      <c r="AP31" s="10"/>
      <c r="AQ31" s="10"/>
    </row>
    <row r="32" spans="1:43" ht="13" x14ac:dyDescent="0.3">
      <c r="A32" s="3">
        <f>AK6</f>
        <v>0</v>
      </c>
      <c r="B32" s="3">
        <f>AK7</f>
        <v>0</v>
      </c>
      <c r="C32" s="3">
        <f>AK8</f>
        <v>0</v>
      </c>
      <c r="D32" s="101">
        <f>AK9</f>
        <v>0</v>
      </c>
      <c r="E32" s="101"/>
      <c r="F32" s="3">
        <f>AK10</f>
        <v>0</v>
      </c>
      <c r="G32" s="3">
        <f>AK11</f>
        <v>0</v>
      </c>
      <c r="H32" s="101">
        <f>AK12</f>
        <v>0</v>
      </c>
      <c r="I32" s="101"/>
      <c r="J32" s="3">
        <f>AK13</f>
        <v>0</v>
      </c>
      <c r="K32" s="3">
        <f>AK14</f>
        <v>0</v>
      </c>
      <c r="L32" s="3">
        <f>AK15</f>
        <v>0</v>
      </c>
      <c r="M32" s="3">
        <f>AK16</f>
        <v>0</v>
      </c>
      <c r="N32" s="101">
        <f>AK17</f>
        <v>0</v>
      </c>
      <c r="O32" s="101"/>
      <c r="T32" s="11" t="s">
        <v>70</v>
      </c>
      <c r="U32" s="10" t="s">
        <v>89</v>
      </c>
      <c r="V32" s="10" t="s">
        <v>90</v>
      </c>
      <c r="W32" s="78" t="s">
        <v>91</v>
      </c>
      <c r="X32" s="78" t="s">
        <v>92</v>
      </c>
      <c r="Y32" s="78" t="s">
        <v>93</v>
      </c>
      <c r="Z32" s="78" t="s">
        <v>94</v>
      </c>
      <c r="AA32" s="78"/>
      <c r="AB32" s="78"/>
      <c r="AC32" s="78"/>
      <c r="AD32" s="78"/>
      <c r="AE32" s="78"/>
      <c r="AF32" s="78"/>
      <c r="AG32" s="78" t="s">
        <v>10</v>
      </c>
      <c r="AH32" s="78"/>
      <c r="AI32" s="79">
        <v>42177</v>
      </c>
      <c r="AJ32" s="79"/>
      <c r="AK32" s="78"/>
      <c r="AL32" s="78">
        <v>5</v>
      </c>
      <c r="AM32" s="78"/>
      <c r="AN32" s="78"/>
      <c r="AO32" s="78"/>
      <c r="AP32" s="10"/>
      <c r="AQ32" s="10"/>
    </row>
    <row r="33" spans="1:43" ht="13" x14ac:dyDescent="0.3">
      <c r="A33" s="98" t="s">
        <v>95</v>
      </c>
      <c r="B33" s="98"/>
      <c r="C33" s="98"/>
      <c r="D33" s="88"/>
      <c r="G33" s="101"/>
      <c r="H33" s="101"/>
      <c r="I33" s="90"/>
      <c r="T33" s="10">
        <v>1</v>
      </c>
      <c r="U33" s="10">
        <f>IF(AND(B6&gt;0,G6&gt;0),0,IF(AND(G6&gt;0),0,F6+K6))</f>
        <v>48</v>
      </c>
      <c r="V33" s="10">
        <f>IF(AND(G6&gt;0,L6&gt;0),0,IF(AND(L6&gt;0),0,K6+P6))</f>
        <v>48</v>
      </c>
      <c r="W33" s="78">
        <f>IF(AND(L6&gt;0,Q6&gt;0),0,IF(AND(Q6&gt;0),0,P6+U6))</f>
        <v>48</v>
      </c>
      <c r="X33" s="78">
        <f>IF(AND(Q6&gt;0,V6&gt;0),0,IF(AND(V6&gt;0),0,U6+Z6))</f>
        <v>48</v>
      </c>
      <c r="Y33" s="78">
        <f>IF(AND(V6&gt;0,AA6&gt;0),0,IF(AND(AA6&gt;0),0,Z6+AE6))</f>
        <v>48</v>
      </c>
      <c r="Z33" s="78">
        <f>IF(AND(AA6&gt;0,AF6&gt;0),0,IF(AND(AF6&gt;0),0,AE6+AJ6))</f>
        <v>48</v>
      </c>
      <c r="AA33" s="78"/>
      <c r="AB33" s="78"/>
      <c r="AC33" s="78"/>
      <c r="AD33" s="78"/>
      <c r="AE33" s="78"/>
      <c r="AF33" s="78"/>
      <c r="AG33" s="78" t="s">
        <v>11</v>
      </c>
      <c r="AH33" s="78"/>
      <c r="AI33" s="79">
        <v>42178</v>
      </c>
      <c r="AJ33" s="79"/>
      <c r="AK33" s="78"/>
      <c r="AL33" s="78">
        <v>6</v>
      </c>
      <c r="AM33" s="78"/>
      <c r="AN33" s="78"/>
      <c r="AO33" s="78"/>
      <c r="AP33" s="10"/>
      <c r="AQ33" s="10"/>
    </row>
    <row r="34" spans="1:43" x14ac:dyDescent="0.25">
      <c r="A34" s="101" t="s">
        <v>96</v>
      </c>
      <c r="B34" s="101"/>
      <c r="C34" s="3">
        <f>(AK6+AK7+AK8+AK9+AK10+AK11+AK12+AK13+AK14+AK15+AK16+AK17)/M1</f>
        <v>0</v>
      </c>
      <c r="T34" s="10">
        <v>2</v>
      </c>
      <c r="U34" s="10">
        <f t="shared" ref="U34:U40" si="17">IF(AND(B7&gt;0,G7&gt;0),0,IF(AND(G7&gt;0),0,F7+K7))</f>
        <v>48</v>
      </c>
      <c r="V34" s="10">
        <f t="shared" ref="V34:V40" si="18">IF(AND(G7&gt;0,L7&gt;0),0,IF(AND(L7&gt;0),0,K7+P7))</f>
        <v>48</v>
      </c>
      <c r="W34" s="78">
        <f t="shared" ref="W34:W44" si="19">IF(AND(L7&gt;0,Q7&gt;0),0,IF(AND(Q7&gt;0),0,P7+U7))</f>
        <v>48</v>
      </c>
      <c r="X34" s="78">
        <f t="shared" ref="X34:X44" si="20">IF(AND(Q7&gt;0,V7&gt;0),0,IF(AND(V7&gt;0),0,U7+Z7))</f>
        <v>48</v>
      </c>
      <c r="Y34" s="78">
        <f t="shared" ref="Y34:Y44" si="21">IF(AND(V7&gt;0,AA7&gt;0),0,IF(AND(AA7&gt;0),0,Z7+AE7))</f>
        <v>48</v>
      </c>
      <c r="Z34" s="78">
        <f t="shared" ref="Z34:Z44" si="22">IF(AND(AA7&gt;0,AF7&gt;0),0,IF(AND(AF7&gt;0),0,AE7+AJ7))</f>
        <v>48</v>
      </c>
      <c r="AA34" s="78"/>
      <c r="AB34" s="78"/>
      <c r="AC34" s="78"/>
      <c r="AD34" s="78"/>
      <c r="AE34" s="78"/>
      <c r="AF34" s="78"/>
      <c r="AG34" s="78" t="s">
        <v>12</v>
      </c>
      <c r="AH34" s="78"/>
      <c r="AI34" s="79">
        <v>42179</v>
      </c>
      <c r="AJ34" s="79"/>
      <c r="AK34" s="78"/>
      <c r="AL34" s="78">
        <v>7</v>
      </c>
      <c r="AM34" s="78"/>
      <c r="AN34" s="78"/>
      <c r="AO34" s="78"/>
      <c r="AP34" s="10"/>
      <c r="AQ34" s="10"/>
    </row>
    <row r="35" spans="1:43" x14ac:dyDescent="0.25">
      <c r="T35" s="10">
        <v>3</v>
      </c>
      <c r="U35" s="10">
        <f t="shared" si="17"/>
        <v>48</v>
      </c>
      <c r="V35" s="10">
        <f t="shared" si="18"/>
        <v>48</v>
      </c>
      <c r="W35" s="78">
        <f t="shared" si="19"/>
        <v>48</v>
      </c>
      <c r="X35" s="78">
        <f t="shared" si="20"/>
        <v>48</v>
      </c>
      <c r="Y35" s="78">
        <f t="shared" si="21"/>
        <v>48</v>
      </c>
      <c r="Z35" s="78">
        <f t="shared" si="22"/>
        <v>48</v>
      </c>
      <c r="AA35" s="78"/>
      <c r="AB35" s="78"/>
      <c r="AC35" s="78"/>
      <c r="AD35" s="78"/>
      <c r="AE35" s="78"/>
      <c r="AF35" s="78"/>
      <c r="AG35" s="78" t="s">
        <v>13</v>
      </c>
      <c r="AH35" s="78"/>
      <c r="AI35" s="79">
        <v>42180</v>
      </c>
      <c r="AJ35" s="79"/>
      <c r="AK35" s="78"/>
      <c r="AL35" s="78">
        <v>8</v>
      </c>
      <c r="AM35" s="78"/>
      <c r="AN35" s="78"/>
      <c r="AO35" s="78"/>
      <c r="AP35" s="78"/>
      <c r="AQ35" s="10"/>
    </row>
    <row r="36" spans="1:43" ht="13" x14ac:dyDescent="0.3">
      <c r="A36" s="98" t="s">
        <v>97</v>
      </c>
      <c r="B36" s="98"/>
      <c r="C36" s="98"/>
      <c r="D36" s="98"/>
      <c r="E36" s="98"/>
      <c r="F36" s="88"/>
      <c r="T36" s="10">
        <v>4</v>
      </c>
      <c r="U36" s="10">
        <f t="shared" si="17"/>
        <v>48</v>
      </c>
      <c r="V36" s="10">
        <f t="shared" si="18"/>
        <v>48</v>
      </c>
      <c r="W36" s="78">
        <f t="shared" si="19"/>
        <v>48</v>
      </c>
      <c r="X36" s="78">
        <f t="shared" si="20"/>
        <v>48</v>
      </c>
      <c r="Y36" s="78">
        <f t="shared" si="21"/>
        <v>48</v>
      </c>
      <c r="Z36" s="78">
        <f t="shared" si="22"/>
        <v>48</v>
      </c>
      <c r="AA36" s="78"/>
      <c r="AB36" s="78"/>
      <c r="AC36" s="78"/>
      <c r="AD36" s="78"/>
      <c r="AE36" s="78"/>
      <c r="AF36" s="78"/>
      <c r="AG36" s="78" t="s">
        <v>14</v>
      </c>
      <c r="AH36" s="78"/>
      <c r="AI36" s="79">
        <v>42181</v>
      </c>
      <c r="AJ36" s="79"/>
      <c r="AK36" s="78"/>
      <c r="AL36" s="3">
        <v>9</v>
      </c>
      <c r="AM36" s="78"/>
      <c r="AN36" s="78"/>
      <c r="AO36" s="78"/>
      <c r="AP36" s="78"/>
      <c r="AQ36" s="10"/>
    </row>
    <row r="37" spans="1:43" x14ac:dyDescent="0.25">
      <c r="A37" s="99" t="e">
        <f>C34/E3</f>
        <v>#DIV/0!</v>
      </c>
      <c r="B37" s="99"/>
      <c r="C37" s="99"/>
      <c r="T37" s="10">
        <v>5</v>
      </c>
      <c r="U37" s="10">
        <f t="shared" si="17"/>
        <v>48</v>
      </c>
      <c r="V37" s="10">
        <f t="shared" si="18"/>
        <v>48</v>
      </c>
      <c r="W37" s="78">
        <f t="shared" si="19"/>
        <v>48</v>
      </c>
      <c r="X37" s="78">
        <f t="shared" si="20"/>
        <v>48</v>
      </c>
      <c r="Y37" s="78">
        <f t="shared" si="21"/>
        <v>48</v>
      </c>
      <c r="Z37" s="78">
        <f t="shared" si="22"/>
        <v>48</v>
      </c>
      <c r="AA37" s="78"/>
      <c r="AB37" s="78"/>
      <c r="AC37" s="78"/>
      <c r="AD37" s="78"/>
      <c r="AE37" s="78"/>
      <c r="AF37" s="78"/>
      <c r="AG37" s="78" t="s">
        <v>15</v>
      </c>
      <c r="AH37" s="78"/>
      <c r="AI37" s="79">
        <v>42182</v>
      </c>
      <c r="AJ37" s="79"/>
      <c r="AK37" s="78"/>
      <c r="AL37" s="3">
        <v>10</v>
      </c>
      <c r="AM37" s="78"/>
      <c r="AN37" s="78"/>
      <c r="AO37" s="78"/>
      <c r="AP37" s="78"/>
      <c r="AQ37" s="10"/>
    </row>
    <row r="38" spans="1:43" x14ac:dyDescent="0.25">
      <c r="T38" s="10">
        <v>6</v>
      </c>
      <c r="U38" s="10">
        <f t="shared" si="17"/>
        <v>48</v>
      </c>
      <c r="V38" s="10">
        <f t="shared" si="18"/>
        <v>48</v>
      </c>
      <c r="W38" s="78">
        <f t="shared" si="19"/>
        <v>48</v>
      </c>
      <c r="X38" s="78">
        <f t="shared" si="20"/>
        <v>48</v>
      </c>
      <c r="Y38" s="78">
        <f t="shared" si="21"/>
        <v>48</v>
      </c>
      <c r="Z38" s="78">
        <f t="shared" si="22"/>
        <v>48</v>
      </c>
      <c r="AA38" s="78"/>
      <c r="AB38" s="78"/>
      <c r="AC38" s="78"/>
      <c r="AD38" s="78"/>
      <c r="AE38" s="78"/>
      <c r="AF38" s="78"/>
      <c r="AG38" s="78" t="s">
        <v>16</v>
      </c>
      <c r="AH38" s="78"/>
      <c r="AI38" s="79">
        <v>42183</v>
      </c>
      <c r="AJ38" s="79"/>
      <c r="AK38" s="78"/>
      <c r="AL38" s="3">
        <v>11</v>
      </c>
      <c r="AM38" s="78"/>
      <c r="AN38" s="78"/>
      <c r="AO38" s="78"/>
      <c r="AP38" s="78"/>
      <c r="AQ38" s="10"/>
    </row>
    <row r="39" spans="1:43" x14ac:dyDescent="0.25">
      <c r="T39" s="10">
        <v>7</v>
      </c>
      <c r="U39" s="10">
        <f t="shared" si="17"/>
        <v>48</v>
      </c>
      <c r="V39" s="10">
        <f t="shared" si="18"/>
        <v>48</v>
      </c>
      <c r="W39" s="78">
        <f t="shared" si="19"/>
        <v>48</v>
      </c>
      <c r="X39" s="78">
        <f t="shared" si="20"/>
        <v>48</v>
      </c>
      <c r="Y39" s="78">
        <f t="shared" si="21"/>
        <v>48</v>
      </c>
      <c r="Z39" s="78">
        <f t="shared" si="22"/>
        <v>48</v>
      </c>
      <c r="AA39" s="78"/>
      <c r="AB39" s="78"/>
      <c r="AC39" s="78"/>
      <c r="AD39" s="78"/>
      <c r="AE39" s="78"/>
      <c r="AF39" s="78"/>
      <c r="AG39" s="100">
        <f>IF(E1=AG32,AI32,IF(E1=AG33,AI33,IF(E1=AG34,AI34,IF(E1=AG35,AI35,IF(E1=AG36,AI36,IF(E1=AG37,AI37,IF(E1=AG38,AI38,AI32)))))))</f>
        <v>42177</v>
      </c>
      <c r="AH39" s="100"/>
      <c r="AI39" s="100"/>
      <c r="AJ39" s="100"/>
      <c r="AK39" s="100"/>
      <c r="AL39" s="3">
        <v>12</v>
      </c>
      <c r="AM39" s="78"/>
      <c r="AN39" s="78"/>
      <c r="AO39" s="78"/>
      <c r="AP39" s="78"/>
      <c r="AQ39" s="10"/>
    </row>
    <row r="40" spans="1:43" ht="13" x14ac:dyDescent="0.3">
      <c r="A40" s="4" t="s">
        <v>98</v>
      </c>
      <c r="T40" s="10">
        <v>8</v>
      </c>
      <c r="U40" s="10">
        <f t="shared" si="17"/>
        <v>48</v>
      </c>
      <c r="V40" s="10">
        <f t="shared" si="18"/>
        <v>48</v>
      </c>
      <c r="W40" s="78">
        <f t="shared" si="19"/>
        <v>48</v>
      </c>
      <c r="X40" s="78">
        <f t="shared" si="20"/>
        <v>48</v>
      </c>
      <c r="Y40" s="78">
        <f t="shared" si="21"/>
        <v>48</v>
      </c>
      <c r="Z40" s="78">
        <f t="shared" si="22"/>
        <v>48</v>
      </c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10"/>
    </row>
    <row r="41" spans="1:43" x14ac:dyDescent="0.25">
      <c r="A41" s="3" t="s">
        <v>99</v>
      </c>
      <c r="T41" s="10"/>
      <c r="U41" s="10"/>
      <c r="V41" s="10"/>
      <c r="W41" s="78">
        <f t="shared" si="19"/>
        <v>48</v>
      </c>
      <c r="X41" s="78">
        <f t="shared" si="20"/>
        <v>48</v>
      </c>
      <c r="Y41" s="78">
        <f t="shared" si="21"/>
        <v>48</v>
      </c>
      <c r="Z41" s="78">
        <f t="shared" si="22"/>
        <v>48</v>
      </c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10"/>
    </row>
    <row r="42" spans="1:43" ht="13" x14ac:dyDescent="0.3">
      <c r="A42" s="3" t="s">
        <v>100</v>
      </c>
      <c r="O42" s="81">
        <v>0.29166666666666669</v>
      </c>
      <c r="P42" s="81">
        <v>0.33333333333333331</v>
      </c>
      <c r="Q42" s="3">
        <f>(P42-O42)*24</f>
        <v>0.99999999999999911</v>
      </c>
      <c r="T42" s="10"/>
      <c r="U42" s="10"/>
      <c r="V42" s="10"/>
      <c r="W42" s="78">
        <f t="shared" si="19"/>
        <v>48</v>
      </c>
      <c r="X42" s="78">
        <f t="shared" si="20"/>
        <v>48</v>
      </c>
      <c r="Y42" s="78">
        <f t="shared" si="21"/>
        <v>48</v>
      </c>
      <c r="Z42" s="78">
        <f t="shared" si="22"/>
        <v>48</v>
      </c>
      <c r="AA42" s="78"/>
      <c r="AB42" s="78"/>
      <c r="AC42" s="78"/>
      <c r="AD42" s="78"/>
      <c r="AE42" s="78"/>
      <c r="AF42" s="78"/>
      <c r="AG42" s="80" t="s">
        <v>101</v>
      </c>
      <c r="AH42" s="80"/>
      <c r="AI42" s="78"/>
      <c r="AJ42" s="78"/>
      <c r="AK42" s="78"/>
      <c r="AL42" s="80" t="s">
        <v>102</v>
      </c>
      <c r="AM42" s="78"/>
      <c r="AN42" s="78"/>
      <c r="AO42" s="78"/>
      <c r="AP42" s="78"/>
      <c r="AQ42" s="10"/>
    </row>
    <row r="43" spans="1:43" x14ac:dyDescent="0.25">
      <c r="T43" s="10"/>
      <c r="U43" s="10"/>
      <c r="V43" s="10"/>
      <c r="W43" s="78">
        <f t="shared" si="19"/>
        <v>48</v>
      </c>
      <c r="X43" s="78">
        <f t="shared" si="20"/>
        <v>48</v>
      </c>
      <c r="Y43" s="78">
        <f t="shared" si="21"/>
        <v>48</v>
      </c>
      <c r="Z43" s="78">
        <f t="shared" si="22"/>
        <v>48</v>
      </c>
      <c r="AA43" s="78"/>
      <c r="AB43" s="78"/>
      <c r="AC43" s="78"/>
      <c r="AD43" s="78"/>
      <c r="AE43" s="78"/>
      <c r="AF43" s="78"/>
      <c r="AG43" s="78">
        <v>33.6</v>
      </c>
      <c r="AH43" s="78"/>
      <c r="AI43" s="78"/>
      <c r="AJ43" s="78"/>
      <c r="AK43" s="78"/>
      <c r="AL43" s="78" t="s">
        <v>103</v>
      </c>
      <c r="AM43" s="78"/>
      <c r="AN43" s="78"/>
      <c r="AO43" s="78"/>
      <c r="AP43" s="78"/>
      <c r="AQ43" s="10"/>
    </row>
    <row r="44" spans="1:43" x14ac:dyDescent="0.25">
      <c r="A44" s="3" t="s">
        <v>104</v>
      </c>
      <c r="T44" s="10"/>
      <c r="U44" s="10"/>
      <c r="V44" s="10"/>
      <c r="W44" s="78">
        <f t="shared" si="19"/>
        <v>48</v>
      </c>
      <c r="X44" s="78">
        <f t="shared" si="20"/>
        <v>48</v>
      </c>
      <c r="Y44" s="78">
        <f t="shared" si="21"/>
        <v>48</v>
      </c>
      <c r="Z44" s="78">
        <f t="shared" si="22"/>
        <v>48</v>
      </c>
      <c r="AA44" s="78"/>
      <c r="AB44" s="78"/>
      <c r="AC44" s="78"/>
      <c r="AD44" s="78"/>
      <c r="AE44" s="78"/>
      <c r="AF44" s="78"/>
      <c r="AG44" s="78">
        <v>35.5</v>
      </c>
      <c r="AH44" s="78"/>
      <c r="AI44" s="78"/>
      <c r="AJ44" s="78"/>
      <c r="AK44" s="78"/>
      <c r="AL44" s="78" t="s">
        <v>105</v>
      </c>
      <c r="AM44" s="78"/>
      <c r="AN44" s="78"/>
      <c r="AO44" s="78"/>
      <c r="AP44" s="78"/>
      <c r="AQ44" s="10"/>
    </row>
    <row r="45" spans="1:43" x14ac:dyDescent="0.25">
      <c r="A45" s="1">
        <v>11</v>
      </c>
      <c r="B45" s="5">
        <f>COUNTIF($F$6:$F$13,"&lt;" &amp; A45)+COUNTIF($K$6:$K$13,"&lt;" &amp; A45)+COUNTIF($P$6:$P$13,"&lt;" &amp; A45)+COUNTIF($U$6:$U$13,"&lt;" &amp; A45)+COUNTIF($Z$6:$Z$13,"&lt;" &amp; A45)+COUNTIF($AE$6:$AE$13,"&lt;" &amp; A45)+COUNTIF($AJ$6:$AJ$13,"&lt;" &amp; A45)</f>
        <v>0</v>
      </c>
      <c r="T45" s="10"/>
      <c r="U45" s="10"/>
      <c r="V45" s="10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>
        <v>37.5</v>
      </c>
      <c r="AH45" s="78"/>
      <c r="AI45" s="78"/>
      <c r="AJ45" s="78"/>
      <c r="AK45" s="78"/>
      <c r="AL45" s="78"/>
      <c r="AM45" s="78"/>
      <c r="AN45" s="78"/>
      <c r="AO45" s="78"/>
      <c r="AP45" s="78"/>
      <c r="AQ45" s="10"/>
    </row>
    <row r="46" spans="1:43" x14ac:dyDescent="0.25">
      <c r="T46" s="10"/>
      <c r="U46" s="10"/>
      <c r="V46" s="10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78"/>
      <c r="AQ46" s="10"/>
    </row>
    <row r="47" spans="1:43" x14ac:dyDescent="0.25">
      <c r="T47" s="10"/>
      <c r="U47" s="10"/>
      <c r="V47" s="10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10"/>
    </row>
    <row r="48" spans="1:43" x14ac:dyDescent="0.25">
      <c r="T48" s="10"/>
      <c r="U48" s="10"/>
      <c r="V48" s="10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78"/>
      <c r="AO48" s="78"/>
      <c r="AP48" s="78"/>
      <c r="AQ48" s="10"/>
    </row>
    <row r="49" spans="1:43" ht="13" x14ac:dyDescent="0.3">
      <c r="A49" s="4" t="s">
        <v>106</v>
      </c>
      <c r="T49" s="10"/>
      <c r="U49" s="10"/>
      <c r="V49" s="10"/>
      <c r="W49" s="78"/>
      <c r="X49" s="78"/>
      <c r="Y49" s="78"/>
      <c r="Z49" s="78"/>
      <c r="AA49" s="78"/>
      <c r="AB49" s="80" t="s">
        <v>107</v>
      </c>
      <c r="AC49" s="80"/>
      <c r="AD49" s="78"/>
      <c r="AE49" s="78"/>
      <c r="AF49" s="78"/>
      <c r="AG49" s="78"/>
      <c r="AH49" s="78"/>
      <c r="AI49" s="78"/>
      <c r="AJ49" s="78"/>
      <c r="AK49" s="78"/>
      <c r="AL49" s="78"/>
      <c r="AM49" s="78"/>
      <c r="AN49" s="78"/>
      <c r="AO49" s="78"/>
      <c r="AP49" s="78"/>
      <c r="AQ49" s="10"/>
    </row>
    <row r="50" spans="1:43" x14ac:dyDescent="0.25">
      <c r="A50" s="3" t="s">
        <v>108</v>
      </c>
      <c r="T50" s="10"/>
      <c r="U50" s="10"/>
      <c r="V50" s="10"/>
      <c r="W50" s="78"/>
      <c r="X50" s="78"/>
      <c r="Y50" s="78"/>
      <c r="Z50" s="78"/>
      <c r="AA50" s="78"/>
      <c r="AB50" s="78" t="s">
        <v>109</v>
      </c>
      <c r="AC50" s="78"/>
      <c r="AD50" s="78"/>
      <c r="AE50" s="78"/>
      <c r="AF50" s="78"/>
      <c r="AG50" s="78"/>
      <c r="AH50" s="78"/>
      <c r="AI50" s="78"/>
      <c r="AJ50" s="78"/>
      <c r="AK50" s="78"/>
      <c r="AL50" s="78"/>
      <c r="AM50" s="78"/>
      <c r="AN50" s="78"/>
      <c r="AO50" s="78"/>
      <c r="AP50" s="78"/>
      <c r="AQ50" s="10"/>
    </row>
    <row r="51" spans="1:43" ht="13" x14ac:dyDescent="0.3">
      <c r="A51" s="4" t="s">
        <v>110</v>
      </c>
      <c r="T51" s="10"/>
      <c r="U51" s="10"/>
      <c r="V51" s="10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  <c r="AN51" s="78"/>
      <c r="AO51" s="78"/>
      <c r="AP51" s="78"/>
      <c r="AQ51" s="10"/>
    </row>
    <row r="52" spans="1:43" x14ac:dyDescent="0.25">
      <c r="A52" s="3" t="s">
        <v>111</v>
      </c>
      <c r="T52" s="10"/>
      <c r="U52" s="10"/>
      <c r="V52" s="10"/>
      <c r="W52" s="78"/>
      <c r="X52" s="78"/>
      <c r="Y52" s="78"/>
      <c r="Z52" s="78"/>
      <c r="AA52" s="78"/>
      <c r="AB52" s="78" t="s">
        <v>112</v>
      </c>
      <c r="AC52" s="78"/>
      <c r="AD52" s="78"/>
      <c r="AE52" s="78"/>
      <c r="AF52" s="78"/>
      <c r="AG52" s="78"/>
      <c r="AH52" s="78"/>
      <c r="AI52" s="78"/>
      <c r="AJ52" s="78"/>
      <c r="AK52" s="78"/>
      <c r="AL52" s="78"/>
      <c r="AM52" s="78"/>
      <c r="AN52" s="78"/>
      <c r="AO52" s="78"/>
      <c r="AP52" s="78"/>
      <c r="AQ52" s="10"/>
    </row>
    <row r="53" spans="1:43" x14ac:dyDescent="0.25">
      <c r="A53" s="3" t="s">
        <v>113</v>
      </c>
      <c r="T53" s="10"/>
      <c r="U53" s="10"/>
      <c r="V53" s="10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78"/>
      <c r="AO53" s="78"/>
      <c r="AP53" s="78"/>
      <c r="AQ53" s="10"/>
    </row>
    <row r="54" spans="1:43" x14ac:dyDescent="0.25">
      <c r="A54" s="3" t="s">
        <v>114</v>
      </c>
      <c r="T54" s="10"/>
      <c r="U54" s="10"/>
      <c r="V54" s="10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78"/>
      <c r="AL54" s="78"/>
      <c r="AM54" s="78"/>
      <c r="AN54" s="78"/>
      <c r="AO54" s="78"/>
      <c r="AP54" s="78"/>
      <c r="AQ54" s="10"/>
    </row>
    <row r="55" spans="1:43" x14ac:dyDescent="0.25">
      <c r="T55" s="10"/>
      <c r="U55" s="10"/>
      <c r="V55" s="10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10"/>
    </row>
    <row r="56" spans="1:43" ht="13" x14ac:dyDescent="0.3">
      <c r="A56" s="4" t="s">
        <v>115</v>
      </c>
      <c r="T56" s="10"/>
      <c r="U56" s="10"/>
      <c r="V56" s="10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78"/>
      <c r="AO56" s="78"/>
      <c r="AP56" s="78"/>
      <c r="AQ56" s="10"/>
    </row>
    <row r="57" spans="1:43" x14ac:dyDescent="0.25">
      <c r="A57" s="3" t="s">
        <v>116</v>
      </c>
      <c r="T57" s="10"/>
      <c r="U57" s="10"/>
      <c r="V57" s="10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/>
      <c r="AO57" s="78"/>
      <c r="AP57" s="78"/>
      <c r="AQ57" s="10"/>
    </row>
    <row r="58" spans="1:43" ht="13" x14ac:dyDescent="0.3">
      <c r="A58" s="4" t="s">
        <v>110</v>
      </c>
      <c r="T58" s="10"/>
      <c r="U58" s="10"/>
      <c r="V58" s="10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 t="s">
        <v>117</v>
      </c>
      <c r="AH58" s="78"/>
      <c r="AI58" s="78"/>
      <c r="AJ58" s="78"/>
      <c r="AK58" s="78"/>
      <c r="AL58" s="78"/>
      <c r="AM58" s="78"/>
      <c r="AN58" s="78"/>
      <c r="AO58" s="78"/>
      <c r="AP58" s="78"/>
      <c r="AQ58" s="10"/>
    </row>
    <row r="59" spans="1:43" x14ac:dyDescent="0.25">
      <c r="A59" s="3" t="s">
        <v>111</v>
      </c>
      <c r="T59" s="10"/>
      <c r="U59" s="10"/>
      <c r="V59" s="10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>
        <v>0</v>
      </c>
      <c r="AH59" s="78">
        <v>1</v>
      </c>
      <c r="AI59" s="78">
        <v>2</v>
      </c>
      <c r="AJ59" s="78">
        <v>3</v>
      </c>
      <c r="AK59" s="78">
        <v>4</v>
      </c>
      <c r="AL59" s="78">
        <v>5</v>
      </c>
      <c r="AM59" s="78">
        <v>6</v>
      </c>
      <c r="AN59" s="78"/>
      <c r="AO59" s="78"/>
      <c r="AP59" s="78"/>
      <c r="AQ59" s="10"/>
    </row>
    <row r="60" spans="1:43" x14ac:dyDescent="0.25">
      <c r="A60" s="3" t="s">
        <v>113</v>
      </c>
      <c r="T60" s="10"/>
      <c r="U60" s="10"/>
      <c r="V60" s="10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>
        <v>7</v>
      </c>
      <c r="AH60" s="78">
        <v>8</v>
      </c>
      <c r="AI60" s="78">
        <v>9</v>
      </c>
      <c r="AJ60" s="78">
        <v>10</v>
      </c>
      <c r="AK60" s="78">
        <v>11</v>
      </c>
      <c r="AL60" s="78">
        <v>12</v>
      </c>
      <c r="AM60" s="78">
        <v>13</v>
      </c>
      <c r="AN60" s="78"/>
      <c r="AO60" s="78"/>
      <c r="AP60" s="78"/>
      <c r="AQ60" s="10"/>
    </row>
    <row r="61" spans="1:43" x14ac:dyDescent="0.25">
      <c r="T61" s="10"/>
      <c r="U61" s="10"/>
      <c r="V61" s="10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>
        <v>14</v>
      </c>
      <c r="AH61" s="78">
        <v>15</v>
      </c>
      <c r="AI61" s="78">
        <v>16</v>
      </c>
      <c r="AJ61" s="78">
        <v>17</v>
      </c>
      <c r="AK61" s="78">
        <v>18</v>
      </c>
      <c r="AL61" s="78">
        <v>19</v>
      </c>
      <c r="AM61" s="78">
        <v>20</v>
      </c>
      <c r="AN61" s="78"/>
      <c r="AO61" s="78"/>
      <c r="AP61" s="78"/>
      <c r="AQ61" s="10"/>
    </row>
    <row r="62" spans="1:43" ht="13" x14ac:dyDescent="0.3">
      <c r="A62" s="4" t="s">
        <v>118</v>
      </c>
      <c r="T62" s="10"/>
      <c r="U62" s="10"/>
      <c r="V62" s="10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>
        <v>21</v>
      </c>
      <c r="AH62" s="78">
        <v>22</v>
      </c>
      <c r="AI62" s="78">
        <v>23</v>
      </c>
      <c r="AJ62" s="78">
        <v>24</v>
      </c>
      <c r="AK62" s="78">
        <v>25</v>
      </c>
      <c r="AL62" s="78">
        <v>26</v>
      </c>
      <c r="AM62" s="78">
        <v>27</v>
      </c>
      <c r="AN62" s="78"/>
      <c r="AO62" s="78"/>
      <c r="AP62" s="78"/>
      <c r="AQ62" s="10"/>
    </row>
    <row r="63" spans="1:43" x14ac:dyDescent="0.25">
      <c r="A63" s="3" t="s">
        <v>119</v>
      </c>
      <c r="T63" s="10"/>
      <c r="U63" s="10"/>
      <c r="V63" s="10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>
        <v>28</v>
      </c>
      <c r="AH63" s="78">
        <v>29</v>
      </c>
      <c r="AI63" s="78">
        <v>30</v>
      </c>
      <c r="AJ63" s="78">
        <v>31</v>
      </c>
      <c r="AK63" s="78">
        <v>32</v>
      </c>
      <c r="AL63" s="78">
        <v>33</v>
      </c>
      <c r="AM63" s="78">
        <v>34</v>
      </c>
      <c r="AN63" s="78"/>
      <c r="AO63" s="78"/>
      <c r="AP63" s="78"/>
      <c r="AQ63" s="10"/>
    </row>
    <row r="64" spans="1:43" x14ac:dyDescent="0.25">
      <c r="A64" s="3" t="s">
        <v>120</v>
      </c>
      <c r="T64" s="10"/>
      <c r="U64" s="10"/>
      <c r="V64" s="10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>
        <v>35</v>
      </c>
      <c r="AH64" s="78">
        <v>36</v>
      </c>
      <c r="AI64" s="78">
        <v>37</v>
      </c>
      <c r="AJ64" s="78">
        <v>38</v>
      </c>
      <c r="AK64" s="78">
        <v>39</v>
      </c>
      <c r="AL64" s="78">
        <v>40</v>
      </c>
      <c r="AM64" s="78">
        <v>41</v>
      </c>
      <c r="AN64" s="78"/>
      <c r="AO64" s="78"/>
      <c r="AP64" s="78"/>
      <c r="AQ64" s="10"/>
    </row>
    <row r="65" spans="1:43" x14ac:dyDescent="0.25">
      <c r="T65" s="10"/>
      <c r="U65" s="10"/>
      <c r="V65" s="10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>
        <v>42</v>
      </c>
      <c r="AH65" s="78">
        <v>43</v>
      </c>
      <c r="AI65" s="78">
        <v>44</v>
      </c>
      <c r="AJ65" s="78">
        <v>45</v>
      </c>
      <c r="AK65" s="78">
        <v>46</v>
      </c>
      <c r="AL65" s="78">
        <v>47</v>
      </c>
      <c r="AM65" s="78">
        <v>48</v>
      </c>
      <c r="AN65" s="78"/>
      <c r="AO65" s="78"/>
      <c r="AP65" s="78"/>
      <c r="AQ65" s="10"/>
    </row>
    <row r="66" spans="1:43" ht="13" x14ac:dyDescent="0.3">
      <c r="A66" s="3" t="s">
        <v>121</v>
      </c>
      <c r="B66" s="4"/>
      <c r="T66" s="10"/>
      <c r="U66" s="10"/>
      <c r="V66" s="10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>
        <v>49</v>
      </c>
      <c r="AH66" s="78">
        <v>50</v>
      </c>
      <c r="AI66" s="78">
        <v>51</v>
      </c>
      <c r="AJ66" s="78">
        <v>52</v>
      </c>
      <c r="AK66" s="78">
        <v>53</v>
      </c>
      <c r="AL66" s="78">
        <v>54</v>
      </c>
      <c r="AM66" s="78">
        <v>55</v>
      </c>
      <c r="AN66" s="78"/>
      <c r="AO66" s="78"/>
      <c r="AP66" s="78"/>
      <c r="AQ66" s="10"/>
    </row>
    <row r="67" spans="1:43" ht="13" x14ac:dyDescent="0.3">
      <c r="A67" s="1">
        <v>9</v>
      </c>
      <c r="B67" s="5">
        <f>COUNTIF($E$6:$E$13,"&gt;" &amp; A67)+COUNTIF($J$6:$J$13,"&gt;" &amp; A67)+COUNTIF($O$6:$O$13,"&gt;" &amp; A67)+COUNTIF($T$6:$T$13,"&gt;" &amp; A67)+COUNTIF($Y$6:$Y$13,"&gt;" &amp; A67)+COUNTIF($AD$6:$AD$13,"&gt;" &amp; A67)+COUNTIF($AI$6:$AI$13,"&gt;" &amp; A67)</f>
        <v>0</v>
      </c>
      <c r="C67" s="3" t="s">
        <v>122</v>
      </c>
      <c r="E67" s="3" t="s">
        <v>123</v>
      </c>
      <c r="H67" s="1" t="s">
        <v>124</v>
      </c>
      <c r="L67" s="3" t="s">
        <v>125</v>
      </c>
      <c r="T67" s="10"/>
      <c r="U67" s="10"/>
      <c r="V67" s="10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>
        <v>56</v>
      </c>
      <c r="AH67" s="78">
        <v>57</v>
      </c>
      <c r="AI67" s="78">
        <v>58</v>
      </c>
      <c r="AJ67" s="78">
        <v>59</v>
      </c>
      <c r="AK67" s="78">
        <v>60</v>
      </c>
      <c r="AL67" s="78">
        <v>61</v>
      </c>
      <c r="AM67" s="78">
        <v>62</v>
      </c>
      <c r="AN67" s="78"/>
      <c r="AO67" s="78"/>
      <c r="AP67" s="78"/>
      <c r="AQ67" s="10"/>
    </row>
    <row r="68" spans="1:43" x14ac:dyDescent="0.25">
      <c r="T68" s="10"/>
      <c r="U68" s="10"/>
      <c r="V68" s="10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>
        <v>63</v>
      </c>
      <c r="AH68" s="78">
        <v>64</v>
      </c>
      <c r="AI68" s="78">
        <v>65</v>
      </c>
      <c r="AJ68" s="78">
        <v>66</v>
      </c>
      <c r="AK68" s="78">
        <v>67</v>
      </c>
      <c r="AL68" s="78">
        <v>68</v>
      </c>
      <c r="AM68" s="78">
        <v>69</v>
      </c>
      <c r="AN68" s="78"/>
      <c r="AO68" s="78"/>
      <c r="AP68" s="78"/>
      <c r="AQ68" s="10"/>
    </row>
    <row r="69" spans="1:43" x14ac:dyDescent="0.25">
      <c r="A69" s="3" t="s">
        <v>126</v>
      </c>
      <c r="T69" s="10"/>
      <c r="U69" s="10"/>
      <c r="V69" s="10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>
        <v>70</v>
      </c>
      <c r="AH69" s="78">
        <v>71</v>
      </c>
      <c r="AI69" s="78">
        <v>72</v>
      </c>
      <c r="AJ69" s="78">
        <v>73</v>
      </c>
      <c r="AK69" s="78">
        <v>74</v>
      </c>
      <c r="AL69" s="78">
        <v>75</v>
      </c>
      <c r="AM69" s="78">
        <v>76</v>
      </c>
      <c r="AN69" s="78"/>
      <c r="AO69" s="78"/>
      <c r="AP69" s="78"/>
      <c r="AQ69" s="10"/>
    </row>
    <row r="70" spans="1:43" x14ac:dyDescent="0.25">
      <c r="A70" s="1">
        <v>20</v>
      </c>
      <c r="B70" s="5">
        <f>COUNTIF($AK$6:$AK$13,"&gt;" &amp; A70)</f>
        <v>0</v>
      </c>
      <c r="C70" s="3" t="s">
        <v>127</v>
      </c>
      <c r="E70" s="3" t="s">
        <v>128</v>
      </c>
      <c r="H70" s="1" t="s">
        <v>124</v>
      </c>
      <c r="T70" s="10"/>
      <c r="U70" s="10"/>
      <c r="V70" s="10"/>
      <c r="W70" s="78"/>
      <c r="X70" s="78"/>
      <c r="Y70" s="78"/>
      <c r="Z70" s="78"/>
      <c r="AA70" s="78"/>
      <c r="AB70" s="78"/>
      <c r="AC70" s="78"/>
      <c r="AD70" s="78"/>
      <c r="AE70" s="78"/>
      <c r="AF70" s="78"/>
      <c r="AG70" s="78">
        <v>77</v>
      </c>
      <c r="AH70" s="78">
        <v>78</v>
      </c>
      <c r="AI70" s="78">
        <v>79</v>
      </c>
      <c r="AJ70" s="78">
        <v>80</v>
      </c>
      <c r="AK70" s="78">
        <v>81</v>
      </c>
      <c r="AL70" s="78">
        <v>82</v>
      </c>
      <c r="AM70" s="78">
        <v>83</v>
      </c>
      <c r="AN70" s="78"/>
      <c r="AO70" s="78"/>
      <c r="AP70" s="78"/>
      <c r="AQ70" s="10"/>
    </row>
    <row r="71" spans="1:43" x14ac:dyDescent="0.25">
      <c r="W71" s="78"/>
      <c r="X71" s="78"/>
      <c r="Y71" s="78"/>
      <c r="Z71" s="78"/>
      <c r="AA71" s="78"/>
      <c r="AB71" s="78"/>
      <c r="AC71" s="78"/>
      <c r="AD71" s="78"/>
      <c r="AE71" s="78"/>
      <c r="AF71" s="78"/>
      <c r="AG71" s="78">
        <v>84</v>
      </c>
      <c r="AH71" s="78">
        <v>85</v>
      </c>
      <c r="AI71" s="78">
        <v>86</v>
      </c>
      <c r="AJ71" s="78">
        <v>87</v>
      </c>
      <c r="AK71" s="78">
        <v>88</v>
      </c>
      <c r="AL71" s="78">
        <v>89</v>
      </c>
      <c r="AM71" s="78">
        <v>90</v>
      </c>
      <c r="AN71" s="78"/>
      <c r="AO71" s="78"/>
      <c r="AP71" s="78"/>
    </row>
    <row r="72" spans="1:43" x14ac:dyDescent="0.25"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  <c r="AL72" s="78"/>
      <c r="AM72" s="78"/>
      <c r="AN72" s="78"/>
      <c r="AO72" s="78"/>
      <c r="AP72" s="78"/>
    </row>
    <row r="73" spans="1:43" x14ac:dyDescent="0.25">
      <c r="W73" s="78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8"/>
      <c r="AK73" s="78"/>
      <c r="AL73" s="78"/>
      <c r="AM73" s="78"/>
      <c r="AN73" s="78"/>
      <c r="AO73" s="78"/>
      <c r="AP73" s="78"/>
    </row>
    <row r="74" spans="1:43" x14ac:dyDescent="0.25"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78"/>
      <c r="AO74" s="78"/>
      <c r="AP74" s="78"/>
    </row>
    <row r="75" spans="1:43" x14ac:dyDescent="0.25"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  <c r="AK75" s="78"/>
      <c r="AL75" s="78"/>
      <c r="AM75" s="78"/>
      <c r="AN75" s="78"/>
      <c r="AO75" s="78"/>
      <c r="AP75" s="78"/>
    </row>
    <row r="76" spans="1:43" x14ac:dyDescent="0.25">
      <c r="W76" s="78"/>
      <c r="X76" s="78"/>
      <c r="Y76" s="78"/>
      <c r="Z76" s="78"/>
      <c r="AA76" s="78"/>
      <c r="AB76" s="78"/>
      <c r="AC76" s="78"/>
      <c r="AD76" s="78"/>
      <c r="AE76" s="78"/>
      <c r="AF76" s="78"/>
      <c r="AG76" s="78"/>
      <c r="AH76" s="78"/>
      <c r="AI76" s="78"/>
      <c r="AJ76" s="78"/>
      <c r="AK76" s="78"/>
      <c r="AL76" s="78"/>
      <c r="AM76" s="78"/>
      <c r="AN76" s="78"/>
      <c r="AO76" s="78"/>
      <c r="AP76" s="78"/>
    </row>
    <row r="77" spans="1:43" x14ac:dyDescent="0.25"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78"/>
      <c r="AK77" s="78"/>
      <c r="AL77" s="78"/>
      <c r="AM77" s="78"/>
      <c r="AN77" s="78"/>
      <c r="AO77" s="78"/>
      <c r="AP77" s="78"/>
    </row>
    <row r="78" spans="1:43" x14ac:dyDescent="0.25">
      <c r="W78" s="78"/>
      <c r="X78" s="78"/>
      <c r="Y78" s="78"/>
      <c r="Z78" s="78"/>
      <c r="AA78" s="78"/>
      <c r="AB78" s="78"/>
      <c r="AC78" s="78"/>
      <c r="AD78" s="78"/>
      <c r="AE78" s="78"/>
      <c r="AF78" s="78"/>
      <c r="AG78" s="78"/>
      <c r="AH78" s="78"/>
      <c r="AI78" s="78"/>
      <c r="AJ78" s="78"/>
      <c r="AK78" s="78"/>
      <c r="AL78" s="78"/>
      <c r="AM78" s="78"/>
      <c r="AN78" s="78"/>
      <c r="AO78" s="78"/>
      <c r="AP78" s="78"/>
    </row>
    <row r="79" spans="1:43" x14ac:dyDescent="0.25">
      <c r="W79" s="78"/>
      <c r="X79" s="78"/>
      <c r="Y79" s="78"/>
      <c r="Z79" s="78"/>
      <c r="AA79" s="78"/>
      <c r="AB79" s="78"/>
      <c r="AC79" s="78"/>
      <c r="AD79" s="78"/>
      <c r="AE79" s="78"/>
      <c r="AF79" s="78"/>
      <c r="AG79" s="78"/>
      <c r="AH79" s="78"/>
      <c r="AI79" s="78"/>
      <c r="AJ79" s="78"/>
      <c r="AK79" s="78"/>
      <c r="AL79" s="78"/>
      <c r="AM79" s="78"/>
      <c r="AN79" s="78"/>
      <c r="AO79" s="78"/>
      <c r="AP79" s="78"/>
    </row>
    <row r="80" spans="1:43" x14ac:dyDescent="0.25">
      <c r="W80" s="78"/>
      <c r="X80" s="78"/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  <c r="AJ80" s="78"/>
      <c r="AK80" s="78"/>
      <c r="AL80" s="78"/>
      <c r="AM80" s="78"/>
      <c r="AN80" s="78"/>
      <c r="AO80" s="78"/>
      <c r="AP80" s="78"/>
    </row>
    <row r="81" spans="1:42" x14ac:dyDescent="0.25"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  <c r="AJ81" s="78"/>
      <c r="AK81" s="78"/>
      <c r="AL81" s="78"/>
      <c r="AM81" s="78"/>
      <c r="AN81" s="78"/>
      <c r="AO81" s="78"/>
      <c r="AP81" s="78"/>
    </row>
    <row r="82" spans="1:42" x14ac:dyDescent="0.25"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8"/>
      <c r="AH82" s="78"/>
      <c r="AI82" s="78"/>
      <c r="AJ82" s="78"/>
      <c r="AK82" s="78"/>
      <c r="AL82" s="78"/>
      <c r="AM82" s="78"/>
      <c r="AN82" s="78"/>
      <c r="AO82" s="78"/>
      <c r="AP82" s="78"/>
    </row>
    <row r="83" spans="1:42" x14ac:dyDescent="0.25"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</row>
    <row r="84" spans="1:42" x14ac:dyDescent="0.25"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</row>
    <row r="85" spans="1:42" x14ac:dyDescent="0.25"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</row>
    <row r="86" spans="1:42" x14ac:dyDescent="0.25"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8"/>
      <c r="AO86" s="78"/>
      <c r="AP86" s="78"/>
    </row>
    <row r="87" spans="1:42" x14ac:dyDescent="0.25"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  <c r="AN87" s="78"/>
      <c r="AO87" s="78"/>
      <c r="AP87" s="78"/>
    </row>
    <row r="95" spans="1:42" ht="13" x14ac:dyDescent="0.3">
      <c r="A95" s="4"/>
    </row>
    <row r="106" spans="1:1" ht="13" x14ac:dyDescent="0.3">
      <c r="A106" s="4"/>
    </row>
  </sheetData>
  <sheetProtection algorithmName="SHA-512" hashValue="Qp5UIMyazHKOTiMv2lY+YJiTQkHCJ9eCKZjCLISKYlRNqQeJd4Q+Kg3r4HL+THHFEZJsb3ofkkWP3tU6dOq+Lg==" saltValue="91IzwglXNJtnN6T50hV7AA==" spinCount="100000" sheet="1" objects="1" scenarios="1"/>
  <mergeCells count="27">
    <mergeCell ref="A1:C1"/>
    <mergeCell ref="H1:L1"/>
    <mergeCell ref="A2:C2"/>
    <mergeCell ref="A3:C3"/>
    <mergeCell ref="B4:F4"/>
    <mergeCell ref="G4:J4"/>
    <mergeCell ref="L4:O4"/>
    <mergeCell ref="I2:J2"/>
    <mergeCell ref="Q4:T4"/>
    <mergeCell ref="V4:Y4"/>
    <mergeCell ref="AA4:AD4"/>
    <mergeCell ref="AF4:AI4"/>
    <mergeCell ref="AG39:AK39"/>
    <mergeCell ref="A28:C28"/>
    <mergeCell ref="A29:C29"/>
    <mergeCell ref="A30:C30"/>
    <mergeCell ref="D32:E32"/>
    <mergeCell ref="H32:I32"/>
    <mergeCell ref="A37:C37"/>
    <mergeCell ref="D31:E31"/>
    <mergeCell ref="H31:I31"/>
    <mergeCell ref="A36:E36"/>
    <mergeCell ref="N32:O32"/>
    <mergeCell ref="A33:C33"/>
    <mergeCell ref="G33:H33"/>
    <mergeCell ref="A34:B34"/>
    <mergeCell ref="N31:O31"/>
  </mergeCells>
  <conditionalFormatting sqref="A6:A17">
    <cfRule type="cellIs" dxfId="375" priority="363" operator="equal">
      <formula>0</formula>
    </cfRule>
  </conditionalFormatting>
  <conditionalFormatting sqref="A37">
    <cfRule type="cellIs" dxfId="374" priority="243" operator="notEqual">
      <formula>$E$2</formula>
    </cfRule>
    <cfRule type="cellIs" dxfId="373" priority="244" operator="equal">
      <formula>$E$2</formula>
    </cfRule>
  </conditionalFormatting>
  <conditionalFormatting sqref="A32:D32 F32:H32 C34">
    <cfRule type="cellIs" dxfId="372" priority="241" operator="notEqual">
      <formula>$E$3</formula>
    </cfRule>
    <cfRule type="cellIs" dxfId="371" priority="242" operator="equal">
      <formula>$E$3</formula>
    </cfRule>
  </conditionalFormatting>
  <conditionalFormatting sqref="B6:D17">
    <cfRule type="expression" dxfId="370" priority="112">
      <formula>$A6=0</formula>
    </cfRule>
  </conditionalFormatting>
  <conditionalFormatting sqref="E6:E17">
    <cfRule type="expression" dxfId="369" priority="116">
      <formula>AND($H$67="ja",E6&gt;$A$67)</formula>
    </cfRule>
    <cfRule type="cellIs" dxfId="368" priority="117" operator="greaterThanOrEqual">
      <formula>0</formula>
    </cfRule>
  </conditionalFormatting>
  <conditionalFormatting sqref="F6:F17">
    <cfRule type="cellIs" dxfId="367" priority="31" operator="lessThan">
      <formula>$A$45</formula>
    </cfRule>
    <cfRule type="cellIs" dxfId="366" priority="32" operator="equal">
      <formula>0</formula>
    </cfRule>
    <cfRule type="cellIs" dxfId="365" priority="33" operator="notEqual">
      <formula>0</formula>
    </cfRule>
  </conditionalFormatting>
  <conditionalFormatting sqref="G6:I17">
    <cfRule type="expression" dxfId="364" priority="52">
      <formula>$A6=0</formula>
    </cfRule>
  </conditionalFormatting>
  <conditionalFormatting sqref="J6:J17">
    <cfRule type="expression" dxfId="363" priority="104">
      <formula>AND($H$67="ja",J6&gt;$A$67)</formula>
    </cfRule>
    <cfRule type="cellIs" dxfId="362" priority="105" operator="greaterThanOrEqual">
      <formula>0</formula>
    </cfRule>
  </conditionalFormatting>
  <conditionalFormatting sqref="J32:N32">
    <cfRule type="cellIs" dxfId="361" priority="239" operator="notEqual">
      <formula>$E$3</formula>
    </cfRule>
    <cfRule type="cellIs" dxfId="360" priority="240" operator="equal">
      <formula>$E$3</formula>
    </cfRule>
  </conditionalFormatting>
  <conditionalFormatting sqref="K6:K17">
    <cfRule type="cellIs" dxfId="359" priority="28" operator="lessThan">
      <formula>$A$45</formula>
    </cfRule>
    <cfRule type="cellIs" dxfId="358" priority="29" operator="equal">
      <formula>0</formula>
    </cfRule>
    <cfRule type="cellIs" dxfId="357" priority="30" operator="notEqual">
      <formula>0</formula>
    </cfRule>
  </conditionalFormatting>
  <conditionalFormatting sqref="L6:N17">
    <cfRule type="expression" dxfId="356" priority="48">
      <formula>$A6=0</formula>
    </cfRule>
  </conditionalFormatting>
  <conditionalFormatting sqref="O6:O17">
    <cfRule type="cellIs" dxfId="355" priority="97" operator="greaterThanOrEqual">
      <formula>0</formula>
    </cfRule>
    <cfRule type="expression" dxfId="354" priority="96">
      <formula>AND($H$67="ja",O6&gt;$A$67)</formula>
    </cfRule>
  </conditionalFormatting>
  <conditionalFormatting sqref="P6:P17">
    <cfRule type="cellIs" dxfId="353" priority="22" operator="lessThan">
      <formula>$A$45</formula>
    </cfRule>
    <cfRule type="cellIs" dxfId="352" priority="23" operator="equal">
      <formula>0</formula>
    </cfRule>
    <cfRule type="cellIs" dxfId="351" priority="24" operator="notEqual">
      <formula>0</formula>
    </cfRule>
  </conditionalFormatting>
  <conditionalFormatting sqref="Q6:S17">
    <cfRule type="expression" dxfId="350" priority="47">
      <formula>$A6=0</formula>
    </cfRule>
  </conditionalFormatting>
  <conditionalFormatting sqref="T6:T17">
    <cfRule type="cellIs" dxfId="349" priority="89" operator="greaterThanOrEqual">
      <formula>0</formula>
    </cfRule>
    <cfRule type="expression" dxfId="348" priority="88">
      <formula>AND($H$67="ja",T6&gt;$A$67)</formula>
    </cfRule>
  </conditionalFormatting>
  <conditionalFormatting sqref="U6:U17">
    <cfRule type="cellIs" dxfId="347" priority="17" operator="equal">
      <formula>0</formula>
    </cfRule>
    <cfRule type="cellIs" dxfId="346" priority="16" operator="lessThan">
      <formula>$A$45</formula>
    </cfRule>
    <cfRule type="cellIs" dxfId="345" priority="18" operator="notEqual">
      <formula>0</formula>
    </cfRule>
  </conditionalFormatting>
  <conditionalFormatting sqref="V6:X17">
    <cfRule type="expression" dxfId="344" priority="46">
      <formula>$A6=0</formula>
    </cfRule>
  </conditionalFormatting>
  <conditionalFormatting sqref="Y6:Y17 AD6:AD17 AI6:AI17">
    <cfRule type="expression" dxfId="343" priority="59">
      <formula>AND($H$67="ja",Y6&gt;$A$67)</formula>
    </cfRule>
    <cfRule type="cellIs" dxfId="342" priority="60" operator="greaterThanOrEqual">
      <formula>0</formula>
    </cfRule>
  </conditionalFormatting>
  <conditionalFormatting sqref="Z6:Z17">
    <cfRule type="cellIs" dxfId="341" priority="11" operator="equal">
      <formula>0</formula>
    </cfRule>
    <cfRule type="cellIs" dxfId="340" priority="10" operator="lessThan">
      <formula>$A$45</formula>
    </cfRule>
    <cfRule type="cellIs" dxfId="339" priority="12" operator="notEqual">
      <formula>0</formula>
    </cfRule>
  </conditionalFormatting>
  <conditionalFormatting sqref="AA6:AC17">
    <cfRule type="expression" dxfId="338" priority="43">
      <formula>$A6=0</formula>
    </cfRule>
  </conditionalFormatting>
  <conditionalFormatting sqref="AE6:AE17">
    <cfRule type="cellIs" dxfId="337" priority="5" operator="equal">
      <formula>0</formula>
    </cfRule>
    <cfRule type="cellIs" dxfId="336" priority="4" operator="lessThan">
      <formula>$A$45</formula>
    </cfRule>
    <cfRule type="cellIs" dxfId="335" priority="6" operator="notEqual">
      <formula>0</formula>
    </cfRule>
  </conditionalFormatting>
  <conditionalFormatting sqref="AF6:AH17">
    <cfRule type="expression" dxfId="334" priority="34">
      <formula>$A6=0</formula>
    </cfRule>
  </conditionalFormatting>
  <conditionalFormatting sqref="AJ6:AJ17">
    <cfRule type="cellIs" dxfId="333" priority="3" operator="notEqual">
      <formula>0</formula>
    </cfRule>
    <cfRule type="cellIs" dxfId="332" priority="2" operator="equal">
      <formula>0</formula>
    </cfRule>
    <cfRule type="cellIs" dxfId="331" priority="1" operator="lessThan">
      <formula>$A$45</formula>
    </cfRule>
  </conditionalFormatting>
  <conditionalFormatting sqref="AK6:AK17">
    <cfRule type="expression" dxfId="330" priority="58">
      <formula>AND($H$70="ja",AK6&gt;$A$70)</formula>
    </cfRule>
    <cfRule type="cellIs" dxfId="329" priority="61" operator="greaterThanOrEqual">
      <formula>0</formula>
    </cfRule>
  </conditionalFormatting>
  <dataValidations count="2">
    <dataValidation type="list" showInputMessage="1" showErrorMessage="1" promptTitle="Velg Turnus startdag" prompt="Velg hvilken dag turnusen starte å telle ifra. (Typisk Mandag)" sqref="E1" xr:uid="{00000000-0002-0000-1300-000000000000}">
      <formula1>Ukedager</formula1>
    </dataValidation>
    <dataValidation type="list" allowBlank="1" showInputMessage="1" showErrorMessage="1" sqref="H67 H70" xr:uid="{00000000-0002-0000-1300-000001000000}">
      <formula1>Ja_og_nei</formula1>
    </dataValidation>
  </dataValidation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3"/>
  <dimension ref="A1:AQ95"/>
  <sheetViews>
    <sheetView zoomScale="85" zoomScaleNormal="85" workbookViewId="0">
      <pane ySplit="24" topLeftCell="A25" activePane="bottomLeft" state="frozen"/>
      <selection pane="bottomLeft" activeCell="C11" sqref="C11"/>
    </sheetView>
  </sheetViews>
  <sheetFormatPr defaultColWidth="9.08984375" defaultRowHeight="12.5" x14ac:dyDescent="0.25"/>
  <cols>
    <col min="1" max="1" width="10.7265625" style="3" customWidth="1"/>
    <col min="2" max="2" width="7.6328125" style="3" customWidth="1"/>
    <col min="3" max="3" width="7.81640625" style="3" customWidth="1"/>
    <col min="4" max="4" width="4.36328125" style="3" bestFit="1" customWidth="1"/>
    <col min="5" max="6" width="10" style="3" customWidth="1"/>
    <col min="7" max="7" width="7" style="3" customWidth="1"/>
    <col min="8" max="8" width="7.6328125" style="3" customWidth="1"/>
    <col min="9" max="9" width="4.36328125" style="3" bestFit="1" customWidth="1"/>
    <col min="10" max="11" width="10" style="3" customWidth="1"/>
    <col min="12" max="12" width="7.26953125" style="3" customWidth="1"/>
    <col min="13" max="13" width="7.7265625" style="3" customWidth="1"/>
    <col min="14" max="14" width="4.36328125" style="3" bestFit="1" customWidth="1"/>
    <col min="15" max="15" width="10.08984375" style="3" bestFit="1" customWidth="1"/>
    <col min="16" max="16" width="10.08984375" style="3" customWidth="1"/>
    <col min="17" max="17" width="7.6328125" style="3" customWidth="1"/>
    <col min="18" max="18" width="7.7265625" style="3" customWidth="1"/>
    <col min="19" max="19" width="4.36328125" style="3" bestFit="1" customWidth="1"/>
    <col min="20" max="20" width="10.08984375" style="3" bestFit="1" customWidth="1"/>
    <col min="21" max="21" width="10.08984375" style="3" customWidth="1"/>
    <col min="22" max="22" width="8.36328125" style="3" customWidth="1"/>
    <col min="23" max="23" width="8.81640625" style="3" customWidth="1"/>
    <col min="24" max="24" width="4.36328125" style="3" bestFit="1" customWidth="1"/>
    <col min="25" max="26" width="10" style="3" customWidth="1"/>
    <col min="27" max="28" width="7.81640625" style="3" customWidth="1"/>
    <col min="29" max="29" width="4.36328125" style="3" bestFit="1" customWidth="1"/>
    <col min="30" max="31" width="9.7265625" style="3" customWidth="1"/>
    <col min="32" max="32" width="6.81640625" style="3" customWidth="1"/>
    <col min="33" max="33" width="7.6328125" style="3" customWidth="1"/>
    <col min="34" max="34" width="4.36328125" style="3" bestFit="1" customWidth="1"/>
    <col min="35" max="36" width="9.6328125" style="3" customWidth="1"/>
    <col min="37" max="37" width="15.6328125" style="3" bestFit="1" customWidth="1"/>
    <col min="38" max="16384" width="9.08984375" style="3"/>
  </cols>
  <sheetData>
    <row r="1" spans="1:39" ht="13" x14ac:dyDescent="0.3">
      <c r="A1" s="98" t="s">
        <v>66</v>
      </c>
      <c r="B1" s="98"/>
      <c r="C1" s="98"/>
      <c r="D1" s="88"/>
      <c r="E1" s="5" t="str">
        <f>Vaktplan!G38</f>
        <v>mandag</v>
      </c>
      <c r="H1" s="98" t="s">
        <v>67</v>
      </c>
      <c r="I1" s="98"/>
      <c r="J1" s="98"/>
      <c r="K1" s="98"/>
      <c r="L1" s="98"/>
      <c r="M1" s="5">
        <f>Vaktplan!AJ59</f>
        <v>12</v>
      </c>
    </row>
    <row r="2" spans="1:39" ht="13" x14ac:dyDescent="0.3">
      <c r="A2" s="98" t="s">
        <v>36</v>
      </c>
      <c r="B2" s="98"/>
      <c r="C2" s="98"/>
      <c r="D2" s="88"/>
      <c r="E2" s="8">
        <f>Vaktplan!AM59</f>
        <v>0</v>
      </c>
      <c r="I2" s="106"/>
      <c r="J2" s="106"/>
    </row>
    <row r="3" spans="1:39" ht="13" x14ac:dyDescent="0.3">
      <c r="A3" s="98" t="s">
        <v>68</v>
      </c>
      <c r="B3" s="98"/>
      <c r="C3" s="98"/>
      <c r="D3" s="88"/>
      <c r="E3" s="5">
        <f>Vaktplan!AQ59</f>
        <v>0</v>
      </c>
      <c r="F3" s="4" t="s">
        <v>69</v>
      </c>
    </row>
    <row r="4" spans="1:39" ht="13" x14ac:dyDescent="0.3">
      <c r="A4" s="89" t="s">
        <v>70</v>
      </c>
      <c r="B4" s="103" t="str">
        <f>TEXT(AG39,"DDDD")</f>
        <v>Monday</v>
      </c>
      <c r="C4" s="104"/>
      <c r="D4" s="104"/>
      <c r="E4" s="104"/>
      <c r="F4" s="105"/>
      <c r="G4" s="102" t="str">
        <f>TEXT($AG$39+1,"DDDD")</f>
        <v>Tuesday</v>
      </c>
      <c r="H4" s="102"/>
      <c r="I4" s="102"/>
      <c r="J4" s="102"/>
      <c r="K4" s="89"/>
      <c r="L4" s="102" t="str">
        <f>TEXT($AG$39+2,"DDDD")</f>
        <v>Wednesday</v>
      </c>
      <c r="M4" s="102"/>
      <c r="N4" s="102"/>
      <c r="O4" s="102"/>
      <c r="P4" s="89"/>
      <c r="Q4" s="102" t="str">
        <f>TEXT($AG$39+3,"DDDD")</f>
        <v>Thursday</v>
      </c>
      <c r="R4" s="102"/>
      <c r="S4" s="102"/>
      <c r="T4" s="102"/>
      <c r="U4" s="89"/>
      <c r="V4" s="102" t="str">
        <f>TEXT($AG$39+4,"DDDD")</f>
        <v>Friday</v>
      </c>
      <c r="W4" s="102"/>
      <c r="X4" s="102"/>
      <c r="Y4" s="102"/>
      <c r="Z4" s="89"/>
      <c r="AA4" s="102" t="str">
        <f>TEXT($AG$39+5,"DDDD")</f>
        <v>Saturday</v>
      </c>
      <c r="AB4" s="102"/>
      <c r="AC4" s="102"/>
      <c r="AD4" s="102"/>
      <c r="AE4" s="89"/>
      <c r="AF4" s="102" t="str">
        <f>TEXT($AG$39+6,"DDDD")</f>
        <v>Sunday</v>
      </c>
      <c r="AG4" s="102"/>
      <c r="AH4" s="102"/>
      <c r="AI4" s="102"/>
      <c r="AJ4" s="89"/>
      <c r="AK4" s="7" t="s">
        <v>71</v>
      </c>
      <c r="AL4" s="91"/>
    </row>
    <row r="5" spans="1:39" x14ac:dyDescent="0.25">
      <c r="A5" s="6"/>
      <c r="B5" s="6" t="s">
        <v>72</v>
      </c>
      <c r="C5" s="6" t="s">
        <v>73</v>
      </c>
      <c r="D5" s="6" t="s">
        <v>55</v>
      </c>
      <c r="E5" s="6" t="s">
        <v>74</v>
      </c>
      <c r="F5" s="6" t="s">
        <v>75</v>
      </c>
      <c r="G5" s="6" t="s">
        <v>72</v>
      </c>
      <c r="H5" s="6" t="s">
        <v>73</v>
      </c>
      <c r="I5" s="6" t="s">
        <v>55</v>
      </c>
      <c r="J5" s="6" t="s">
        <v>74</v>
      </c>
      <c r="K5" s="6" t="s">
        <v>75</v>
      </c>
      <c r="L5" s="6" t="s">
        <v>72</v>
      </c>
      <c r="M5" s="6" t="s">
        <v>73</v>
      </c>
      <c r="N5" s="6" t="s">
        <v>55</v>
      </c>
      <c r="O5" s="6" t="s">
        <v>74</v>
      </c>
      <c r="P5" s="6" t="s">
        <v>75</v>
      </c>
      <c r="Q5" s="6" t="s">
        <v>72</v>
      </c>
      <c r="R5" s="6" t="s">
        <v>73</v>
      </c>
      <c r="S5" s="6" t="s">
        <v>55</v>
      </c>
      <c r="T5" s="6" t="s">
        <v>74</v>
      </c>
      <c r="U5" s="6" t="s">
        <v>75</v>
      </c>
      <c r="V5" s="6" t="s">
        <v>72</v>
      </c>
      <c r="W5" s="6" t="s">
        <v>73</v>
      </c>
      <c r="X5" s="6" t="s">
        <v>55</v>
      </c>
      <c r="Y5" s="6" t="s">
        <v>74</v>
      </c>
      <c r="Z5" s="6" t="s">
        <v>75</v>
      </c>
      <c r="AA5" s="6" t="s">
        <v>72</v>
      </c>
      <c r="AB5" s="6" t="s">
        <v>73</v>
      </c>
      <c r="AC5" s="6" t="s">
        <v>55</v>
      </c>
      <c r="AD5" s="6" t="s">
        <v>74</v>
      </c>
      <c r="AE5" s="6" t="s">
        <v>75</v>
      </c>
      <c r="AF5" s="6" t="s">
        <v>72</v>
      </c>
      <c r="AG5" s="6" t="s">
        <v>73</v>
      </c>
      <c r="AH5" s="6" t="s">
        <v>55</v>
      </c>
      <c r="AI5" s="6" t="s">
        <v>74</v>
      </c>
      <c r="AJ5" s="6" t="s">
        <v>75</v>
      </c>
      <c r="AK5" s="6"/>
      <c r="AL5" s="91"/>
    </row>
    <row r="6" spans="1:39" ht="13" x14ac:dyDescent="0.25">
      <c r="A6" s="7">
        <f>IF(M1&gt;=1,1,0)</f>
        <v>1</v>
      </c>
      <c r="B6" s="77">
        <f>IFERROR(VLOOKUP(Vaktplan!$A$59,Vaktplan!$A$4:$CL$35,87-AH59,FALSE),0)</f>
        <v>0</v>
      </c>
      <c r="C6" s="77">
        <f>IFERROR(VLOOKUP(Vaktplan!$A$59,Vaktplan!$A$4:$CL$35,87-AG59,FALSE),0)</f>
        <v>0</v>
      </c>
      <c r="D6" s="9">
        <f>IFERROR(VLOOKUP(Vaktplan!$A$59,Vaktplan!$A$4:$CL$35,89-AG59,FALSE),0)</f>
        <v>0</v>
      </c>
      <c r="E6" s="9">
        <f>IF(AND(B6=0,C6=0),0,IF(B6&lt;C6,((C6-B6)*24)-D6,(((1-B6)+C6)*24)-D6))</f>
        <v>0</v>
      </c>
      <c r="F6" s="9">
        <f>IF(AND(C6=0,G6=0),24,IF(C6=0,12+(G6*24),IF(C6&lt;G6,((G6-C6)*24),IF(G6=0,(1-C6+0.5)*24,((1-C6)+G6)*24))))</f>
        <v>24</v>
      </c>
      <c r="G6" s="77">
        <f>IFERROR(VLOOKUP(Vaktplan!$A$59,Vaktplan!$B$4:$CL$35,86-AH59,FALSE),0)</f>
        <v>0</v>
      </c>
      <c r="H6" s="77">
        <f>IFERROR(VLOOKUP(Vaktplan!$A$59,Vaktplan!$B$4:$CL$35,86-AG59,FALSE),0)</f>
        <v>0</v>
      </c>
      <c r="I6" s="9">
        <f>IFERROR(VLOOKUP(Vaktplan!$A$59,Vaktplan!$B$4:$CL$35,89-$AH59,FALSE),0)</f>
        <v>0</v>
      </c>
      <c r="J6" s="9">
        <f>IF(AND(G6=0,H6=0),0,IF(G6&lt;H6,((H6-G6)*24)-I6,(((1-G6)+H6)*24)-I6))</f>
        <v>0</v>
      </c>
      <c r="K6" s="9">
        <f>IF(AND(H6=0,L6=0),24,IF(H6=0,12+(L6*24),IF(H6&lt;L6,((L6-H6)*24),IF(L6=0,(1-H6+0.5)*24,((1-H6)+L6)*24))))</f>
        <v>24</v>
      </c>
      <c r="L6" s="77">
        <f>IFERROR(VLOOKUP(Vaktplan!$A$59,Vaktplan!$C$4:$CL$35,86-AI59,FALSE),0)</f>
        <v>0</v>
      </c>
      <c r="M6" s="77">
        <f>IFERROR(VLOOKUP(Vaktplan!$A$59,Vaktplan!$C$4:$CL$35,86-AH59,FALSE),0)</f>
        <v>0</v>
      </c>
      <c r="N6" s="9">
        <f>IFERROR(VLOOKUP(Vaktplan!$A$59,Vaktplan!$C$4:$CL$35,89-$AI59,FALSE),0)</f>
        <v>0</v>
      </c>
      <c r="O6" s="9">
        <f>IF(AND(L6=0,M6=0),0,IF(L6&lt;M6,((M6-L6)*24)-N6,(((1-L6)+M6)*24)-N6))</f>
        <v>0</v>
      </c>
      <c r="P6" s="9">
        <f>IF(AND(M6=0,Q6=0),24,IF(M6=0,12+(Q6*24),IF(M6&lt;Q6,((Q6-M6)*24),IF(Q6=0,(1-M6+0.5)*24,((1-M6)+Q6)*24))))</f>
        <v>24</v>
      </c>
      <c r="Q6" s="77">
        <f>IFERROR(VLOOKUP(Vaktplan!$A$59,Vaktplan!$D$4:$CL$35,86-AJ59,FALSE),0)</f>
        <v>0</v>
      </c>
      <c r="R6" s="77">
        <f>IFERROR(VLOOKUP(Vaktplan!$A$59,Vaktplan!$D$4:$CL$35,86-AI59,FALSE),0)</f>
        <v>0</v>
      </c>
      <c r="S6" s="9">
        <f>IFERROR(VLOOKUP(Vaktplan!$A$59,Vaktplan!$D$4:$CL$35,89-$AJ59,FALSE),0)</f>
        <v>0</v>
      </c>
      <c r="T6" s="9">
        <f t="shared" ref="T6:T17" si="0">IF(AND(Q6=0,R6=0),0,IF(Q6&lt;R6,((R6-Q6)*24)-S6,(((1-Q6)+R6)*24)-S6))</f>
        <v>0</v>
      </c>
      <c r="U6" s="9">
        <f>IF(AND(R6=0,V6=0),24,IF(R6=0,12+(V6*24),IF(R6&lt;V6,((V6-R6)*24),IF(V6=0,(1-R6+0.5)*24,((1-R6)+V6)*24))))</f>
        <v>24</v>
      </c>
      <c r="V6" s="77">
        <f>IFERROR(VLOOKUP(Vaktplan!$A$59,Vaktplan!$E$4:$CL$35,86-AK59,FALSE),0)</f>
        <v>0</v>
      </c>
      <c r="W6" s="77">
        <f>IFERROR(VLOOKUP(Vaktplan!$A$59,Vaktplan!$E$4:$CL$35,86-AJ59,FALSE),0)</f>
        <v>0</v>
      </c>
      <c r="X6" s="9">
        <f>IFERROR(VLOOKUP(Vaktplan!$A$59,Vaktplan!$E$4:$CL$35,89-$AK59,FALSE),0)</f>
        <v>0</v>
      </c>
      <c r="Y6" s="9">
        <f>IF(AND(V6=0,W6=0),0,IF(V6&lt;W6,((W6-V6)*24)-X6,(((1-V6)+W6)*24)-X6))</f>
        <v>0</v>
      </c>
      <c r="Z6" s="9">
        <f>IF(AND(W6=0,AA6=0),24,IF(W6=0,12+(AA6*24),IF(W6&lt;AA6,((AA6-W6)*24),IF(AA6=0,(1-W6+0.5)*24,((1-W6)+AA6)*24))))</f>
        <v>24</v>
      </c>
      <c r="AA6" s="77">
        <f>IFERROR(VLOOKUP(Vaktplan!$A$59,Vaktplan!$F$4:$CL$35,86-AL59,FALSE),0)</f>
        <v>0</v>
      </c>
      <c r="AB6" s="77">
        <f>IFERROR(VLOOKUP(Vaktplan!$A$59,Vaktplan!$F$4:$CL$35,86-AK59,FALSE),0)</f>
        <v>0</v>
      </c>
      <c r="AC6" s="9">
        <f>IFERROR(VLOOKUP(Vaktplan!$A$59,Vaktplan!$F$4:$CL$35,89-$AL59,FALSE),0)</f>
        <v>0</v>
      </c>
      <c r="AD6" s="9">
        <f>IF(AND(AA6=0,AB6=0),0,IF(AA6&lt;AB6,((AB6-AA6)*24)-AC6,(((1-AA6)+AB6)*24)-AC6))</f>
        <v>0</v>
      </c>
      <c r="AE6" s="9">
        <f>IF(AND(AB6=0,AF6=0),24,IF(AB6=0,12+(AF6*24),IF(AB6&lt;AF6,((AF6-AB6)*24),IF(AF6=0,(1-AB6+0.5)*24,((1-AB6)+AF6)*24))))</f>
        <v>24</v>
      </c>
      <c r="AF6" s="77">
        <f>IFERROR(VLOOKUP(Vaktplan!$A$59,Vaktplan!$G$4:$CL$35,86-AM59,FALSE),0)</f>
        <v>0</v>
      </c>
      <c r="AG6" s="77">
        <f>IFERROR(VLOOKUP(Vaktplan!$A$59,Vaktplan!$G$4:$CL$35,86-AL59,FALSE),0)</f>
        <v>0</v>
      </c>
      <c r="AH6" s="9">
        <f>IFERROR(VLOOKUP(Vaktplan!$A$59,Vaktplan!$G$4:$CL$35,89-$AM59,FALSE),0)</f>
        <v>0</v>
      </c>
      <c r="AI6" s="9">
        <f>IF(AND(AF6=0,AG6=0),0,IF(AF6&lt;AG6,((AG6-AF6)*24)-AH6,(((1-AF6)+AG6)*24)-AH6))</f>
        <v>0</v>
      </c>
      <c r="AJ6" s="9">
        <f>IF($M$1=AL28,IF(AND(AG6=0,B6=0),24,IF(AG6=0,12+($B$6*24),IF(AG6&lt;$B$6,(($B$6-AG6)*24),IF($B$6=0,(1-AG6+1)*24,((1-AG6)+$B$6)*24)))),IF(AND(AG6=0,B7=0),24,IF(AG6=0,12+(B7*24),IF(AG6&lt;B7,((B7-AG6)*24),IF(B7=0,(1-AG6+1)*24,((1-AG6)+B7)*24)))))</f>
        <v>24</v>
      </c>
      <c r="AK6" s="9">
        <f t="shared" ref="AK6:AK17" si="1">E6+J6+O6+T6+Y6+AD6+AI6</f>
        <v>0</v>
      </c>
      <c r="AL6" s="92">
        <f>AJ6</f>
        <v>24</v>
      </c>
      <c r="AM6" s="10">
        <f>AK6</f>
        <v>0</v>
      </c>
    </row>
    <row r="7" spans="1:39" ht="13" x14ac:dyDescent="0.25">
      <c r="A7" s="7">
        <f>IF($M$1&gt;=2,2,0)</f>
        <v>2</v>
      </c>
      <c r="B7" s="77">
        <f>IFERROR(VLOOKUP(Vaktplan!$A$59,Vaktplan!$H$4:$CL$35,87-AH60,FALSE),0)</f>
        <v>0</v>
      </c>
      <c r="C7" s="77">
        <f>IFERROR(VLOOKUP(Vaktplan!$A$59,Vaktplan!$H$4:$CL$35,87-AG60,FALSE),0)</f>
        <v>0</v>
      </c>
      <c r="D7" s="9">
        <f>IFERROR(VLOOKUP(Vaktplan!$A$59,Vaktplan!$H$4:$CL$35,89-AG60,FALSE),0)</f>
        <v>0</v>
      </c>
      <c r="E7" s="9">
        <f>IF(AND(B7=0,C7=0),0,IF(B7&lt;C7,((C7-B7)*24)-D7,(((1-B7)+C7)*24)-D7))</f>
        <v>0</v>
      </c>
      <c r="F7" s="9">
        <f t="shared" ref="F7:F17" si="2">IF(AND(C7=0,G7=0),24,IF(C7=0,12+(G7*24),IF(C7&lt;G7,((G7-C7)*24),IF(G7=0,(1-C7+0.5)*24,((1-C7)+G7)*24))))</f>
        <v>24</v>
      </c>
      <c r="G7" s="77">
        <f>IFERROR(VLOOKUP(Vaktplan!$A$59,Vaktplan!$I$4:$CL$35,86-AH60,FALSE),0)</f>
        <v>0</v>
      </c>
      <c r="H7" s="77">
        <f>IFERROR(VLOOKUP(Vaktplan!$A$59,Vaktplan!$I$4:$CL$35,86-AG60,FALSE),0)</f>
        <v>0</v>
      </c>
      <c r="I7" s="9">
        <f>IFERROR(VLOOKUP(Vaktplan!$A$59,Vaktplan!$I$4:$CL$35,89-$AH60,FALSE),0)</f>
        <v>0</v>
      </c>
      <c r="J7" s="9">
        <f t="shared" ref="J7:J17" si="3">IF(AND(G7=0,H7=0),0,IF(G7&lt;H7,((H7-G7)*24)-I7,(((1-G7)+H7)*24)-I7))</f>
        <v>0</v>
      </c>
      <c r="K7" s="9">
        <f t="shared" ref="K7:K17" si="4">IF(AND(H7=0,L7=0),24,IF(H7=0,12+(L7*24),IF(H7&lt;L7,((L7-H7)*24),IF(L7=0,(1-H7+0.5)*24,((1-H7)+L7)*24))))</f>
        <v>24</v>
      </c>
      <c r="L7" s="77">
        <f>IFERROR(VLOOKUP(Vaktplan!$A$59,Vaktplan!$J$4:$CL$35,86-AI60,FALSE),0)</f>
        <v>0</v>
      </c>
      <c r="M7" s="77">
        <f>IFERROR(VLOOKUP(Vaktplan!$A$59,Vaktplan!$J$4:$CL$35,86-AH60,FALSE),0)</f>
        <v>0</v>
      </c>
      <c r="N7" s="9">
        <f>IFERROR(VLOOKUP(Vaktplan!$A$59,Vaktplan!$J$4:$CL$35,89-$AI60,FALSE),0)</f>
        <v>0</v>
      </c>
      <c r="O7" s="9">
        <f t="shared" ref="O7:O17" si="5">IF(AND(L7=0,M7=0),0,IF(L7&lt;M7,((M7-L7)*24)-N7,(((1-L7)+M7)*24)-N7))</f>
        <v>0</v>
      </c>
      <c r="P7" s="9">
        <f t="shared" ref="P7:P17" si="6">IF(AND(M7=0,Q7=0),24,IF(M7=0,12+(Q7*24),IF(M7&lt;Q7,((Q7-M7)*24),IF(Q7=0,(1-M7+0.5)*24,((1-M7)+Q7)*24))))</f>
        <v>24</v>
      </c>
      <c r="Q7" s="77">
        <f>IFERROR(VLOOKUP(Vaktplan!$A$59,Vaktplan!$K$4:$CL$35,86-AJ60,FALSE),0)</f>
        <v>0</v>
      </c>
      <c r="R7" s="77">
        <f>IFERROR(VLOOKUP(Vaktplan!$A$59,Vaktplan!$K$4:$CL$35,86-AI60,FALSE),0)</f>
        <v>0</v>
      </c>
      <c r="S7" s="9">
        <f>IFERROR(VLOOKUP(Vaktplan!$A$59,Vaktplan!$K$4:$CL$35,89-$AJ60,FALSE),0)</f>
        <v>0</v>
      </c>
      <c r="T7" s="9">
        <f t="shared" si="0"/>
        <v>0</v>
      </c>
      <c r="U7" s="9">
        <f t="shared" ref="U7:U17" si="7">IF(AND(R7=0,V7=0),24,IF(R7=0,12+(V7*24),IF(R7&lt;V7,((V7-R7)*24),IF(V7=0,(1-R7+0.5)*24,((1-R7)+V7)*24))))</f>
        <v>24</v>
      </c>
      <c r="V7" s="77">
        <f>IFERROR(VLOOKUP(Vaktplan!$A$59,Vaktplan!$L$4:$CL$35,86-AK60,FALSE),0)</f>
        <v>0</v>
      </c>
      <c r="W7" s="77">
        <f>IFERROR(VLOOKUP(Vaktplan!$A$59,Vaktplan!$L$4:$CL$35,86-AJ60,FALSE),0)</f>
        <v>0</v>
      </c>
      <c r="X7" s="9">
        <f>IFERROR(VLOOKUP(Vaktplan!$A$59,Vaktplan!$L$4:$CL$35,89-$AK60,FALSE),0)</f>
        <v>0</v>
      </c>
      <c r="Y7" s="9">
        <f t="shared" ref="Y7:Y13" si="8">IF(AND(V7=0,W7=0),0,IF(V7&lt;W7,((W7-V7)*24)-X7,(((1-V7)+W7)*24)-X7))</f>
        <v>0</v>
      </c>
      <c r="Z7" s="9">
        <f t="shared" ref="Z7:Z17" si="9">IF(AND(W7=0,AA7=0),24,IF(W7=0,12+(AA7*24),IF(W7&lt;AA7,((AA7-W7)*24),IF(AA7=0,(1-W7+0.5)*24,((1-W7)+AA7)*24))))</f>
        <v>24</v>
      </c>
      <c r="AA7" s="77">
        <f>IFERROR(VLOOKUP(Vaktplan!$A$59,Vaktplan!$M$4:$CL$35,86-AL60,FALSE),0)</f>
        <v>0</v>
      </c>
      <c r="AB7" s="77">
        <f>IFERROR(VLOOKUP(Vaktplan!$A$59,Vaktplan!$M$4:$CL$35,86-AK60,FALSE),0)</f>
        <v>0</v>
      </c>
      <c r="AC7" s="9">
        <f>IFERROR(VLOOKUP(Vaktplan!$A$59,Vaktplan!$M$4:$CL$35,89-$AL60,FALSE),0)</f>
        <v>0</v>
      </c>
      <c r="AD7" s="9">
        <f t="shared" ref="AD7:AD13" si="10">IF(AND(AA7=0,AB7=0),0,IF(AA7&lt;AB7,((AB7-AA7)*24)-AC7,(((1-AA7)+AB7)*24)-AC7))</f>
        <v>0</v>
      </c>
      <c r="AE7" s="9">
        <f t="shared" ref="AE7:AE17" si="11">IF(AND(AB7=0,AF7=0),24,IF(AB7=0,12+(AF7*24),IF(AB7&lt;AF7,((AF7-AB7)*24),IF(AF7=0,(1-AB7+0.5)*24,((1-AB7)+AF7)*24))))</f>
        <v>24</v>
      </c>
      <c r="AF7" s="77">
        <f>IFERROR(VLOOKUP(Vaktplan!$A$59,Vaktplan!$N$4:$CL$35,86-AM60,FALSE),0)</f>
        <v>0</v>
      </c>
      <c r="AG7" s="77">
        <f>IFERROR(VLOOKUP(Vaktplan!$A$59,Vaktplan!$N$4:$CL$35,86-AL60,FALSE),0)</f>
        <v>0</v>
      </c>
      <c r="AH7" s="9">
        <f>IFERROR(VLOOKUP(Vaktplan!$A$59,Vaktplan!$N$4:$CL$35,89-$AM60,FALSE),0)</f>
        <v>0</v>
      </c>
      <c r="AI7" s="9">
        <f t="shared" ref="AI7:AI13" si="12">IF(AND(AF7=0,AG7=0),0,IF(AF7&lt;AG7,((AG7-AF7)*24)-AH7,(((1-AF7)+AG7)*24)-AH7))</f>
        <v>0</v>
      </c>
      <c r="AJ7" s="9">
        <f t="shared" ref="AJ7:AJ17" si="13">IF($M$1=AL29,IF(AND(AG7=0,B7=0),24,IF(AG7=0,12+($B$6*24),IF(AG7&lt;$B$6,(($B$6-AG7)*24),IF($B$6=0,(1-AG7+1)*24,((1-AG7)+$B$6)*24)))),IF(AND(AG7=0,B8=0),24,IF(AG7=0,12+(B8*24),IF(AG7&lt;B8,((B8-AG7)*24),IF(B8=0,(1-AG7+1)*24,((1-AG7)+B8)*24)))))</f>
        <v>24</v>
      </c>
      <c r="AK7" s="9">
        <f t="shared" si="1"/>
        <v>0</v>
      </c>
      <c r="AL7" s="92">
        <f t="shared" ref="AL7:AL13" si="14">AJ7</f>
        <v>24</v>
      </c>
      <c r="AM7" s="10">
        <f t="shared" ref="AM7:AM13" si="15">AK7</f>
        <v>0</v>
      </c>
    </row>
    <row r="8" spans="1:39" ht="13" x14ac:dyDescent="0.25">
      <c r="A8" s="7">
        <f>IF($M$1&gt;=3,3,0)</f>
        <v>3</v>
      </c>
      <c r="B8" s="77">
        <f>IFERROR(VLOOKUP(Vaktplan!$A$59,Vaktplan!$O$4:$CL$35,87-AH61,FALSE),0)</f>
        <v>0</v>
      </c>
      <c r="C8" s="77">
        <f>IFERROR(VLOOKUP(Vaktplan!$A$59,Vaktplan!$O$4:$CL$35,87-AG61,FALSE),0)</f>
        <v>0</v>
      </c>
      <c r="D8" s="9">
        <f>IFERROR(VLOOKUP(Vaktplan!$A$59,Vaktplan!$O$4:$CL$35,89-AG61,FALSE),0)</f>
        <v>0</v>
      </c>
      <c r="E8" s="9">
        <f t="shared" ref="E8:E17" si="16">IF(AND(B8=0,C8=0),0,IF(B8&lt;C8,((C8-B8)*24)-D8,(((1-B8)+C8)*24)-D8))</f>
        <v>0</v>
      </c>
      <c r="F8" s="9">
        <f t="shared" si="2"/>
        <v>24</v>
      </c>
      <c r="G8" s="77">
        <f>IFERROR(VLOOKUP(Vaktplan!$A$59,Vaktplan!$P$4:$CL$35,86-AH61,FALSE),0)</f>
        <v>0</v>
      </c>
      <c r="H8" s="77">
        <f>IFERROR(VLOOKUP(Vaktplan!$A$59,Vaktplan!$P$4:$CL$35,86-AG61,FALSE),0)</f>
        <v>0</v>
      </c>
      <c r="I8" s="9">
        <f>IFERROR(VLOOKUP(Vaktplan!$A$59,Vaktplan!$P$4:$CL$35,89-$AH61,FALSE),0)</f>
        <v>0</v>
      </c>
      <c r="J8" s="9">
        <f>IF(AND(G8=0,H8=0),0,IF(G8&lt;H8,((H8-G8)*24)-I8,(((1-G8)+H8)*24)-I8))</f>
        <v>0</v>
      </c>
      <c r="K8" s="9">
        <f t="shared" si="4"/>
        <v>24</v>
      </c>
      <c r="L8" s="77">
        <f>IFERROR(VLOOKUP(Vaktplan!$A$59,Vaktplan!$Q$4:$CL$35,86-AI61,FALSE),0)</f>
        <v>0</v>
      </c>
      <c r="M8" s="77">
        <f>IFERROR(VLOOKUP(Vaktplan!$A$59,Vaktplan!$Q$4:$CL$35,86-AH61,FALSE),0)</f>
        <v>0</v>
      </c>
      <c r="N8" s="9">
        <f>IFERROR(VLOOKUP(Vaktplan!$A$59,Vaktplan!$Q$4:$CL$35,89-$AI61,FALSE),0)</f>
        <v>0</v>
      </c>
      <c r="O8" s="9">
        <f t="shared" si="5"/>
        <v>0</v>
      </c>
      <c r="P8" s="9">
        <f t="shared" si="6"/>
        <v>24</v>
      </c>
      <c r="Q8" s="77">
        <f>IFERROR(VLOOKUP(Vaktplan!$A$59,Vaktplan!$R$4:$CL$35,86-AJ61,FALSE),0)</f>
        <v>0</v>
      </c>
      <c r="R8" s="77">
        <f>IFERROR(VLOOKUP(Vaktplan!$A$59,Vaktplan!$R$4:$CL$35,86-AI61,FALSE),0)</f>
        <v>0</v>
      </c>
      <c r="S8" s="9">
        <f>IFERROR(VLOOKUP(Vaktplan!$A$59,Vaktplan!$R$4:$CL$35,89-$AJ61,FALSE),0)</f>
        <v>0</v>
      </c>
      <c r="T8" s="9">
        <f t="shared" si="0"/>
        <v>0</v>
      </c>
      <c r="U8" s="9">
        <f t="shared" si="7"/>
        <v>24</v>
      </c>
      <c r="V8" s="77">
        <f>IFERROR(VLOOKUP(Vaktplan!$A$59,Vaktplan!$S$4:$CL$35,86-AK61,FALSE),0)</f>
        <v>0</v>
      </c>
      <c r="W8" s="77">
        <f>IFERROR(VLOOKUP(Vaktplan!$A$59,Vaktplan!$S$4:$CL$35,86-AJ61,FALSE),0)</f>
        <v>0</v>
      </c>
      <c r="X8" s="9">
        <f>IFERROR(VLOOKUP(Vaktplan!$A$59,Vaktplan!$S$4:$CL$35,89-$AK61,FALSE),0)</f>
        <v>0</v>
      </c>
      <c r="Y8" s="9">
        <f t="shared" si="8"/>
        <v>0</v>
      </c>
      <c r="Z8" s="9">
        <f t="shared" si="9"/>
        <v>24</v>
      </c>
      <c r="AA8" s="77">
        <f>IFERROR(VLOOKUP(Vaktplan!$A$59,Vaktplan!$T$4:$CL$35,86-AL61,FALSE),0)</f>
        <v>0</v>
      </c>
      <c r="AB8" s="77">
        <f>IFERROR(VLOOKUP(Vaktplan!$A$59,Vaktplan!$T$4:$CL$35,86-AK61,FALSE),0)</f>
        <v>0</v>
      </c>
      <c r="AC8" s="9">
        <f>IFERROR(VLOOKUP(Vaktplan!$A$59,Vaktplan!$T$4:$CL$35,89-$AL61,FALSE),0)</f>
        <v>0</v>
      </c>
      <c r="AD8" s="9">
        <f t="shared" si="10"/>
        <v>0</v>
      </c>
      <c r="AE8" s="9">
        <f t="shared" si="11"/>
        <v>24</v>
      </c>
      <c r="AF8" s="77">
        <f>IFERROR(VLOOKUP(Vaktplan!$A$59,Vaktplan!$U$4:$CL$35,86-AM61,FALSE),0)</f>
        <v>0</v>
      </c>
      <c r="AG8" s="77">
        <f>IFERROR(VLOOKUP(Vaktplan!$A$59,Vaktplan!$U$4:$CL$35,86-AL61,FALSE),0)</f>
        <v>0</v>
      </c>
      <c r="AH8" s="9">
        <f>IFERROR(VLOOKUP(Vaktplan!$A$59,Vaktplan!$U$4:$CL$35,89-$AM61,FALSE),0)</f>
        <v>0</v>
      </c>
      <c r="AI8" s="9">
        <f t="shared" si="12"/>
        <v>0</v>
      </c>
      <c r="AJ8" s="9">
        <f t="shared" si="13"/>
        <v>24</v>
      </c>
      <c r="AK8" s="9">
        <f t="shared" si="1"/>
        <v>0</v>
      </c>
      <c r="AL8" s="92">
        <f t="shared" si="14"/>
        <v>24</v>
      </c>
      <c r="AM8" s="10">
        <f t="shared" si="15"/>
        <v>0</v>
      </c>
    </row>
    <row r="9" spans="1:39" ht="13" x14ac:dyDescent="0.25">
      <c r="A9" s="7">
        <f>IF($M$1&gt;=4,4,0)</f>
        <v>4</v>
      </c>
      <c r="B9" s="77">
        <f>IFERROR(VLOOKUP(Vaktplan!$A$59,Vaktplan!$V$4:$CL$35,87-AH62,FALSE),0)</f>
        <v>0</v>
      </c>
      <c r="C9" s="77">
        <f>IFERROR(VLOOKUP(Vaktplan!$A$59,Vaktplan!$V$4:$CL$35,87-AG62,FALSE),0)</f>
        <v>0</v>
      </c>
      <c r="D9" s="9">
        <f>IFERROR(VLOOKUP(Vaktplan!$A$59,Vaktplan!$V$4:$CL$35,89-AG62,FALSE),0)</f>
        <v>0</v>
      </c>
      <c r="E9" s="9">
        <f t="shared" si="16"/>
        <v>0</v>
      </c>
      <c r="F9" s="9">
        <f t="shared" si="2"/>
        <v>24</v>
      </c>
      <c r="G9" s="77">
        <f>IFERROR(VLOOKUP(Vaktplan!$A$59,Vaktplan!$W$4:$CL$35,86-AH62,FALSE),0)</f>
        <v>0</v>
      </c>
      <c r="H9" s="77">
        <f>IFERROR(VLOOKUP(Vaktplan!$A$59,Vaktplan!$W$4:$CL$35,86-AG62,FALSE),0)</f>
        <v>0</v>
      </c>
      <c r="I9" s="9">
        <f>IFERROR(VLOOKUP(Vaktplan!$A$59,Vaktplan!$W$4:$CL$35,89-$AH62,FALSE),0)</f>
        <v>0</v>
      </c>
      <c r="J9" s="9">
        <f t="shared" si="3"/>
        <v>0</v>
      </c>
      <c r="K9" s="9">
        <f t="shared" si="4"/>
        <v>24</v>
      </c>
      <c r="L9" s="77">
        <f>IFERROR(VLOOKUP(Vaktplan!$A$59,Vaktplan!$X$4:$CL$35,86-AI62,FALSE),0)</f>
        <v>0</v>
      </c>
      <c r="M9" s="77">
        <f>IFERROR(VLOOKUP(Vaktplan!$A$59,Vaktplan!$X$4:$CL$35,86-AH62,FALSE),0)</f>
        <v>0</v>
      </c>
      <c r="N9" s="9">
        <f>IFERROR(VLOOKUP(Vaktplan!$A$59,Vaktplan!$X$4:$CL$35,89-$AI62,FALSE),0)</f>
        <v>0</v>
      </c>
      <c r="O9" s="9">
        <f t="shared" si="5"/>
        <v>0</v>
      </c>
      <c r="P9" s="9">
        <f t="shared" si="6"/>
        <v>24</v>
      </c>
      <c r="Q9" s="77">
        <f>IFERROR(VLOOKUP(Vaktplan!$A$59,Vaktplan!$Y$4:$CL$35,86-AJ62,FALSE),0)</f>
        <v>0</v>
      </c>
      <c r="R9" s="77">
        <f>IFERROR(VLOOKUP(Vaktplan!$A$59,Vaktplan!$Y$4:$CL$35,86-AI62,FALSE),0)</f>
        <v>0</v>
      </c>
      <c r="S9" s="9">
        <f>IFERROR(VLOOKUP(Vaktplan!$A$59,Vaktplan!$Y$4:$CL$35,89-$AJ62,FALSE),0)</f>
        <v>0</v>
      </c>
      <c r="T9" s="9">
        <f t="shared" si="0"/>
        <v>0</v>
      </c>
      <c r="U9" s="9">
        <f t="shared" si="7"/>
        <v>24</v>
      </c>
      <c r="V9" s="77">
        <f>IFERROR(VLOOKUP(Vaktplan!$A$59,Vaktplan!$Z$4:$CL$35,86-AK62,FALSE),0)</f>
        <v>0</v>
      </c>
      <c r="W9" s="77">
        <f>IFERROR(VLOOKUP(Vaktplan!$A$59,Vaktplan!$Z$4:$CL$35,86-AJ62,FALSE),0)</f>
        <v>0</v>
      </c>
      <c r="X9" s="9">
        <f>IFERROR(VLOOKUP(Vaktplan!$A$59,Vaktplan!$Z$4:$CL$35,89-$AK62,FALSE),0)</f>
        <v>0</v>
      </c>
      <c r="Y9" s="9">
        <f t="shared" si="8"/>
        <v>0</v>
      </c>
      <c r="Z9" s="9">
        <f t="shared" si="9"/>
        <v>24</v>
      </c>
      <c r="AA9" s="77">
        <f>IFERROR(VLOOKUP(Vaktplan!$A$59,Vaktplan!$AA$4:$CL$35,86-AL62,FALSE),0)</f>
        <v>0</v>
      </c>
      <c r="AB9" s="77">
        <f>IFERROR(VLOOKUP(Vaktplan!$A$59,Vaktplan!$AA$4:$CL$35,86-AK62,FALSE),0)</f>
        <v>0</v>
      </c>
      <c r="AC9" s="9">
        <f>IFERROR(VLOOKUP(Vaktplan!$A$59,Vaktplan!$AA$4:$CL$35,89-$AL62,FALSE),0)</f>
        <v>0</v>
      </c>
      <c r="AD9" s="9">
        <f t="shared" si="10"/>
        <v>0</v>
      </c>
      <c r="AE9" s="9">
        <f t="shared" si="11"/>
        <v>24</v>
      </c>
      <c r="AF9" s="77">
        <f>IFERROR(VLOOKUP(Vaktplan!$A$59,Vaktplan!$AB$4:$CL$35,86-AM62,FALSE),0)</f>
        <v>0</v>
      </c>
      <c r="AG9" s="77">
        <f>IFERROR(VLOOKUP(Vaktplan!$A$59,Vaktplan!$AB$4:$CL$35,86-AL62,FALSE),0)</f>
        <v>0</v>
      </c>
      <c r="AH9" s="9">
        <f>IFERROR(VLOOKUP(Vaktplan!$A$59,Vaktplan!$AB$4:$CL$35,89-$AM62,FALSE),0)</f>
        <v>0</v>
      </c>
      <c r="AI9" s="9">
        <f t="shared" si="12"/>
        <v>0</v>
      </c>
      <c r="AJ9" s="9">
        <f t="shared" si="13"/>
        <v>24</v>
      </c>
      <c r="AK9" s="9">
        <f t="shared" si="1"/>
        <v>0</v>
      </c>
      <c r="AL9" s="92">
        <f t="shared" si="14"/>
        <v>24</v>
      </c>
      <c r="AM9" s="10">
        <f t="shared" si="15"/>
        <v>0</v>
      </c>
    </row>
    <row r="10" spans="1:39" ht="13" x14ac:dyDescent="0.25">
      <c r="A10" s="7">
        <f>IF($M$1&gt;=5,5,0)</f>
        <v>5</v>
      </c>
      <c r="B10" s="77">
        <f>IFERROR(VLOOKUP(Vaktplan!$A$59,Vaktplan!$AC$4:$CL$35,87-AH63,FALSE),0)</f>
        <v>0</v>
      </c>
      <c r="C10" s="77">
        <f>IFERROR(VLOOKUP(Vaktplan!$A$59,Vaktplan!$AC$4:$CL$35,87-AG63,FALSE),0)</f>
        <v>0</v>
      </c>
      <c r="D10" s="9">
        <f>IFERROR(VLOOKUP(Vaktplan!$A$59,Vaktplan!$AC$4:$CL$35,89-AG63,FALSE),0)</f>
        <v>0</v>
      </c>
      <c r="E10" s="9">
        <f t="shared" si="16"/>
        <v>0</v>
      </c>
      <c r="F10" s="9">
        <f t="shared" si="2"/>
        <v>24</v>
      </c>
      <c r="G10" s="77">
        <f>IFERROR(VLOOKUP(Vaktplan!$A$59,Vaktplan!$AD$4:$CL$35,86-AH63,FALSE),0)</f>
        <v>0</v>
      </c>
      <c r="H10" s="77">
        <f>IFERROR(VLOOKUP(Vaktplan!$A$59,Vaktplan!$AD$4:$CL$35,86-AG63,FALSE),0)</f>
        <v>0</v>
      </c>
      <c r="I10" s="9">
        <f>IFERROR(VLOOKUP(Vaktplan!$A$59,Vaktplan!$AD$4:$CL$35,89-$AH63,FALSE),0)</f>
        <v>0</v>
      </c>
      <c r="J10" s="9">
        <f t="shared" si="3"/>
        <v>0</v>
      </c>
      <c r="K10" s="9">
        <f t="shared" si="4"/>
        <v>24</v>
      </c>
      <c r="L10" s="77">
        <f>IFERROR(VLOOKUP(Vaktplan!$A$59,Vaktplan!$AE$4:$CL$35,86-AI63,FALSE),0)</f>
        <v>0</v>
      </c>
      <c r="M10" s="77">
        <f>IFERROR(VLOOKUP(Vaktplan!$A$59,Vaktplan!$AE$4:$CL$35,86-AH63,FALSE),0)</f>
        <v>0</v>
      </c>
      <c r="N10" s="9">
        <f>IFERROR(VLOOKUP(Vaktplan!$A$59,Vaktplan!$AE$4:$CL$35,89-$AI63,FALSE),0)</f>
        <v>0</v>
      </c>
      <c r="O10" s="9">
        <f t="shared" si="5"/>
        <v>0</v>
      </c>
      <c r="P10" s="9">
        <f t="shared" si="6"/>
        <v>24</v>
      </c>
      <c r="Q10" s="77">
        <f>IFERROR(VLOOKUP(Vaktplan!$A$59,Vaktplan!$AF$4:$CL$35,86-AJ63,FALSE),0)</f>
        <v>0</v>
      </c>
      <c r="R10" s="77">
        <f>IFERROR(VLOOKUP(Vaktplan!$A$59,Vaktplan!$AF$4:$CL$35,86-AI63,FALSE),0)</f>
        <v>0</v>
      </c>
      <c r="S10" s="9">
        <f>IFERROR(VLOOKUP(Vaktplan!$A$59,Vaktplan!$AF$4:$CL$35,89-$AJ63,FALSE),0)</f>
        <v>0</v>
      </c>
      <c r="T10" s="9">
        <f t="shared" si="0"/>
        <v>0</v>
      </c>
      <c r="U10" s="9">
        <f t="shared" si="7"/>
        <v>24</v>
      </c>
      <c r="V10" s="77">
        <f>IFERROR(VLOOKUP(Vaktplan!$A$59,Vaktplan!$AG$4:$CL$35,86-AK63,FALSE),0)</f>
        <v>0</v>
      </c>
      <c r="W10" s="77">
        <f>IFERROR(VLOOKUP(Vaktplan!$A$59,Vaktplan!$AG$4:$CL$35,86-AJ63,FALSE),0)</f>
        <v>0</v>
      </c>
      <c r="X10" s="9">
        <f>IFERROR(VLOOKUP(Vaktplan!$A$59,Vaktplan!$AG$4:$CL$35,89-$AK63,FALSE),0)</f>
        <v>0</v>
      </c>
      <c r="Y10" s="9">
        <f t="shared" si="8"/>
        <v>0</v>
      </c>
      <c r="Z10" s="9">
        <f t="shared" si="9"/>
        <v>24</v>
      </c>
      <c r="AA10" s="77">
        <f>IFERROR(VLOOKUP(Vaktplan!$A$59,Vaktplan!$AH$4:$CL$35,86-AL63,FALSE),0)</f>
        <v>0</v>
      </c>
      <c r="AB10" s="77">
        <f>IFERROR(VLOOKUP(Vaktplan!$A$59,Vaktplan!$AH$4:$CL$35,86-AK63,FALSE),0)</f>
        <v>0</v>
      </c>
      <c r="AC10" s="9">
        <f>IFERROR(VLOOKUP(Vaktplan!$A$59,Vaktplan!$AH$4:$CL$35,89-$AL63,FALSE),0)</f>
        <v>0</v>
      </c>
      <c r="AD10" s="9">
        <f t="shared" si="10"/>
        <v>0</v>
      </c>
      <c r="AE10" s="9">
        <f t="shared" si="11"/>
        <v>24</v>
      </c>
      <c r="AF10" s="77">
        <f>IFERROR(VLOOKUP(Vaktplan!$A$59,Vaktplan!$AI$4:$CL$35,86-AM63,FALSE),0)</f>
        <v>0</v>
      </c>
      <c r="AG10" s="77">
        <f>IFERROR(VLOOKUP(Vaktplan!$A$59,Vaktplan!$AI$4:$CL$35,86-AL63,FALSE),0)</f>
        <v>0</v>
      </c>
      <c r="AH10" s="9">
        <f>IFERROR(VLOOKUP(Vaktplan!$A$59,Vaktplan!$AI$4:$CL$35,89-$AM63,FALSE),0)</f>
        <v>0</v>
      </c>
      <c r="AI10" s="9">
        <f t="shared" si="12"/>
        <v>0</v>
      </c>
      <c r="AJ10" s="9">
        <f t="shared" si="13"/>
        <v>24</v>
      </c>
      <c r="AK10" s="9">
        <f t="shared" si="1"/>
        <v>0</v>
      </c>
      <c r="AL10" s="92">
        <f t="shared" si="14"/>
        <v>24</v>
      </c>
      <c r="AM10" s="10">
        <f t="shared" si="15"/>
        <v>0</v>
      </c>
    </row>
    <row r="11" spans="1:39" ht="13" x14ac:dyDescent="0.25">
      <c r="A11" s="7">
        <f>IF($M$1&gt;=6,6,0)</f>
        <v>6</v>
      </c>
      <c r="B11" s="77">
        <f>IFERROR(VLOOKUP(Vaktplan!$A$59,Vaktplan!$AJ$4:$CL$35,87-AH64,FALSE),0)</f>
        <v>0</v>
      </c>
      <c r="C11" s="77">
        <f>IFERROR(VLOOKUP(Vaktplan!$A$59,Vaktplan!$AJ$4:$CL$35,87-AG64,FALSE),0)</f>
        <v>0</v>
      </c>
      <c r="D11" s="9">
        <f>IFERROR(VLOOKUP(Vaktplan!$A$59,Vaktplan!$AJ$4:$CL$35,89-AG64,FALSE),0)</f>
        <v>0</v>
      </c>
      <c r="E11" s="9">
        <f t="shared" si="16"/>
        <v>0</v>
      </c>
      <c r="F11" s="9">
        <f t="shared" si="2"/>
        <v>24</v>
      </c>
      <c r="G11" s="77">
        <f>IFERROR(VLOOKUP(Vaktplan!$A$59,Vaktplan!$AK$4:$CL$35,86-AH64,FALSE),0)</f>
        <v>0</v>
      </c>
      <c r="H11" s="77">
        <f>IFERROR(VLOOKUP(Vaktplan!$A$59,Vaktplan!$AK$4:$CL$35,86-AG64,FALSE),0)</f>
        <v>0</v>
      </c>
      <c r="I11" s="9">
        <f>IFERROR(VLOOKUP(Vaktplan!$A$59,Vaktplan!$AK$4:$CL$35,89-$AH64,FALSE),0)</f>
        <v>0</v>
      </c>
      <c r="J11" s="9">
        <f t="shared" si="3"/>
        <v>0</v>
      </c>
      <c r="K11" s="9">
        <f t="shared" si="4"/>
        <v>24</v>
      </c>
      <c r="L11" s="77">
        <f>IFERROR(VLOOKUP(Vaktplan!$A$59,Vaktplan!$AL$4:$CL$35,86-AI64,FALSE),0)</f>
        <v>0</v>
      </c>
      <c r="M11" s="77">
        <f>IFERROR(VLOOKUP(Vaktplan!$A$59,Vaktplan!$AL$4:$CL$35,86-AH64,FALSE),0)</f>
        <v>0</v>
      </c>
      <c r="N11" s="9">
        <f>IFERROR(VLOOKUP(Vaktplan!$A$59,Vaktplan!$AL$4:$CL$35,89-$AI64,FALSE),0)</f>
        <v>0</v>
      </c>
      <c r="O11" s="9">
        <f t="shared" si="5"/>
        <v>0</v>
      </c>
      <c r="P11" s="9">
        <f t="shared" si="6"/>
        <v>24</v>
      </c>
      <c r="Q11" s="77">
        <f>IFERROR(VLOOKUP(Vaktplan!$A$59,Vaktplan!$AM$4:$CL$35,86-AJ64,FALSE),0)</f>
        <v>0</v>
      </c>
      <c r="R11" s="77">
        <f>IFERROR(VLOOKUP(Vaktplan!$A$59,Vaktplan!$AM$4:$CL$35,86-AI64,FALSE),0)</f>
        <v>0</v>
      </c>
      <c r="S11" s="9">
        <f>IFERROR(VLOOKUP(Vaktplan!$A$59,Vaktplan!$AM$4:$CL$35,89-$AJ64,FALSE),0)</f>
        <v>0</v>
      </c>
      <c r="T11" s="9">
        <f t="shared" si="0"/>
        <v>0</v>
      </c>
      <c r="U11" s="9">
        <f t="shared" si="7"/>
        <v>24</v>
      </c>
      <c r="V11" s="77">
        <f>IFERROR(VLOOKUP(Vaktplan!$A$59,Vaktplan!$AN$4:$CL$35,86-AK64,FALSE),0)</f>
        <v>0</v>
      </c>
      <c r="W11" s="77">
        <f>IFERROR(VLOOKUP(Vaktplan!$A$59,Vaktplan!$AN$4:$CL$35,86-AJ64,FALSE),0)</f>
        <v>0</v>
      </c>
      <c r="X11" s="9">
        <f>IFERROR(VLOOKUP(Vaktplan!$A$59,Vaktplan!$AN$4:$CL$35,89-$AK64,FALSE),0)</f>
        <v>0</v>
      </c>
      <c r="Y11" s="9">
        <f t="shared" si="8"/>
        <v>0</v>
      </c>
      <c r="Z11" s="9">
        <f t="shared" si="9"/>
        <v>24</v>
      </c>
      <c r="AA11" s="77">
        <f>IFERROR(VLOOKUP(Vaktplan!$A$59,Vaktplan!$AO$4:$CL$35,86-AL64,FALSE),0)</f>
        <v>0</v>
      </c>
      <c r="AB11" s="77">
        <f>IFERROR(VLOOKUP(Vaktplan!$A$59,Vaktplan!$AO$4:$CL$35,86-AK64,FALSE),0)</f>
        <v>0</v>
      </c>
      <c r="AC11" s="9">
        <f>IFERROR(VLOOKUP(Vaktplan!$A$59,Vaktplan!$AO$4:$CL$35,89-$AL64,FALSE),0)</f>
        <v>0</v>
      </c>
      <c r="AD11" s="9">
        <f t="shared" si="10"/>
        <v>0</v>
      </c>
      <c r="AE11" s="9">
        <f t="shared" si="11"/>
        <v>24</v>
      </c>
      <c r="AF11" s="77">
        <f>IFERROR(VLOOKUP(Vaktplan!$A$59,Vaktplan!$AP$4:$CL$35,86-AM64,FALSE),0)</f>
        <v>0</v>
      </c>
      <c r="AG11" s="77">
        <f>IFERROR(VLOOKUP(Vaktplan!$A$59,Vaktplan!$AP$4:$CL$35,86-AL64,FALSE),0)</f>
        <v>0</v>
      </c>
      <c r="AH11" s="9">
        <f>IFERROR(VLOOKUP(Vaktplan!$A$59,Vaktplan!$AP$4:$CL$35,89-$AM64,FALSE),0)</f>
        <v>0</v>
      </c>
      <c r="AI11" s="9">
        <f t="shared" si="12"/>
        <v>0</v>
      </c>
      <c r="AJ11" s="9">
        <f t="shared" si="13"/>
        <v>24</v>
      </c>
      <c r="AK11" s="9">
        <f t="shared" si="1"/>
        <v>0</v>
      </c>
      <c r="AL11" s="92">
        <f t="shared" si="14"/>
        <v>24</v>
      </c>
      <c r="AM11" s="10">
        <f t="shared" si="15"/>
        <v>0</v>
      </c>
    </row>
    <row r="12" spans="1:39" ht="13" x14ac:dyDescent="0.25">
      <c r="A12" s="7">
        <f>IF($M$1&gt;=7,7,0)</f>
        <v>7</v>
      </c>
      <c r="B12" s="77">
        <f>IFERROR(VLOOKUP(Vaktplan!$A$59,Vaktplan!$AQ$4:$CL$35,87-AH65,FALSE),0)</f>
        <v>0</v>
      </c>
      <c r="C12" s="77">
        <f>IFERROR(VLOOKUP(Vaktplan!$A$59,Vaktplan!$AQ$4:$CL$35,87-AG65,FALSE),0)</f>
        <v>0</v>
      </c>
      <c r="D12" s="9">
        <f>IFERROR(VLOOKUP(Vaktplan!$A$59,Vaktplan!$AQ$4:$CL$35,89-AG65,FALSE),0)</f>
        <v>0</v>
      </c>
      <c r="E12" s="9">
        <f t="shared" si="16"/>
        <v>0</v>
      </c>
      <c r="F12" s="9">
        <f t="shared" si="2"/>
        <v>24</v>
      </c>
      <c r="G12" s="77">
        <f>IFERROR(VLOOKUP(Vaktplan!$A$59,Vaktplan!$AR$4:$CL$35,86-AH65,FALSE),0)</f>
        <v>0</v>
      </c>
      <c r="H12" s="77">
        <f>IFERROR(VLOOKUP(Vaktplan!$A$59,Vaktplan!$AR$4:$CL$35,86-AG65,FALSE),0)</f>
        <v>0</v>
      </c>
      <c r="I12" s="9">
        <f>IFERROR(VLOOKUP(Vaktplan!$A$59,Vaktplan!$AR$4:$CL$35,89-$AH65,FALSE),0)</f>
        <v>0</v>
      </c>
      <c r="J12" s="9">
        <f t="shared" si="3"/>
        <v>0</v>
      </c>
      <c r="K12" s="9">
        <f t="shared" si="4"/>
        <v>24</v>
      </c>
      <c r="L12" s="77">
        <f>IFERROR(VLOOKUP(Vaktplan!$A$59,Vaktplan!$AS$4:$CL$35,86-AI65,FALSE),0)</f>
        <v>0</v>
      </c>
      <c r="M12" s="77">
        <f>IFERROR(VLOOKUP(Vaktplan!$A$59,Vaktplan!$AS$4:$CL$35,86-AH65,FALSE),0)</f>
        <v>0</v>
      </c>
      <c r="N12" s="9">
        <f>IFERROR(VLOOKUP(Vaktplan!$A$59,Vaktplan!$AS$4:$CL$35,89-$AI65,FALSE),0)</f>
        <v>0</v>
      </c>
      <c r="O12" s="9">
        <f t="shared" si="5"/>
        <v>0</v>
      </c>
      <c r="P12" s="9">
        <f t="shared" si="6"/>
        <v>24</v>
      </c>
      <c r="Q12" s="77">
        <f>IFERROR(VLOOKUP(Vaktplan!$A$59,Vaktplan!$AT$4:$CL$35,86-AJ65,FALSE),0)</f>
        <v>0</v>
      </c>
      <c r="R12" s="77">
        <f>IFERROR(VLOOKUP(Vaktplan!$A$59,Vaktplan!$AT$4:$CL$35,86-AI65,FALSE),0)</f>
        <v>0</v>
      </c>
      <c r="S12" s="9">
        <f>IFERROR(VLOOKUP(Vaktplan!$A$59,Vaktplan!$AT$4:$CL$35,89-$AJ65,FALSE),0)</f>
        <v>0</v>
      </c>
      <c r="T12" s="9">
        <f t="shared" si="0"/>
        <v>0</v>
      </c>
      <c r="U12" s="9">
        <f t="shared" si="7"/>
        <v>24</v>
      </c>
      <c r="V12" s="77">
        <f>IFERROR(VLOOKUP(Vaktplan!$A$59,Vaktplan!$AU$4:$CL$35,86-AK65,FALSE),0)</f>
        <v>0</v>
      </c>
      <c r="W12" s="77">
        <f>IFERROR(VLOOKUP(Vaktplan!$A$59,Vaktplan!$AU$4:$CL$35,86-AJ65,FALSE),0)</f>
        <v>0</v>
      </c>
      <c r="X12" s="9">
        <f>IFERROR(VLOOKUP(Vaktplan!$A$59,Vaktplan!$AU$4:$CL$35,89-$AK65,FALSE),0)</f>
        <v>0</v>
      </c>
      <c r="Y12" s="9">
        <f t="shared" si="8"/>
        <v>0</v>
      </c>
      <c r="Z12" s="9">
        <f t="shared" si="9"/>
        <v>24</v>
      </c>
      <c r="AA12" s="77">
        <f>IFERROR(VLOOKUP(Vaktplan!$A$59,Vaktplan!$AV$4:$CL$35,86-AL65,FALSE),0)</f>
        <v>0</v>
      </c>
      <c r="AB12" s="77">
        <f>IFERROR(VLOOKUP(Vaktplan!$A$59,Vaktplan!$AV$4:$CL$35,86-AK65,FALSE),0)</f>
        <v>0</v>
      </c>
      <c r="AC12" s="9">
        <f>IFERROR(VLOOKUP(Vaktplan!$A$59,Vaktplan!$AV$4:$CL$35,89-$AL65,FALSE),0)</f>
        <v>0</v>
      </c>
      <c r="AD12" s="9">
        <f t="shared" si="10"/>
        <v>0</v>
      </c>
      <c r="AE12" s="9">
        <f t="shared" si="11"/>
        <v>24</v>
      </c>
      <c r="AF12" s="77">
        <f>IFERROR(VLOOKUP(Vaktplan!$A$59,Vaktplan!$AW$4:$CL$35,86-AM65,FALSE),0)</f>
        <v>0</v>
      </c>
      <c r="AG12" s="77">
        <f>IFERROR(VLOOKUP(Vaktplan!$A$59,Vaktplan!$AW$4:$CL$35,86-AL65,FALSE),0)</f>
        <v>0</v>
      </c>
      <c r="AH12" s="9">
        <f>IFERROR(VLOOKUP(Vaktplan!$A$59,Vaktplan!$AW$4:$CL$35,89-$AM65,FALSE),0)</f>
        <v>0</v>
      </c>
      <c r="AI12" s="9">
        <f t="shared" si="12"/>
        <v>0</v>
      </c>
      <c r="AJ12" s="9">
        <f t="shared" si="13"/>
        <v>24</v>
      </c>
      <c r="AK12" s="9">
        <f t="shared" si="1"/>
        <v>0</v>
      </c>
      <c r="AL12" s="92">
        <f t="shared" si="14"/>
        <v>24</v>
      </c>
      <c r="AM12" s="10">
        <f t="shared" si="15"/>
        <v>0</v>
      </c>
    </row>
    <row r="13" spans="1:39" ht="13" x14ac:dyDescent="0.25">
      <c r="A13" s="7">
        <f>IF($M$1&gt;=8,8,0)</f>
        <v>8</v>
      </c>
      <c r="B13" s="77">
        <f>IFERROR(VLOOKUP(Vaktplan!$A$59,Vaktplan!$AX$4:$CL$35,87-AH66,FALSE),0)</f>
        <v>0</v>
      </c>
      <c r="C13" s="77">
        <f>IFERROR(VLOOKUP(Vaktplan!$A$59,Vaktplan!$AX$4:$CL$35,87-AG66,FALSE),0)</f>
        <v>0</v>
      </c>
      <c r="D13" s="9">
        <f>IFERROR(VLOOKUP(Vaktplan!$A$59,Vaktplan!$AX$4:$CL$35,89-AG66,FALSE),0)</f>
        <v>0</v>
      </c>
      <c r="E13" s="9">
        <f t="shared" si="16"/>
        <v>0</v>
      </c>
      <c r="F13" s="9">
        <f t="shared" si="2"/>
        <v>24</v>
      </c>
      <c r="G13" s="77">
        <f>IFERROR(VLOOKUP(Vaktplan!$A$59,Vaktplan!$AY$4:$CL$35,86-AH66,FALSE),0)</f>
        <v>0</v>
      </c>
      <c r="H13" s="77">
        <f>IFERROR(VLOOKUP(Vaktplan!$A$59,Vaktplan!$AY$4:$CL$35,86-AG66,FALSE),0)</f>
        <v>0</v>
      </c>
      <c r="I13" s="9">
        <f>IFERROR(VLOOKUP(Vaktplan!$A$59,Vaktplan!$AY$4:$CL$35,89-$AH66,FALSE),0)</f>
        <v>0</v>
      </c>
      <c r="J13" s="9">
        <f t="shared" si="3"/>
        <v>0</v>
      </c>
      <c r="K13" s="9">
        <f t="shared" si="4"/>
        <v>24</v>
      </c>
      <c r="L13" s="77">
        <f>IFERROR(VLOOKUP(Vaktplan!$A$59,Vaktplan!$AZ$4:$CL$35,86-AI66,FALSE),0)</f>
        <v>0</v>
      </c>
      <c r="M13" s="77">
        <f>IFERROR(VLOOKUP(Vaktplan!$A$59,Vaktplan!$AZ$4:$CL$35,86-AH66,FALSE),0)</f>
        <v>0</v>
      </c>
      <c r="N13" s="9">
        <f>IFERROR(VLOOKUP(Vaktplan!$A$59,Vaktplan!$AZ$4:$CL$35,89-$AI66,FALSE),0)</f>
        <v>0</v>
      </c>
      <c r="O13" s="9">
        <f t="shared" si="5"/>
        <v>0</v>
      </c>
      <c r="P13" s="9">
        <f t="shared" si="6"/>
        <v>24</v>
      </c>
      <c r="Q13" s="77">
        <f>IFERROR(VLOOKUP(Vaktplan!$A$59,Vaktplan!$BA$4:$CL$35,86-AJ66,FALSE),0)</f>
        <v>0</v>
      </c>
      <c r="R13" s="77">
        <f>IFERROR(VLOOKUP(Vaktplan!$A$59,Vaktplan!$BA$4:$CL$35,86-AI66,FALSE),0)</f>
        <v>0</v>
      </c>
      <c r="S13" s="9">
        <f>IFERROR(VLOOKUP(Vaktplan!$A$59,Vaktplan!$BA$4:$CL$35,89-$AJ66,FALSE),0)</f>
        <v>0</v>
      </c>
      <c r="T13" s="9">
        <f t="shared" si="0"/>
        <v>0</v>
      </c>
      <c r="U13" s="9">
        <f t="shared" si="7"/>
        <v>24</v>
      </c>
      <c r="V13" s="77">
        <f>IFERROR(VLOOKUP(Vaktplan!$A$59,Vaktplan!$BB$4:$CL$35,86-AK66,FALSE),0)</f>
        <v>0</v>
      </c>
      <c r="W13" s="77">
        <f>IFERROR(VLOOKUP(Vaktplan!$A$59,Vaktplan!$BB$4:$CL$35,86-AJ66,FALSE),0)</f>
        <v>0</v>
      </c>
      <c r="X13" s="9">
        <f>IFERROR(VLOOKUP(Vaktplan!$A$59,Vaktplan!$BB$4:$CL$35,89-$AK66,FALSE),0)</f>
        <v>0</v>
      </c>
      <c r="Y13" s="9">
        <f t="shared" si="8"/>
        <v>0</v>
      </c>
      <c r="Z13" s="9">
        <f t="shared" si="9"/>
        <v>24</v>
      </c>
      <c r="AA13" s="77">
        <f>IFERROR(VLOOKUP(Vaktplan!$A$59,Vaktplan!$BC$4:$CL$35,86-AL66,FALSE),0)</f>
        <v>0</v>
      </c>
      <c r="AB13" s="77">
        <f>IFERROR(VLOOKUP(Vaktplan!$A$59,Vaktplan!$BC$4:$CL$35,86-AK66,FALSE),0)</f>
        <v>0</v>
      </c>
      <c r="AC13" s="9">
        <f>IFERROR(VLOOKUP(Vaktplan!$A$59,Vaktplan!$BC$4:$CL$35,89-$AL66,FALSE),0)</f>
        <v>0</v>
      </c>
      <c r="AD13" s="9">
        <f t="shared" si="10"/>
        <v>0</v>
      </c>
      <c r="AE13" s="9">
        <f t="shared" si="11"/>
        <v>24</v>
      </c>
      <c r="AF13" s="77">
        <f>IFERROR(VLOOKUP(Vaktplan!$A$59,Vaktplan!$BD$4:$CL$35,86-AM66,FALSE),0)</f>
        <v>0</v>
      </c>
      <c r="AG13" s="77">
        <f>IFERROR(VLOOKUP(Vaktplan!$A$59,Vaktplan!$BD$4:$CL$35,86-AL66,FALSE),0)</f>
        <v>0</v>
      </c>
      <c r="AH13" s="9">
        <f>IFERROR(VLOOKUP(Vaktplan!$A$59,Vaktplan!$BD$4:$CL$35,89-$AM66,FALSE),0)</f>
        <v>0</v>
      </c>
      <c r="AI13" s="9">
        <f t="shared" si="12"/>
        <v>0</v>
      </c>
      <c r="AJ13" s="9">
        <f t="shared" si="13"/>
        <v>24</v>
      </c>
      <c r="AK13" s="9">
        <f t="shared" si="1"/>
        <v>0</v>
      </c>
      <c r="AL13" s="92">
        <f t="shared" si="14"/>
        <v>24</v>
      </c>
      <c r="AM13" s="10">
        <f t="shared" si="15"/>
        <v>0</v>
      </c>
    </row>
    <row r="14" spans="1:39" ht="13" x14ac:dyDescent="0.25">
      <c r="A14" s="7">
        <v>9</v>
      </c>
      <c r="B14" s="77">
        <f>IFERROR(VLOOKUP(Vaktplan!$A$59,Vaktplan!$BE$4:$CL$35,87-AH67,FALSE),0)</f>
        <v>0</v>
      </c>
      <c r="C14" s="77">
        <f>IFERROR(VLOOKUP(Vaktplan!$A$59,Vaktplan!$BE$4:$CL$35,87-AG67,FALSE),0)</f>
        <v>0</v>
      </c>
      <c r="D14" s="9">
        <f>IFERROR(VLOOKUP(Vaktplan!$A$59,Vaktplan!$BE$4:$CL$35,89-AG67,FALSE),0)</f>
        <v>0</v>
      </c>
      <c r="E14" s="9">
        <f t="shared" si="16"/>
        <v>0</v>
      </c>
      <c r="F14" s="9">
        <f t="shared" si="2"/>
        <v>24</v>
      </c>
      <c r="G14" s="77">
        <f>IFERROR(VLOOKUP(Vaktplan!$A$59,Vaktplan!$BF$4:$CL$35,86-AH67,FALSE),0)</f>
        <v>0</v>
      </c>
      <c r="H14" s="77">
        <f>IFERROR(VLOOKUP(Vaktplan!$A$59,Vaktplan!$BF$4:$CL$35,86-AG67,FALSE),0)</f>
        <v>0</v>
      </c>
      <c r="I14" s="9">
        <f>IFERROR(VLOOKUP(Vaktplan!$A$59,Vaktplan!$BF$4:$CL$35,89-$AH67,FALSE),0)</f>
        <v>0</v>
      </c>
      <c r="J14" s="9">
        <f t="shared" si="3"/>
        <v>0</v>
      </c>
      <c r="K14" s="9">
        <f t="shared" si="4"/>
        <v>24</v>
      </c>
      <c r="L14" s="77">
        <f>IFERROR(VLOOKUP(Vaktplan!$A$59,Vaktplan!$BG$4:$CL$35,86-AI67,FALSE),0)</f>
        <v>0</v>
      </c>
      <c r="M14" s="77">
        <f>IFERROR(VLOOKUP(Vaktplan!$A$59,Vaktplan!$BG$4:$CL$35,86-AH67,FALSE),0)</f>
        <v>0</v>
      </c>
      <c r="N14" s="9">
        <f>IFERROR(VLOOKUP(Vaktplan!$A$59,Vaktplan!$BG$4:$CL$35,89-$AI67,FALSE),0)</f>
        <v>0</v>
      </c>
      <c r="O14" s="9">
        <f t="shared" si="5"/>
        <v>0</v>
      </c>
      <c r="P14" s="9">
        <f t="shared" si="6"/>
        <v>24</v>
      </c>
      <c r="Q14" s="77">
        <f>IFERROR(VLOOKUP(Vaktplan!$A$59,Vaktplan!$BH$4:$CL$35,86-AJ67,FALSE),0)</f>
        <v>0</v>
      </c>
      <c r="R14" s="77">
        <f>IFERROR(VLOOKUP(Vaktplan!$A$59,Vaktplan!$BH$4:$CL$35,86-AI67,FALSE),0)</f>
        <v>0</v>
      </c>
      <c r="S14" s="9">
        <f>IFERROR(VLOOKUP(Vaktplan!$A$59,Vaktplan!$BH$4:$CL$35,89-$AJ67,FALSE),0)</f>
        <v>0</v>
      </c>
      <c r="T14" s="9">
        <f t="shared" si="0"/>
        <v>0</v>
      </c>
      <c r="U14" s="9">
        <f t="shared" si="7"/>
        <v>24</v>
      </c>
      <c r="V14" s="77">
        <f>IFERROR(VLOOKUP(Vaktplan!$A$59,Vaktplan!$BI$4:$CL$35,86-AK67,FALSE),0)</f>
        <v>0</v>
      </c>
      <c r="W14" s="77">
        <f>IFERROR(VLOOKUP(Vaktplan!$A$59,Vaktplan!$BI$4:$CL$35,86-AJ67,FALSE),0)</f>
        <v>0</v>
      </c>
      <c r="X14" s="9">
        <f>IFERROR(VLOOKUP(Vaktplan!$A$59,Vaktplan!$BI$4:$CL$35,89-$AK67,FALSE),0)</f>
        <v>0</v>
      </c>
      <c r="Y14" s="9">
        <f>IF(AND(V14=0,W14=0),0,IF(V14&lt;W14,((W14-V14)*24)-X14,(((1-V14)+W14)*24)-X14))</f>
        <v>0</v>
      </c>
      <c r="Z14" s="9">
        <f t="shared" si="9"/>
        <v>24</v>
      </c>
      <c r="AA14" s="77">
        <f>IFERROR(VLOOKUP(Vaktplan!$A$59,Vaktplan!$BJ$4:$CL$35,86-AL67,FALSE),0)</f>
        <v>0</v>
      </c>
      <c r="AB14" s="77">
        <f>IFERROR(VLOOKUP(Vaktplan!$A$59,Vaktplan!$BJ$4:$CL$35,86-AK67,FALSE),0)</f>
        <v>0</v>
      </c>
      <c r="AC14" s="9">
        <f>IFERROR(VLOOKUP(Vaktplan!$A$59,Vaktplan!$BJ$4:$CL$35,89-$AL67,FALSE),0)</f>
        <v>0</v>
      </c>
      <c r="AD14" s="9">
        <f>IF(AND(AA14=0,AB14=0),0,IF(AA14&lt;AB14,((AB14-AA14)*24)-AC14,(((1-AA14)+AB14)*24)-AC14))</f>
        <v>0</v>
      </c>
      <c r="AE14" s="9">
        <f t="shared" si="11"/>
        <v>24</v>
      </c>
      <c r="AF14" s="77">
        <f>IFERROR(VLOOKUP(Vaktplan!$A$59,Vaktplan!$BK$4:$CL$35,86-AM67,FALSE),0)</f>
        <v>0</v>
      </c>
      <c r="AG14" s="77">
        <f>IFERROR(VLOOKUP(Vaktplan!$A$59,Vaktplan!$BK$4:$CL$35,86-AL67,FALSE),0)</f>
        <v>0</v>
      </c>
      <c r="AH14" s="9">
        <f>IFERROR(VLOOKUP(Vaktplan!$A$59,Vaktplan!$BK$4:$CL$35,89-$AM67,FALSE),0)</f>
        <v>0</v>
      </c>
      <c r="AI14" s="9">
        <f>IF(AND(AF14=0,AG14=0),0,IF(AF14&lt;AG14,((AG14-AF14)*24)-AH14,(((1-AF14)+AG14)*24)-AH14))</f>
        <v>0</v>
      </c>
      <c r="AJ14" s="9">
        <f t="shared" si="13"/>
        <v>24</v>
      </c>
      <c r="AK14" s="9">
        <f t="shared" si="1"/>
        <v>0</v>
      </c>
      <c r="AL14" s="92"/>
      <c r="AM14" s="10"/>
    </row>
    <row r="15" spans="1:39" ht="13" x14ac:dyDescent="0.25">
      <c r="A15" s="7">
        <v>10</v>
      </c>
      <c r="B15" s="77">
        <f>IFERROR(VLOOKUP(Vaktplan!$A$59,Vaktplan!$BL$4:$CL$35,87-AH68,FALSE),0)</f>
        <v>0</v>
      </c>
      <c r="C15" s="77">
        <f>IFERROR(VLOOKUP(Vaktplan!$A$59,Vaktplan!$BL$4:$CL$35,87-AG68,FALSE),0)</f>
        <v>0</v>
      </c>
      <c r="D15" s="9">
        <f>IFERROR(VLOOKUP(Vaktplan!$A$59,Vaktplan!$BL$4:$CL$35,89-AG68,FALSE),0)</f>
        <v>0</v>
      </c>
      <c r="E15" s="9">
        <f t="shared" si="16"/>
        <v>0</v>
      </c>
      <c r="F15" s="9">
        <f t="shared" si="2"/>
        <v>24</v>
      </c>
      <c r="G15" s="77">
        <f>IFERROR(VLOOKUP(Vaktplan!$A$59,Vaktplan!$BM$4:$CL$35,86-AH68,FALSE),0)</f>
        <v>0</v>
      </c>
      <c r="H15" s="77">
        <f>IFERROR(VLOOKUP(Vaktplan!$A$59,Vaktplan!$BM$4:$CL$35,86-AG68,FALSE),0)</f>
        <v>0</v>
      </c>
      <c r="I15" s="9">
        <f>IFERROR(VLOOKUP(Vaktplan!$A$59,Vaktplan!$BM$4:$CL$35,89-$AH68,FALSE),0)</f>
        <v>0</v>
      </c>
      <c r="J15" s="9">
        <f t="shared" si="3"/>
        <v>0</v>
      </c>
      <c r="K15" s="9">
        <f t="shared" si="4"/>
        <v>24</v>
      </c>
      <c r="L15" s="77">
        <f>IFERROR(VLOOKUP(Vaktplan!$A$59,Vaktplan!$BN$4:$CL$35,86-AI68,FALSE),0)</f>
        <v>0</v>
      </c>
      <c r="M15" s="77">
        <f>IFERROR(VLOOKUP(Vaktplan!$A$59,Vaktplan!$BN$4:$CL$35,86-AH68,FALSE),0)</f>
        <v>0</v>
      </c>
      <c r="N15" s="9">
        <f>IFERROR(VLOOKUP(Vaktplan!$A$59,Vaktplan!$BN$4:$CL$35,89-$AI68,FALSE),0)</f>
        <v>0</v>
      </c>
      <c r="O15" s="9">
        <f t="shared" si="5"/>
        <v>0</v>
      </c>
      <c r="P15" s="9">
        <f t="shared" si="6"/>
        <v>24</v>
      </c>
      <c r="Q15" s="77">
        <f>IFERROR(VLOOKUP(Vaktplan!$A$59,Vaktplan!$BO$4:$CL$35,86-AJ68,FALSE),0)</f>
        <v>0</v>
      </c>
      <c r="R15" s="77">
        <f>IFERROR(VLOOKUP(Vaktplan!$A$59,Vaktplan!$BO$4:$CL$35,86-AI68,FALSE),0)</f>
        <v>0</v>
      </c>
      <c r="S15" s="9">
        <f>IFERROR(VLOOKUP(Vaktplan!$A$59,Vaktplan!$BO$4:$CL$35,89-$AJ68,FALSE),0)</f>
        <v>0</v>
      </c>
      <c r="T15" s="9">
        <f t="shared" si="0"/>
        <v>0</v>
      </c>
      <c r="U15" s="9">
        <f t="shared" si="7"/>
        <v>24</v>
      </c>
      <c r="V15" s="77">
        <f>IFERROR(VLOOKUP(Vaktplan!$A$59,Vaktplan!$BP$4:$CL$35,86-AK68,FALSE),0)</f>
        <v>0</v>
      </c>
      <c r="W15" s="77">
        <f>IFERROR(VLOOKUP(Vaktplan!$A$59,Vaktplan!$BP$4:$CL$35,86-AJ68,FALSE),0)</f>
        <v>0</v>
      </c>
      <c r="X15" s="9">
        <f>IFERROR(VLOOKUP(Vaktplan!$A$59,Vaktplan!$BP$4:$CL$35,89-$AK68,FALSE),0)</f>
        <v>0</v>
      </c>
      <c r="Y15" s="9">
        <f>IF(AND(V15=0,W15=0),0,IF(V15&lt;W15,((W15-V15)*24)-X15,(((1-V15)+W15)*24)-X15))</f>
        <v>0</v>
      </c>
      <c r="Z15" s="9">
        <f t="shared" si="9"/>
        <v>24</v>
      </c>
      <c r="AA15" s="77">
        <f>IFERROR(VLOOKUP(Vaktplan!$A$59,Vaktplan!$BQ$4:$CL$35,86-AL68,FALSE),0)</f>
        <v>0</v>
      </c>
      <c r="AB15" s="77">
        <f>IFERROR(VLOOKUP(Vaktplan!$A$59,Vaktplan!$BQ$4:$CL$35,86-AK68,FALSE),0)</f>
        <v>0</v>
      </c>
      <c r="AC15" s="9">
        <f>IFERROR(VLOOKUP(Vaktplan!$A$59,Vaktplan!$BQ$4:$CL$35,89-$AL68,FALSE),0)</f>
        <v>0</v>
      </c>
      <c r="AD15" s="9">
        <f>IF(AND(AA15=0,AB15=0),0,IF(AA15&lt;AB15,((AB15-AA15)*24)-AC15,(((1-AA15)+AB15)*24)-AC15))</f>
        <v>0</v>
      </c>
      <c r="AE15" s="9">
        <f t="shared" si="11"/>
        <v>24</v>
      </c>
      <c r="AF15" s="77">
        <f>IFERROR(VLOOKUP(Vaktplan!$A$59,Vaktplan!$BR$4:$CL$35,86-AM68,FALSE),0)</f>
        <v>0</v>
      </c>
      <c r="AG15" s="77">
        <f>IFERROR(VLOOKUP(Vaktplan!$A$59,Vaktplan!$BR$4:$CL$35,86-AL68,FALSE),0)</f>
        <v>0</v>
      </c>
      <c r="AH15" s="9">
        <f>IFERROR(VLOOKUP(Vaktplan!$A$59,Vaktplan!$BR$4:$CL$35,89-$AM68,FALSE),0)</f>
        <v>0</v>
      </c>
      <c r="AI15" s="9">
        <f>IF(AND(AF15=0,AG15=0),0,IF(AF15&lt;AG15,((AG15-AF15)*24)-AH15,(((1-AF15)+AG15)*24)-AH15))</f>
        <v>0</v>
      </c>
      <c r="AJ15" s="9">
        <f t="shared" si="13"/>
        <v>24</v>
      </c>
      <c r="AK15" s="9">
        <f t="shared" si="1"/>
        <v>0</v>
      </c>
      <c r="AL15" s="92"/>
      <c r="AM15" s="10"/>
    </row>
    <row r="16" spans="1:39" ht="13" x14ac:dyDescent="0.25">
      <c r="A16" s="7">
        <v>11</v>
      </c>
      <c r="B16" s="77">
        <f>IFERROR(VLOOKUP(Vaktplan!$A$59,Vaktplan!$BS$4:$CL$35,87-AH69,FALSE),0)</f>
        <v>0</v>
      </c>
      <c r="C16" s="77">
        <f>IFERROR(VLOOKUP(Vaktplan!$A$59,Vaktplan!$BS$4:$CL$35,87-AG69,FALSE),0)</f>
        <v>0</v>
      </c>
      <c r="D16" s="9">
        <f>IFERROR(VLOOKUP(Vaktplan!$A$59,Vaktplan!$BS$4:$CL$35,89-AG69,FALSE),0)</f>
        <v>0</v>
      </c>
      <c r="E16" s="9">
        <f t="shared" si="16"/>
        <v>0</v>
      </c>
      <c r="F16" s="9">
        <f t="shared" si="2"/>
        <v>24</v>
      </c>
      <c r="G16" s="77">
        <f>IFERROR(VLOOKUP(Vaktplan!$A$59,Vaktplan!$BT$4:$CL$35,86-AH69,FALSE),0)</f>
        <v>0</v>
      </c>
      <c r="H16" s="77">
        <f>IFERROR(VLOOKUP(Vaktplan!$A$59,Vaktplan!$BT$4:$CL$35,86-AG69,FALSE),0)</f>
        <v>0</v>
      </c>
      <c r="I16" s="9">
        <f>IFERROR(VLOOKUP(Vaktplan!$A$59,Vaktplan!$BT$4:$CL$35,89-$AH69,FALSE),0)</f>
        <v>0</v>
      </c>
      <c r="J16" s="9">
        <f t="shared" si="3"/>
        <v>0</v>
      </c>
      <c r="K16" s="9">
        <f t="shared" si="4"/>
        <v>24</v>
      </c>
      <c r="L16" s="77">
        <f>IFERROR(VLOOKUP(Vaktplan!$A$59,Vaktplan!$BU$4:$CL$35,86-AI69,FALSE),0)</f>
        <v>0</v>
      </c>
      <c r="M16" s="77">
        <f>IFERROR(VLOOKUP(Vaktplan!$A$59,Vaktplan!$BU$4:$CL$35,86-AH69,FALSE),0)</f>
        <v>0</v>
      </c>
      <c r="N16" s="9">
        <f>IFERROR(VLOOKUP(Vaktplan!$A$59,Vaktplan!$BU$4:$CL$35,89-$AI69,FALSE),0)</f>
        <v>0</v>
      </c>
      <c r="O16" s="9">
        <f t="shared" si="5"/>
        <v>0</v>
      </c>
      <c r="P16" s="9">
        <f t="shared" si="6"/>
        <v>24</v>
      </c>
      <c r="Q16" s="77">
        <f>IFERROR(VLOOKUP(Vaktplan!$A$59,Vaktplan!$BV$4:$CL$35,86-AJ69,FALSE),0)</f>
        <v>0</v>
      </c>
      <c r="R16" s="77">
        <f>IFERROR(VLOOKUP(Vaktplan!$A$59,Vaktplan!$BV$4:$CL$35,86-AI69,FALSE),0)</f>
        <v>0</v>
      </c>
      <c r="S16" s="9">
        <f>IFERROR(VLOOKUP(Vaktplan!$A$59,Vaktplan!$BV$4:$CL$35,89-$AJ69,FALSE),0)</f>
        <v>0</v>
      </c>
      <c r="T16" s="9">
        <f t="shared" si="0"/>
        <v>0</v>
      </c>
      <c r="U16" s="9">
        <f t="shared" si="7"/>
        <v>24</v>
      </c>
      <c r="V16" s="77">
        <f>IFERROR(VLOOKUP(Vaktplan!$A$59,Vaktplan!$BW$4:$CL$35,86-AK69,FALSE),0)</f>
        <v>0</v>
      </c>
      <c r="W16" s="77">
        <f>IFERROR(VLOOKUP(Vaktplan!$A$59,Vaktplan!$BW$4:$CL$35,86-AJ69,FALSE),0)</f>
        <v>0</v>
      </c>
      <c r="X16" s="9">
        <f>IFERROR(VLOOKUP(Vaktplan!$A$59,Vaktplan!$BW$4:$CL$35,89-$AK69,FALSE),0)</f>
        <v>0</v>
      </c>
      <c r="Y16" s="9">
        <f>IF(AND(V16=0,W16=0),0,IF(V16&lt;W16,((W16-V16)*24)-X16,(((1-V16)+W16)*24)-X16))</f>
        <v>0</v>
      </c>
      <c r="Z16" s="9">
        <f t="shared" si="9"/>
        <v>24</v>
      </c>
      <c r="AA16" s="77">
        <f>IFERROR(VLOOKUP(Vaktplan!$A$59,Vaktplan!$BX$4:$CL$35,86-AL69,FALSE),0)</f>
        <v>0</v>
      </c>
      <c r="AB16" s="77">
        <f>IFERROR(VLOOKUP(Vaktplan!$A$59,Vaktplan!$BX$4:$CL$35,86-AK69,FALSE),0)</f>
        <v>0</v>
      </c>
      <c r="AC16" s="9">
        <f>IFERROR(VLOOKUP(Vaktplan!$A$59,Vaktplan!$BX$4:$CL$35,89-$AL69,FALSE),0)</f>
        <v>0</v>
      </c>
      <c r="AD16" s="9">
        <f>IF(AND(AA16=0,AB16=0),0,IF(AA16&lt;AB16,((AB16-AA16)*24)-AC16,(((1-AA16)+AB16)*24)-AC16))</f>
        <v>0</v>
      </c>
      <c r="AE16" s="9">
        <f t="shared" si="11"/>
        <v>24</v>
      </c>
      <c r="AF16" s="77">
        <f>IFERROR(VLOOKUP(Vaktplan!$A$59,Vaktplan!$BY$4:$CL$35,86-AM69,FALSE),0)</f>
        <v>0</v>
      </c>
      <c r="AG16" s="77">
        <f>IFERROR(VLOOKUP(Vaktplan!$A$59,Vaktplan!$BY$4:$CL$35,86-AL69,FALSE),0)</f>
        <v>0</v>
      </c>
      <c r="AH16" s="9">
        <f>IFERROR(VLOOKUP(Vaktplan!$A$59,Vaktplan!$BY$4:$CL$35,89-$AM69,FALSE),0)</f>
        <v>0</v>
      </c>
      <c r="AI16" s="9">
        <f>IF(AND(AF16=0,AG16=0),0,IF(AF16&lt;AG16,((AG16-AF16)*24)-AH16,(((1-AF16)+AG16)*24)-AH16))</f>
        <v>0</v>
      </c>
      <c r="AJ16" s="9">
        <f t="shared" si="13"/>
        <v>24</v>
      </c>
      <c r="AK16" s="9">
        <f t="shared" si="1"/>
        <v>0</v>
      </c>
      <c r="AL16" s="92"/>
      <c r="AM16" s="10"/>
    </row>
    <row r="17" spans="1:43" ht="13" x14ac:dyDescent="0.25">
      <c r="A17" s="7">
        <v>12</v>
      </c>
      <c r="B17" s="77">
        <f>IFERROR(VLOOKUP(Vaktplan!$A$59,Vaktplan!$BZ$4:$CL$35,87-AH70,FALSE),0)</f>
        <v>0</v>
      </c>
      <c r="C17" s="77">
        <f>IFERROR(VLOOKUP(Vaktplan!$A$59,Vaktplan!$BZ$4:$CL$35,87-AG70,FALSE),0)</f>
        <v>0</v>
      </c>
      <c r="D17" s="9">
        <f>IFERROR(VLOOKUP(Vaktplan!$A$59,Vaktplan!$BZ$4:$CL$35,89-AG70,FALSE),0)</f>
        <v>0</v>
      </c>
      <c r="E17" s="9">
        <f t="shared" si="16"/>
        <v>0</v>
      </c>
      <c r="F17" s="9">
        <f t="shared" si="2"/>
        <v>24</v>
      </c>
      <c r="G17" s="77">
        <f>IFERROR(VLOOKUP(Vaktplan!$A$59,Vaktplan!$CA$4:$CL$35,86-AH70,FALSE),0)</f>
        <v>0</v>
      </c>
      <c r="H17" s="77">
        <f>IFERROR(VLOOKUP(Vaktplan!$A$59,Vaktplan!$CA$4:$CL$35,86-AG70,FALSE),0)</f>
        <v>0</v>
      </c>
      <c r="I17" s="9">
        <f>IFERROR(VLOOKUP(Vaktplan!$A$59,Vaktplan!$CA$4:$CL$35,89-$AH70,FALSE),0)</f>
        <v>0</v>
      </c>
      <c r="J17" s="9">
        <f t="shared" si="3"/>
        <v>0</v>
      </c>
      <c r="K17" s="9">
        <f t="shared" si="4"/>
        <v>24</v>
      </c>
      <c r="L17" s="77">
        <f>IFERROR(VLOOKUP(Vaktplan!$A$59,Vaktplan!$CB$4:$CL$35,86-AI70,FALSE),0)</f>
        <v>0</v>
      </c>
      <c r="M17" s="77">
        <f>IFERROR(VLOOKUP(Vaktplan!$A$59,Vaktplan!$CB$4:$CL$35,86-AH70,FALSE),0)</f>
        <v>0</v>
      </c>
      <c r="N17" s="9">
        <f>IFERROR(VLOOKUP(Vaktplan!$A$59,Vaktplan!$CB$4:$CL$35,89-$AI70,FALSE),0)</f>
        <v>0</v>
      </c>
      <c r="O17" s="9">
        <f t="shared" si="5"/>
        <v>0</v>
      </c>
      <c r="P17" s="9">
        <f t="shared" si="6"/>
        <v>24</v>
      </c>
      <c r="Q17" s="77">
        <f>IFERROR(VLOOKUP(Vaktplan!$A$59,Vaktplan!$CC$4:$CL$35,86-AJ70,FALSE),0)</f>
        <v>0</v>
      </c>
      <c r="R17" s="77">
        <f>IFERROR(VLOOKUP(Vaktplan!$A$59,Vaktplan!$CC$4:$CL$35,86-AI70,FALSE),0)</f>
        <v>0</v>
      </c>
      <c r="S17" s="9">
        <f>IFERROR(VLOOKUP(Vaktplan!$A$59,Vaktplan!$CC$4:$CL$35,89-$AJ70,FALSE),0)</f>
        <v>0</v>
      </c>
      <c r="T17" s="9">
        <f t="shared" si="0"/>
        <v>0</v>
      </c>
      <c r="U17" s="9">
        <f t="shared" si="7"/>
        <v>24</v>
      </c>
      <c r="V17" s="77">
        <f>IFERROR(VLOOKUP(Vaktplan!$A$59,Vaktplan!$CD$4:$CL$35,86-AK70,FALSE),0)</f>
        <v>0</v>
      </c>
      <c r="W17" s="77">
        <f>IFERROR(VLOOKUP(Vaktplan!$A$59,Vaktplan!$CD$4:$CL$35,86-AJ70,FALSE),0)</f>
        <v>0</v>
      </c>
      <c r="X17" s="9">
        <f>IFERROR(VLOOKUP(Vaktplan!$A$59,Vaktplan!$CD$4:$CL$35,89-$AK70,FALSE),0)</f>
        <v>0</v>
      </c>
      <c r="Y17" s="9">
        <f>IF(AND(V17=0,W17=0),0,IF(V17&lt;W17,((W17-V17)*24)-X17,(((1-V17)+W17)*24)-X17))</f>
        <v>0</v>
      </c>
      <c r="Z17" s="9">
        <f t="shared" si="9"/>
        <v>24</v>
      </c>
      <c r="AA17" s="77">
        <f>IFERROR(VLOOKUP(Vaktplan!$A$59,Vaktplan!$CE$4:$CL$35,86-AL70,FALSE),0)</f>
        <v>0</v>
      </c>
      <c r="AB17" s="77">
        <f>IFERROR(VLOOKUP(Vaktplan!$A$59,Vaktplan!$CE$4:$CL$35,86-AK70,FALSE),0)</f>
        <v>0</v>
      </c>
      <c r="AC17" s="9">
        <f>IFERROR(VLOOKUP(Vaktplan!$A$59,Vaktplan!$CE$4:$FCE$35,89-$AL70,FALSE),0)</f>
        <v>0</v>
      </c>
      <c r="AD17" s="9">
        <f>IF(AND(AA17=0,AB17=0),0,IF(AA17&lt;AB17,((AB17-AA17)*24)-AC17,(((1-AA17)+AB17)*24)-AC17))</f>
        <v>0</v>
      </c>
      <c r="AE17" s="9">
        <f t="shared" si="11"/>
        <v>24</v>
      </c>
      <c r="AF17" s="77">
        <f>IFERROR(VLOOKUP(Vaktplan!$A$59,Vaktplan!$CF$4:$CL$35,86-AM70,FALSE),0)</f>
        <v>0</v>
      </c>
      <c r="AG17" s="77">
        <f>IFERROR(VLOOKUP(Vaktplan!$A$59,Vaktplan!$CF$4:$CL$35,86-AL70,FALSE),0)</f>
        <v>0</v>
      </c>
      <c r="AH17" s="9">
        <f>IFERROR(VLOOKUP(Vaktplan!$A$59,Vaktplan!$CF$4:$CL$35,89-$AM70,FALSE),0)</f>
        <v>0</v>
      </c>
      <c r="AI17" s="9">
        <f>IF(AND(AF17=0,AG17=0),0,IF(AF17&lt;AG17,((AG17-AF17)*24)-AH17,(((1-AF17)+AG17)*24)-AH17))</f>
        <v>0</v>
      </c>
      <c r="AJ17" s="9">
        <f t="shared" si="13"/>
        <v>24</v>
      </c>
      <c r="AK17" s="9">
        <f t="shared" si="1"/>
        <v>0</v>
      </c>
      <c r="AL17" s="92"/>
      <c r="AM17" s="10"/>
    </row>
    <row r="19" spans="1:43" ht="13" x14ac:dyDescent="0.3">
      <c r="A19" s="4" t="s">
        <v>76</v>
      </c>
    </row>
    <row r="20" spans="1:43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3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3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3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3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6" spans="1:43" ht="13" x14ac:dyDescent="0.3">
      <c r="A26" s="4" t="s">
        <v>77</v>
      </c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</row>
    <row r="27" spans="1:43" ht="13" x14ac:dyDescent="0.3">
      <c r="A27" s="3" t="s">
        <v>78</v>
      </c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80" t="s">
        <v>79</v>
      </c>
      <c r="AM27" s="78"/>
      <c r="AN27" s="78"/>
      <c r="AO27" s="78"/>
    </row>
    <row r="28" spans="1:43" ht="13" x14ac:dyDescent="0.3">
      <c r="A28" s="98" t="s">
        <v>36</v>
      </c>
      <c r="B28" s="98"/>
      <c r="C28" s="98"/>
      <c r="D28" s="88"/>
      <c r="E28" s="8">
        <f>E2</f>
        <v>0</v>
      </c>
      <c r="F28" s="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>
        <v>1</v>
      </c>
      <c r="AM28" s="78"/>
      <c r="AN28" s="78"/>
      <c r="AO28" s="78"/>
    </row>
    <row r="29" spans="1:43" ht="13" x14ac:dyDescent="0.3">
      <c r="A29" s="98" t="s">
        <v>80</v>
      </c>
      <c r="B29" s="98"/>
      <c r="C29" s="98"/>
      <c r="D29" s="88"/>
      <c r="E29" s="5">
        <f>E3</f>
        <v>0</v>
      </c>
      <c r="F29" s="5"/>
      <c r="T29" s="10"/>
      <c r="U29" s="10"/>
      <c r="V29" s="10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80" t="s">
        <v>81</v>
      </c>
      <c r="AH29" s="80"/>
      <c r="AI29" s="78"/>
      <c r="AJ29" s="78"/>
      <c r="AK29" s="78"/>
      <c r="AL29" s="78">
        <v>2</v>
      </c>
      <c r="AM29" s="78"/>
      <c r="AN29" s="78"/>
      <c r="AO29" s="78"/>
      <c r="AP29" s="10"/>
      <c r="AQ29" s="10"/>
    </row>
    <row r="30" spans="1:43" ht="13" x14ac:dyDescent="0.3">
      <c r="A30" s="98" t="s">
        <v>82</v>
      </c>
      <c r="B30" s="98"/>
      <c r="C30" s="98"/>
      <c r="D30" s="88"/>
      <c r="T30" s="10"/>
      <c r="U30" s="10"/>
      <c r="V30" s="10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>
        <v>3</v>
      </c>
      <c r="AM30" s="78"/>
      <c r="AN30" s="78"/>
      <c r="AO30" s="78"/>
      <c r="AP30" s="10"/>
      <c r="AQ30" s="10"/>
    </row>
    <row r="31" spans="1:43" ht="13" x14ac:dyDescent="0.3">
      <c r="A31" s="4" t="s">
        <v>83</v>
      </c>
      <c r="B31" s="4" t="s">
        <v>84</v>
      </c>
      <c r="C31" s="4" t="s">
        <v>85</v>
      </c>
      <c r="D31" s="98" t="s">
        <v>86</v>
      </c>
      <c r="E31" s="98"/>
      <c r="F31" s="4" t="s">
        <v>87</v>
      </c>
      <c r="G31" s="4" t="s">
        <v>88</v>
      </c>
      <c r="H31" s="98" t="s">
        <v>27</v>
      </c>
      <c r="I31" s="98"/>
      <c r="J31" s="4" t="s">
        <v>28</v>
      </c>
      <c r="K31" s="4" t="s">
        <v>29</v>
      </c>
      <c r="L31" s="4" t="s">
        <v>30</v>
      </c>
      <c r="M31" s="4" t="s">
        <v>31</v>
      </c>
      <c r="N31" s="98" t="s">
        <v>32</v>
      </c>
      <c r="O31" s="98"/>
      <c r="T31" s="10"/>
      <c r="U31" s="10"/>
      <c r="V31" s="10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80" t="s">
        <v>9</v>
      </c>
      <c r="AH31" s="80"/>
      <c r="AI31" s="78"/>
      <c r="AJ31" s="78"/>
      <c r="AK31" s="78"/>
      <c r="AL31" s="78">
        <v>4</v>
      </c>
      <c r="AM31" s="78"/>
      <c r="AN31" s="78"/>
      <c r="AO31" s="78"/>
      <c r="AP31" s="10"/>
      <c r="AQ31" s="10"/>
    </row>
    <row r="32" spans="1:43" ht="13" x14ac:dyDescent="0.3">
      <c r="A32" s="3">
        <f>AK6</f>
        <v>0</v>
      </c>
      <c r="B32" s="3">
        <f>AK7</f>
        <v>0</v>
      </c>
      <c r="C32" s="3">
        <f>AK8</f>
        <v>0</v>
      </c>
      <c r="D32" s="101">
        <f>AK9</f>
        <v>0</v>
      </c>
      <c r="E32" s="101"/>
      <c r="F32" s="3">
        <f>AK10</f>
        <v>0</v>
      </c>
      <c r="G32" s="3">
        <f>AK11</f>
        <v>0</v>
      </c>
      <c r="H32" s="101">
        <f>AK12</f>
        <v>0</v>
      </c>
      <c r="I32" s="101"/>
      <c r="J32" s="3">
        <f>AK13</f>
        <v>0</v>
      </c>
      <c r="K32" s="3">
        <f>AK14</f>
        <v>0</v>
      </c>
      <c r="L32" s="3">
        <f>AK15</f>
        <v>0</v>
      </c>
      <c r="M32" s="3">
        <f>AK16</f>
        <v>0</v>
      </c>
      <c r="N32" s="101">
        <f>AK17</f>
        <v>0</v>
      </c>
      <c r="O32" s="101"/>
      <c r="T32" s="11" t="s">
        <v>70</v>
      </c>
      <c r="U32" s="10" t="s">
        <v>89</v>
      </c>
      <c r="V32" s="10" t="s">
        <v>90</v>
      </c>
      <c r="W32" s="78" t="s">
        <v>91</v>
      </c>
      <c r="X32" s="78" t="s">
        <v>92</v>
      </c>
      <c r="Y32" s="78" t="s">
        <v>93</v>
      </c>
      <c r="Z32" s="78" t="s">
        <v>94</v>
      </c>
      <c r="AA32" s="78"/>
      <c r="AB32" s="78"/>
      <c r="AC32" s="78"/>
      <c r="AD32" s="78"/>
      <c r="AE32" s="78"/>
      <c r="AF32" s="78"/>
      <c r="AG32" s="78" t="s">
        <v>10</v>
      </c>
      <c r="AH32" s="78"/>
      <c r="AI32" s="79">
        <v>42177</v>
      </c>
      <c r="AJ32" s="79"/>
      <c r="AK32" s="78"/>
      <c r="AL32" s="78">
        <v>5</v>
      </c>
      <c r="AM32" s="78"/>
      <c r="AN32" s="78"/>
      <c r="AO32" s="78"/>
      <c r="AP32" s="10"/>
      <c r="AQ32" s="10"/>
    </row>
    <row r="33" spans="1:43" ht="13" x14ac:dyDescent="0.3">
      <c r="A33" s="98" t="s">
        <v>95</v>
      </c>
      <c r="B33" s="98"/>
      <c r="C33" s="98"/>
      <c r="D33" s="88"/>
      <c r="G33" s="101"/>
      <c r="H33" s="101"/>
      <c r="I33" s="90"/>
      <c r="T33" s="10">
        <v>1</v>
      </c>
      <c r="U33" s="10">
        <f>IF(AND(B6&gt;0,G6&gt;0),0,IF(AND(G6&gt;0),0,F6+K6))</f>
        <v>48</v>
      </c>
      <c r="V33" s="10">
        <f>IF(AND(G6&gt;0,L6&gt;0),0,IF(AND(L6&gt;0),0,K6+P6))</f>
        <v>48</v>
      </c>
      <c r="W33" s="78">
        <f>IF(AND(L6&gt;0,Q6&gt;0),0,IF(AND(Q6&gt;0),0,P6+U6))</f>
        <v>48</v>
      </c>
      <c r="X33" s="78">
        <f>IF(AND(Q6&gt;0,V6&gt;0),0,IF(AND(V6&gt;0),0,U6+Z6))</f>
        <v>48</v>
      </c>
      <c r="Y33" s="78">
        <f>IF(AND(V6&gt;0,AA6&gt;0),0,IF(AND(AA6&gt;0),0,Z6+AE6))</f>
        <v>48</v>
      </c>
      <c r="Z33" s="78">
        <f>IF(AND(AA6&gt;0,AF6&gt;0),0,IF(AND(AF6&gt;0),0,AE6+AJ6))</f>
        <v>48</v>
      </c>
      <c r="AA33" s="78"/>
      <c r="AB33" s="78"/>
      <c r="AC33" s="78"/>
      <c r="AD33" s="78"/>
      <c r="AE33" s="78"/>
      <c r="AF33" s="78"/>
      <c r="AG33" s="78" t="s">
        <v>11</v>
      </c>
      <c r="AH33" s="78"/>
      <c r="AI33" s="79">
        <v>42178</v>
      </c>
      <c r="AJ33" s="79"/>
      <c r="AK33" s="78"/>
      <c r="AL33" s="78">
        <v>6</v>
      </c>
      <c r="AM33" s="78"/>
      <c r="AN33" s="78"/>
      <c r="AO33" s="78"/>
      <c r="AP33" s="10"/>
      <c r="AQ33" s="10"/>
    </row>
    <row r="34" spans="1:43" x14ac:dyDescent="0.25">
      <c r="A34" s="101" t="s">
        <v>96</v>
      </c>
      <c r="B34" s="101"/>
      <c r="C34" s="3">
        <f>(AK6+AK7+AK8+AK9+AK10+AK11+AK12+AK13+AK14+AK15+AK16+AK17)/M1</f>
        <v>0</v>
      </c>
      <c r="T34" s="10">
        <v>2</v>
      </c>
      <c r="U34" s="10">
        <f t="shared" ref="U34:U40" si="17">IF(AND(B7&gt;0,G7&gt;0),0,IF(AND(G7&gt;0),0,F7+K7))</f>
        <v>48</v>
      </c>
      <c r="V34" s="10">
        <f t="shared" ref="V34:V40" si="18">IF(AND(G7&gt;0,L7&gt;0),0,IF(AND(L7&gt;0),0,K7+P7))</f>
        <v>48</v>
      </c>
      <c r="W34" s="78">
        <f t="shared" ref="W34:W44" si="19">IF(AND(L7&gt;0,Q7&gt;0),0,IF(AND(Q7&gt;0),0,P7+U7))</f>
        <v>48</v>
      </c>
      <c r="X34" s="78">
        <f t="shared" ref="X34:X44" si="20">IF(AND(Q7&gt;0,V7&gt;0),0,IF(AND(V7&gt;0),0,U7+Z7))</f>
        <v>48</v>
      </c>
      <c r="Y34" s="78">
        <f t="shared" ref="Y34:Y44" si="21">IF(AND(V7&gt;0,AA7&gt;0),0,IF(AND(AA7&gt;0),0,Z7+AE7))</f>
        <v>48</v>
      </c>
      <c r="Z34" s="78">
        <f t="shared" ref="Z34:Z44" si="22">IF(AND(AA7&gt;0,AF7&gt;0),0,IF(AND(AF7&gt;0),0,AE7+AJ7))</f>
        <v>48</v>
      </c>
      <c r="AA34" s="78"/>
      <c r="AB34" s="78"/>
      <c r="AC34" s="78"/>
      <c r="AD34" s="78"/>
      <c r="AE34" s="78"/>
      <c r="AF34" s="78"/>
      <c r="AG34" s="78" t="s">
        <v>12</v>
      </c>
      <c r="AH34" s="78"/>
      <c r="AI34" s="79">
        <v>42179</v>
      </c>
      <c r="AJ34" s="79"/>
      <c r="AK34" s="78"/>
      <c r="AL34" s="78">
        <v>7</v>
      </c>
      <c r="AM34" s="78"/>
      <c r="AN34" s="78"/>
      <c r="AO34" s="78"/>
      <c r="AP34" s="10"/>
      <c r="AQ34" s="10"/>
    </row>
    <row r="35" spans="1:43" x14ac:dyDescent="0.25">
      <c r="T35" s="10">
        <v>3</v>
      </c>
      <c r="U35" s="10">
        <f t="shared" si="17"/>
        <v>48</v>
      </c>
      <c r="V35" s="10">
        <f t="shared" si="18"/>
        <v>48</v>
      </c>
      <c r="W35" s="78">
        <f t="shared" si="19"/>
        <v>48</v>
      </c>
      <c r="X35" s="78">
        <f t="shared" si="20"/>
        <v>48</v>
      </c>
      <c r="Y35" s="78">
        <f t="shared" si="21"/>
        <v>48</v>
      </c>
      <c r="Z35" s="78">
        <f t="shared" si="22"/>
        <v>48</v>
      </c>
      <c r="AA35" s="78"/>
      <c r="AB35" s="78"/>
      <c r="AC35" s="78"/>
      <c r="AD35" s="78"/>
      <c r="AE35" s="78"/>
      <c r="AF35" s="78"/>
      <c r="AG35" s="78" t="s">
        <v>13</v>
      </c>
      <c r="AH35" s="78"/>
      <c r="AI35" s="79">
        <v>42180</v>
      </c>
      <c r="AJ35" s="79"/>
      <c r="AK35" s="78"/>
      <c r="AL35" s="78">
        <v>8</v>
      </c>
      <c r="AM35" s="78"/>
      <c r="AN35" s="78"/>
      <c r="AO35" s="78"/>
      <c r="AP35" s="78"/>
      <c r="AQ35" s="10"/>
    </row>
    <row r="36" spans="1:43" ht="13" x14ac:dyDescent="0.3">
      <c r="A36" s="98" t="s">
        <v>97</v>
      </c>
      <c r="B36" s="98"/>
      <c r="C36" s="98"/>
      <c r="D36" s="98"/>
      <c r="E36" s="98"/>
      <c r="F36" s="88"/>
      <c r="T36" s="10">
        <v>4</v>
      </c>
      <c r="U36" s="10">
        <f t="shared" si="17"/>
        <v>48</v>
      </c>
      <c r="V36" s="10">
        <f t="shared" si="18"/>
        <v>48</v>
      </c>
      <c r="W36" s="78">
        <f t="shared" si="19"/>
        <v>48</v>
      </c>
      <c r="X36" s="78">
        <f t="shared" si="20"/>
        <v>48</v>
      </c>
      <c r="Y36" s="78">
        <f t="shared" si="21"/>
        <v>48</v>
      </c>
      <c r="Z36" s="78">
        <f t="shared" si="22"/>
        <v>48</v>
      </c>
      <c r="AA36" s="78"/>
      <c r="AB36" s="78"/>
      <c r="AC36" s="78"/>
      <c r="AD36" s="78"/>
      <c r="AE36" s="78"/>
      <c r="AF36" s="78"/>
      <c r="AG36" s="78" t="s">
        <v>14</v>
      </c>
      <c r="AH36" s="78"/>
      <c r="AI36" s="79">
        <v>42181</v>
      </c>
      <c r="AJ36" s="79"/>
      <c r="AK36" s="78"/>
      <c r="AL36" s="3">
        <v>9</v>
      </c>
      <c r="AM36" s="78"/>
      <c r="AN36" s="78"/>
      <c r="AO36" s="78"/>
      <c r="AP36" s="78"/>
      <c r="AQ36" s="10"/>
    </row>
    <row r="37" spans="1:43" x14ac:dyDescent="0.25">
      <c r="A37" s="99" t="e">
        <f>C34/E3</f>
        <v>#DIV/0!</v>
      </c>
      <c r="B37" s="99"/>
      <c r="C37" s="99"/>
      <c r="T37" s="10">
        <v>5</v>
      </c>
      <c r="U37" s="10">
        <f t="shared" si="17"/>
        <v>48</v>
      </c>
      <c r="V37" s="10">
        <f t="shared" si="18"/>
        <v>48</v>
      </c>
      <c r="W37" s="78">
        <f t="shared" si="19"/>
        <v>48</v>
      </c>
      <c r="X37" s="78">
        <f t="shared" si="20"/>
        <v>48</v>
      </c>
      <c r="Y37" s="78">
        <f t="shared" si="21"/>
        <v>48</v>
      </c>
      <c r="Z37" s="78">
        <f t="shared" si="22"/>
        <v>48</v>
      </c>
      <c r="AA37" s="78"/>
      <c r="AB37" s="78"/>
      <c r="AC37" s="78"/>
      <c r="AD37" s="78"/>
      <c r="AE37" s="78"/>
      <c r="AF37" s="78"/>
      <c r="AG37" s="78" t="s">
        <v>15</v>
      </c>
      <c r="AH37" s="78"/>
      <c r="AI37" s="79">
        <v>42182</v>
      </c>
      <c r="AJ37" s="79"/>
      <c r="AK37" s="78"/>
      <c r="AL37" s="3">
        <v>10</v>
      </c>
      <c r="AM37" s="78"/>
      <c r="AN37" s="78"/>
      <c r="AO37" s="78"/>
      <c r="AP37" s="78"/>
      <c r="AQ37" s="10"/>
    </row>
    <row r="38" spans="1:43" x14ac:dyDescent="0.25">
      <c r="T38" s="10">
        <v>6</v>
      </c>
      <c r="U38" s="10">
        <f t="shared" si="17"/>
        <v>48</v>
      </c>
      <c r="V38" s="10">
        <f t="shared" si="18"/>
        <v>48</v>
      </c>
      <c r="W38" s="78">
        <f t="shared" si="19"/>
        <v>48</v>
      </c>
      <c r="X38" s="78">
        <f t="shared" si="20"/>
        <v>48</v>
      </c>
      <c r="Y38" s="78">
        <f t="shared" si="21"/>
        <v>48</v>
      </c>
      <c r="Z38" s="78">
        <f t="shared" si="22"/>
        <v>48</v>
      </c>
      <c r="AA38" s="78"/>
      <c r="AB38" s="78"/>
      <c r="AC38" s="78"/>
      <c r="AD38" s="78"/>
      <c r="AE38" s="78"/>
      <c r="AF38" s="78"/>
      <c r="AG38" s="78" t="s">
        <v>16</v>
      </c>
      <c r="AH38" s="78"/>
      <c r="AI38" s="79">
        <v>42183</v>
      </c>
      <c r="AJ38" s="79"/>
      <c r="AK38" s="78"/>
      <c r="AL38" s="3">
        <v>11</v>
      </c>
      <c r="AM38" s="78"/>
      <c r="AN38" s="78"/>
      <c r="AO38" s="78"/>
      <c r="AP38" s="78"/>
      <c r="AQ38" s="10"/>
    </row>
    <row r="39" spans="1:43" x14ac:dyDescent="0.25">
      <c r="T39" s="10">
        <v>7</v>
      </c>
      <c r="U39" s="10">
        <f t="shared" si="17"/>
        <v>48</v>
      </c>
      <c r="V39" s="10">
        <f t="shared" si="18"/>
        <v>48</v>
      </c>
      <c r="W39" s="78">
        <f t="shared" si="19"/>
        <v>48</v>
      </c>
      <c r="X39" s="78">
        <f t="shared" si="20"/>
        <v>48</v>
      </c>
      <c r="Y39" s="78">
        <f t="shared" si="21"/>
        <v>48</v>
      </c>
      <c r="Z39" s="78">
        <f t="shared" si="22"/>
        <v>48</v>
      </c>
      <c r="AA39" s="78"/>
      <c r="AB39" s="78"/>
      <c r="AC39" s="78"/>
      <c r="AD39" s="78"/>
      <c r="AE39" s="78"/>
      <c r="AF39" s="78"/>
      <c r="AG39" s="100">
        <f>IF(E1=AG32,AI32,IF(E1=AG33,AI33,IF(E1=AG34,AI34,IF(E1=AG35,AI35,IF(E1=AG36,AI36,IF(E1=AG37,AI37,IF(E1=AG38,AI38,AI32)))))))</f>
        <v>42177</v>
      </c>
      <c r="AH39" s="100"/>
      <c r="AI39" s="100"/>
      <c r="AJ39" s="100"/>
      <c r="AK39" s="100"/>
      <c r="AL39" s="3">
        <v>12</v>
      </c>
      <c r="AM39" s="78"/>
      <c r="AN39" s="78"/>
      <c r="AO39" s="78"/>
      <c r="AP39" s="78"/>
      <c r="AQ39" s="10"/>
    </row>
    <row r="40" spans="1:43" ht="13" x14ac:dyDescent="0.3">
      <c r="A40" s="4" t="s">
        <v>98</v>
      </c>
      <c r="T40" s="10">
        <v>8</v>
      </c>
      <c r="U40" s="10">
        <f t="shared" si="17"/>
        <v>48</v>
      </c>
      <c r="V40" s="10">
        <f t="shared" si="18"/>
        <v>48</v>
      </c>
      <c r="W40" s="78">
        <f t="shared" si="19"/>
        <v>48</v>
      </c>
      <c r="X40" s="78">
        <f t="shared" si="20"/>
        <v>48</v>
      </c>
      <c r="Y40" s="78">
        <f t="shared" si="21"/>
        <v>48</v>
      </c>
      <c r="Z40" s="78">
        <f t="shared" si="22"/>
        <v>48</v>
      </c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10"/>
    </row>
    <row r="41" spans="1:43" x14ac:dyDescent="0.25">
      <c r="A41" s="3" t="s">
        <v>99</v>
      </c>
      <c r="T41" s="10"/>
      <c r="U41" s="10"/>
      <c r="V41" s="10"/>
      <c r="W41" s="78">
        <f t="shared" si="19"/>
        <v>48</v>
      </c>
      <c r="X41" s="78">
        <f t="shared" si="20"/>
        <v>48</v>
      </c>
      <c r="Y41" s="78">
        <f t="shared" si="21"/>
        <v>48</v>
      </c>
      <c r="Z41" s="78">
        <f t="shared" si="22"/>
        <v>48</v>
      </c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10"/>
    </row>
    <row r="42" spans="1:43" ht="13" x14ac:dyDescent="0.3">
      <c r="A42" s="3" t="s">
        <v>100</v>
      </c>
      <c r="O42" s="81">
        <v>0.29166666666666669</v>
      </c>
      <c r="P42" s="81">
        <v>0.33333333333333331</v>
      </c>
      <c r="Q42" s="3">
        <f>(P42-O42)*24</f>
        <v>0.99999999999999911</v>
      </c>
      <c r="T42" s="10"/>
      <c r="U42" s="10"/>
      <c r="V42" s="10"/>
      <c r="W42" s="78">
        <f t="shared" si="19"/>
        <v>48</v>
      </c>
      <c r="X42" s="78">
        <f t="shared" si="20"/>
        <v>48</v>
      </c>
      <c r="Y42" s="78">
        <f t="shared" si="21"/>
        <v>48</v>
      </c>
      <c r="Z42" s="78">
        <f t="shared" si="22"/>
        <v>48</v>
      </c>
      <c r="AA42" s="78"/>
      <c r="AB42" s="78"/>
      <c r="AC42" s="78"/>
      <c r="AD42" s="78"/>
      <c r="AE42" s="78"/>
      <c r="AF42" s="78"/>
      <c r="AG42" s="80" t="s">
        <v>101</v>
      </c>
      <c r="AH42" s="80"/>
      <c r="AI42" s="78"/>
      <c r="AJ42" s="78"/>
      <c r="AK42" s="78"/>
      <c r="AL42" s="80" t="s">
        <v>102</v>
      </c>
      <c r="AM42" s="78"/>
      <c r="AN42" s="78"/>
      <c r="AO42" s="78"/>
      <c r="AP42" s="78"/>
      <c r="AQ42" s="10"/>
    </row>
    <row r="43" spans="1:43" x14ac:dyDescent="0.25">
      <c r="T43" s="10"/>
      <c r="U43" s="10"/>
      <c r="V43" s="10"/>
      <c r="W43" s="78">
        <f t="shared" si="19"/>
        <v>48</v>
      </c>
      <c r="X43" s="78">
        <f t="shared" si="20"/>
        <v>48</v>
      </c>
      <c r="Y43" s="78">
        <f t="shared" si="21"/>
        <v>48</v>
      </c>
      <c r="Z43" s="78">
        <f t="shared" si="22"/>
        <v>48</v>
      </c>
      <c r="AA43" s="78"/>
      <c r="AB43" s="78"/>
      <c r="AC43" s="78"/>
      <c r="AD43" s="78"/>
      <c r="AE43" s="78"/>
      <c r="AF43" s="78"/>
      <c r="AG43" s="78">
        <v>33.6</v>
      </c>
      <c r="AH43" s="78"/>
      <c r="AI43" s="78"/>
      <c r="AJ43" s="78"/>
      <c r="AK43" s="78"/>
      <c r="AL43" s="78" t="s">
        <v>103</v>
      </c>
      <c r="AM43" s="78"/>
      <c r="AN43" s="78"/>
      <c r="AO43" s="78"/>
      <c r="AP43" s="78"/>
      <c r="AQ43" s="10"/>
    </row>
    <row r="44" spans="1:43" x14ac:dyDescent="0.25">
      <c r="A44" s="3" t="s">
        <v>104</v>
      </c>
      <c r="T44" s="10"/>
      <c r="U44" s="10"/>
      <c r="V44" s="10"/>
      <c r="W44" s="78">
        <f t="shared" si="19"/>
        <v>48</v>
      </c>
      <c r="X44" s="78">
        <f t="shared" si="20"/>
        <v>48</v>
      </c>
      <c r="Y44" s="78">
        <f t="shared" si="21"/>
        <v>48</v>
      </c>
      <c r="Z44" s="78">
        <f t="shared" si="22"/>
        <v>48</v>
      </c>
      <c r="AA44" s="78"/>
      <c r="AB44" s="78"/>
      <c r="AC44" s="78"/>
      <c r="AD44" s="78"/>
      <c r="AE44" s="78"/>
      <c r="AF44" s="78"/>
      <c r="AG44" s="78">
        <v>35.5</v>
      </c>
      <c r="AH44" s="78"/>
      <c r="AI44" s="78"/>
      <c r="AJ44" s="78"/>
      <c r="AK44" s="78"/>
      <c r="AL44" s="78" t="s">
        <v>105</v>
      </c>
      <c r="AM44" s="78"/>
      <c r="AN44" s="78"/>
      <c r="AO44" s="78"/>
      <c r="AP44" s="78"/>
      <c r="AQ44" s="10"/>
    </row>
    <row r="45" spans="1:43" x14ac:dyDescent="0.25">
      <c r="A45" s="1">
        <v>11</v>
      </c>
      <c r="B45" s="5">
        <f>COUNTIF($F$6:$F$13,"&lt;" &amp; A45)+COUNTIF($K$6:$K$13,"&lt;" &amp; A45)+COUNTIF($P$6:$P$13,"&lt;" &amp; A45)+COUNTIF($U$6:$U$13,"&lt;" &amp; A45)+COUNTIF($Z$6:$Z$13,"&lt;" &amp; A45)+COUNTIF($AE$6:$AE$13,"&lt;" &amp; A45)+COUNTIF($AJ$6:$AJ$13,"&lt;" &amp; A45)</f>
        <v>0</v>
      </c>
      <c r="T45" s="10"/>
      <c r="U45" s="10"/>
      <c r="V45" s="10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>
        <v>37.5</v>
      </c>
      <c r="AH45" s="78"/>
      <c r="AI45" s="78"/>
      <c r="AJ45" s="78"/>
      <c r="AK45" s="78"/>
      <c r="AL45" s="78"/>
      <c r="AM45" s="78"/>
      <c r="AN45" s="78"/>
      <c r="AO45" s="78"/>
      <c r="AP45" s="78"/>
      <c r="AQ45" s="10"/>
    </row>
    <row r="46" spans="1:43" x14ac:dyDescent="0.25">
      <c r="T46" s="10"/>
      <c r="U46" s="10"/>
      <c r="V46" s="10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78"/>
      <c r="AQ46" s="10"/>
    </row>
    <row r="47" spans="1:43" x14ac:dyDescent="0.25">
      <c r="T47" s="10"/>
      <c r="U47" s="10"/>
      <c r="V47" s="10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10"/>
    </row>
    <row r="48" spans="1:43" x14ac:dyDescent="0.25">
      <c r="T48" s="10"/>
      <c r="U48" s="10"/>
      <c r="V48" s="10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78"/>
      <c r="AO48" s="78"/>
      <c r="AP48" s="78"/>
      <c r="AQ48" s="10"/>
    </row>
    <row r="49" spans="1:43" ht="13" x14ac:dyDescent="0.3">
      <c r="A49" s="4" t="s">
        <v>106</v>
      </c>
      <c r="T49" s="10"/>
      <c r="U49" s="10"/>
      <c r="V49" s="10"/>
      <c r="W49" s="78"/>
      <c r="X49" s="78"/>
      <c r="Y49" s="78"/>
      <c r="Z49" s="78"/>
      <c r="AA49" s="78"/>
      <c r="AB49" s="80" t="s">
        <v>107</v>
      </c>
      <c r="AC49" s="80"/>
      <c r="AD49" s="78"/>
      <c r="AE49" s="78"/>
      <c r="AF49" s="78"/>
      <c r="AG49" s="78"/>
      <c r="AH49" s="78"/>
      <c r="AI49" s="78"/>
      <c r="AJ49" s="78"/>
      <c r="AK49" s="78"/>
      <c r="AL49" s="78"/>
      <c r="AM49" s="78"/>
      <c r="AN49" s="78"/>
      <c r="AO49" s="78"/>
      <c r="AP49" s="78"/>
      <c r="AQ49" s="10"/>
    </row>
    <row r="50" spans="1:43" x14ac:dyDescent="0.25">
      <c r="A50" s="3" t="s">
        <v>108</v>
      </c>
      <c r="T50" s="10"/>
      <c r="U50" s="10"/>
      <c r="V50" s="10"/>
      <c r="W50" s="78"/>
      <c r="X50" s="78"/>
      <c r="Y50" s="78"/>
      <c r="Z50" s="78"/>
      <c r="AA50" s="78"/>
      <c r="AB50" s="78" t="s">
        <v>109</v>
      </c>
      <c r="AC50" s="78"/>
      <c r="AD50" s="78"/>
      <c r="AE50" s="78"/>
      <c r="AF50" s="78"/>
      <c r="AG50" s="78"/>
      <c r="AH50" s="78"/>
      <c r="AI50" s="78"/>
      <c r="AJ50" s="78"/>
      <c r="AK50" s="78"/>
      <c r="AL50" s="78"/>
      <c r="AM50" s="78"/>
      <c r="AN50" s="78"/>
      <c r="AO50" s="78"/>
      <c r="AP50" s="78"/>
      <c r="AQ50" s="10"/>
    </row>
    <row r="51" spans="1:43" ht="13" x14ac:dyDescent="0.3">
      <c r="A51" s="4" t="s">
        <v>110</v>
      </c>
      <c r="T51" s="10"/>
      <c r="U51" s="10"/>
      <c r="V51" s="10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  <c r="AN51" s="78"/>
      <c r="AO51" s="78"/>
      <c r="AP51" s="78"/>
      <c r="AQ51" s="10"/>
    </row>
    <row r="52" spans="1:43" x14ac:dyDescent="0.25">
      <c r="A52" s="3" t="s">
        <v>111</v>
      </c>
      <c r="T52" s="10"/>
      <c r="U52" s="10"/>
      <c r="V52" s="10"/>
      <c r="W52" s="78"/>
      <c r="X52" s="78"/>
      <c r="Y52" s="78"/>
      <c r="Z52" s="78"/>
      <c r="AA52" s="78"/>
      <c r="AB52" s="78" t="s">
        <v>112</v>
      </c>
      <c r="AC52" s="78"/>
      <c r="AD52" s="78"/>
      <c r="AE52" s="78"/>
      <c r="AF52" s="78"/>
      <c r="AG52" s="78"/>
      <c r="AH52" s="78"/>
      <c r="AI52" s="78"/>
      <c r="AJ52" s="78"/>
      <c r="AK52" s="78"/>
      <c r="AL52" s="78"/>
      <c r="AM52" s="78"/>
      <c r="AN52" s="78"/>
      <c r="AO52" s="78"/>
      <c r="AP52" s="78"/>
      <c r="AQ52" s="10"/>
    </row>
    <row r="53" spans="1:43" x14ac:dyDescent="0.25">
      <c r="A53" s="3" t="s">
        <v>113</v>
      </c>
      <c r="T53" s="10"/>
      <c r="U53" s="10"/>
      <c r="V53" s="10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78"/>
      <c r="AO53" s="78"/>
      <c r="AP53" s="78"/>
      <c r="AQ53" s="10"/>
    </row>
    <row r="54" spans="1:43" x14ac:dyDescent="0.25">
      <c r="A54" s="3" t="s">
        <v>114</v>
      </c>
      <c r="T54" s="10"/>
      <c r="U54" s="10"/>
      <c r="V54" s="10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78"/>
      <c r="AL54" s="78"/>
      <c r="AM54" s="78"/>
      <c r="AN54" s="78"/>
      <c r="AO54" s="78"/>
      <c r="AP54" s="78"/>
      <c r="AQ54" s="10"/>
    </row>
    <row r="55" spans="1:43" x14ac:dyDescent="0.25">
      <c r="T55" s="10"/>
      <c r="U55" s="10"/>
      <c r="V55" s="10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10"/>
    </row>
    <row r="56" spans="1:43" ht="13" x14ac:dyDescent="0.3">
      <c r="A56" s="4" t="s">
        <v>115</v>
      </c>
      <c r="T56" s="10"/>
      <c r="U56" s="10"/>
      <c r="V56" s="10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78"/>
      <c r="AO56" s="78"/>
      <c r="AP56" s="78"/>
      <c r="AQ56" s="10"/>
    </row>
    <row r="57" spans="1:43" x14ac:dyDescent="0.25">
      <c r="A57" s="3" t="s">
        <v>116</v>
      </c>
      <c r="T57" s="10"/>
      <c r="U57" s="10"/>
      <c r="V57" s="10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/>
      <c r="AO57" s="78"/>
      <c r="AP57" s="78"/>
      <c r="AQ57" s="10"/>
    </row>
    <row r="58" spans="1:43" ht="13" x14ac:dyDescent="0.3">
      <c r="A58" s="4" t="s">
        <v>110</v>
      </c>
      <c r="T58" s="10"/>
      <c r="U58" s="10"/>
      <c r="V58" s="10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 t="s">
        <v>117</v>
      </c>
      <c r="AH58" s="78"/>
      <c r="AI58" s="78"/>
      <c r="AJ58" s="78"/>
      <c r="AK58" s="78"/>
      <c r="AL58" s="78"/>
      <c r="AM58" s="78"/>
      <c r="AN58" s="78"/>
      <c r="AO58" s="78"/>
      <c r="AP58" s="78"/>
      <c r="AQ58" s="10"/>
    </row>
    <row r="59" spans="1:43" x14ac:dyDescent="0.25">
      <c r="A59" s="3" t="s">
        <v>111</v>
      </c>
      <c r="T59" s="10"/>
      <c r="U59" s="10"/>
      <c r="V59" s="10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>
        <v>0</v>
      </c>
      <c r="AH59" s="78">
        <v>1</v>
      </c>
      <c r="AI59" s="78">
        <v>2</v>
      </c>
      <c r="AJ59" s="78">
        <v>3</v>
      </c>
      <c r="AK59" s="78">
        <v>4</v>
      </c>
      <c r="AL59" s="78">
        <v>5</v>
      </c>
      <c r="AM59" s="78">
        <v>6</v>
      </c>
      <c r="AN59" s="78"/>
      <c r="AO59" s="78"/>
      <c r="AP59" s="78"/>
      <c r="AQ59" s="10"/>
    </row>
    <row r="60" spans="1:43" x14ac:dyDescent="0.25">
      <c r="A60" s="3" t="s">
        <v>113</v>
      </c>
      <c r="T60" s="10"/>
      <c r="U60" s="10"/>
      <c r="V60" s="10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>
        <v>7</v>
      </c>
      <c r="AH60" s="78">
        <v>8</v>
      </c>
      <c r="AI60" s="78">
        <v>9</v>
      </c>
      <c r="AJ60" s="78">
        <v>10</v>
      </c>
      <c r="AK60" s="78">
        <v>11</v>
      </c>
      <c r="AL60" s="78">
        <v>12</v>
      </c>
      <c r="AM60" s="78">
        <v>13</v>
      </c>
      <c r="AN60" s="78"/>
      <c r="AO60" s="78"/>
      <c r="AP60" s="78"/>
      <c r="AQ60" s="10"/>
    </row>
    <row r="61" spans="1:43" x14ac:dyDescent="0.25">
      <c r="T61" s="10"/>
      <c r="U61" s="10"/>
      <c r="V61" s="10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>
        <v>14</v>
      </c>
      <c r="AH61" s="78">
        <v>15</v>
      </c>
      <c r="AI61" s="78">
        <v>16</v>
      </c>
      <c r="AJ61" s="78">
        <v>17</v>
      </c>
      <c r="AK61" s="78">
        <v>18</v>
      </c>
      <c r="AL61" s="78">
        <v>19</v>
      </c>
      <c r="AM61" s="78">
        <v>20</v>
      </c>
      <c r="AN61" s="78"/>
      <c r="AO61" s="78"/>
      <c r="AP61" s="78"/>
      <c r="AQ61" s="10"/>
    </row>
    <row r="62" spans="1:43" ht="13" x14ac:dyDescent="0.3">
      <c r="A62" s="4" t="s">
        <v>118</v>
      </c>
      <c r="T62" s="10"/>
      <c r="U62" s="10"/>
      <c r="V62" s="10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>
        <v>21</v>
      </c>
      <c r="AH62" s="78">
        <v>22</v>
      </c>
      <c r="AI62" s="78">
        <v>23</v>
      </c>
      <c r="AJ62" s="78">
        <v>24</v>
      </c>
      <c r="AK62" s="78">
        <v>25</v>
      </c>
      <c r="AL62" s="78">
        <v>26</v>
      </c>
      <c r="AM62" s="78">
        <v>27</v>
      </c>
      <c r="AN62" s="78"/>
      <c r="AO62" s="78"/>
      <c r="AP62" s="78"/>
      <c r="AQ62" s="10"/>
    </row>
    <row r="63" spans="1:43" x14ac:dyDescent="0.25">
      <c r="A63" s="3" t="s">
        <v>119</v>
      </c>
      <c r="T63" s="10"/>
      <c r="U63" s="10"/>
      <c r="V63" s="10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>
        <v>28</v>
      </c>
      <c r="AH63" s="78">
        <v>29</v>
      </c>
      <c r="AI63" s="78">
        <v>30</v>
      </c>
      <c r="AJ63" s="78">
        <v>31</v>
      </c>
      <c r="AK63" s="78">
        <v>32</v>
      </c>
      <c r="AL63" s="78">
        <v>33</v>
      </c>
      <c r="AM63" s="78">
        <v>34</v>
      </c>
      <c r="AN63" s="78"/>
      <c r="AO63" s="78"/>
      <c r="AP63" s="78"/>
      <c r="AQ63" s="10"/>
    </row>
    <row r="64" spans="1:43" x14ac:dyDescent="0.25">
      <c r="A64" s="3" t="s">
        <v>120</v>
      </c>
      <c r="T64" s="10"/>
      <c r="U64" s="10"/>
      <c r="V64" s="10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>
        <v>35</v>
      </c>
      <c r="AH64" s="78">
        <v>36</v>
      </c>
      <c r="AI64" s="78">
        <v>37</v>
      </c>
      <c r="AJ64" s="78">
        <v>38</v>
      </c>
      <c r="AK64" s="78">
        <v>39</v>
      </c>
      <c r="AL64" s="78">
        <v>40</v>
      </c>
      <c r="AM64" s="78">
        <v>41</v>
      </c>
      <c r="AN64" s="78"/>
      <c r="AO64" s="78"/>
      <c r="AP64" s="78"/>
      <c r="AQ64" s="10"/>
    </row>
    <row r="65" spans="1:43" x14ac:dyDescent="0.25">
      <c r="T65" s="10"/>
      <c r="U65" s="10"/>
      <c r="V65" s="10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>
        <v>42</v>
      </c>
      <c r="AH65" s="78">
        <v>43</v>
      </c>
      <c r="AI65" s="78">
        <v>44</v>
      </c>
      <c r="AJ65" s="78">
        <v>45</v>
      </c>
      <c r="AK65" s="78">
        <v>46</v>
      </c>
      <c r="AL65" s="78">
        <v>47</v>
      </c>
      <c r="AM65" s="78">
        <v>48</v>
      </c>
      <c r="AN65" s="78"/>
      <c r="AO65" s="78"/>
      <c r="AP65" s="78"/>
      <c r="AQ65" s="10"/>
    </row>
    <row r="66" spans="1:43" ht="13" x14ac:dyDescent="0.3">
      <c r="A66" s="3" t="s">
        <v>121</v>
      </c>
      <c r="B66" s="4"/>
      <c r="T66" s="10"/>
      <c r="U66" s="10"/>
      <c r="V66" s="10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>
        <v>49</v>
      </c>
      <c r="AH66" s="78">
        <v>50</v>
      </c>
      <c r="AI66" s="78">
        <v>51</v>
      </c>
      <c r="AJ66" s="78">
        <v>52</v>
      </c>
      <c r="AK66" s="78">
        <v>53</v>
      </c>
      <c r="AL66" s="78">
        <v>54</v>
      </c>
      <c r="AM66" s="78">
        <v>55</v>
      </c>
      <c r="AN66" s="78"/>
      <c r="AO66" s="78"/>
      <c r="AP66" s="78"/>
      <c r="AQ66" s="10"/>
    </row>
    <row r="67" spans="1:43" ht="13" x14ac:dyDescent="0.3">
      <c r="A67" s="1">
        <v>9</v>
      </c>
      <c r="B67" s="5">
        <f>COUNTIF($E$6:$E$13,"&gt;" &amp; A67)+COUNTIF($J$6:$J$13,"&gt;" &amp; A67)+COUNTIF($O$6:$O$13,"&gt;" &amp; A67)+COUNTIF($T$6:$T$13,"&gt;" &amp; A67)+COUNTIF($Y$6:$Y$13,"&gt;" &amp; A67)+COUNTIF($AD$6:$AD$13,"&gt;" &amp; A67)+COUNTIF($AI$6:$AI$13,"&gt;" &amp; A67)</f>
        <v>0</v>
      </c>
      <c r="C67" s="3" t="s">
        <v>122</v>
      </c>
      <c r="E67" s="3" t="s">
        <v>123</v>
      </c>
      <c r="H67" s="1" t="s">
        <v>124</v>
      </c>
      <c r="L67" s="3" t="s">
        <v>125</v>
      </c>
      <c r="T67" s="10"/>
      <c r="U67" s="10"/>
      <c r="V67" s="10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>
        <v>56</v>
      </c>
      <c r="AH67" s="78">
        <v>57</v>
      </c>
      <c r="AI67" s="78">
        <v>58</v>
      </c>
      <c r="AJ67" s="78">
        <v>59</v>
      </c>
      <c r="AK67" s="78">
        <v>60</v>
      </c>
      <c r="AL67" s="78">
        <v>61</v>
      </c>
      <c r="AM67" s="78">
        <v>62</v>
      </c>
      <c r="AN67" s="78"/>
      <c r="AO67" s="78"/>
      <c r="AP67" s="78"/>
      <c r="AQ67" s="10"/>
    </row>
    <row r="68" spans="1:43" x14ac:dyDescent="0.25">
      <c r="T68" s="10"/>
      <c r="U68" s="10"/>
      <c r="V68" s="10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>
        <v>63</v>
      </c>
      <c r="AH68" s="78">
        <v>64</v>
      </c>
      <c r="AI68" s="78">
        <v>65</v>
      </c>
      <c r="AJ68" s="78">
        <v>66</v>
      </c>
      <c r="AK68" s="78">
        <v>67</v>
      </c>
      <c r="AL68" s="78">
        <v>68</v>
      </c>
      <c r="AM68" s="78">
        <v>69</v>
      </c>
      <c r="AN68" s="78"/>
      <c r="AO68" s="78"/>
      <c r="AP68" s="78"/>
      <c r="AQ68" s="10"/>
    </row>
    <row r="69" spans="1:43" x14ac:dyDescent="0.25">
      <c r="A69" s="3" t="s">
        <v>126</v>
      </c>
      <c r="T69" s="10"/>
      <c r="U69" s="10"/>
      <c r="V69" s="10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>
        <v>70</v>
      </c>
      <c r="AH69" s="78">
        <v>71</v>
      </c>
      <c r="AI69" s="78">
        <v>72</v>
      </c>
      <c r="AJ69" s="78">
        <v>73</v>
      </c>
      <c r="AK69" s="78">
        <v>74</v>
      </c>
      <c r="AL69" s="78">
        <v>75</v>
      </c>
      <c r="AM69" s="78">
        <v>76</v>
      </c>
      <c r="AN69" s="78"/>
      <c r="AO69" s="78"/>
      <c r="AP69" s="78"/>
      <c r="AQ69" s="10"/>
    </row>
    <row r="70" spans="1:43" x14ac:dyDescent="0.25">
      <c r="A70" s="1">
        <v>20</v>
      </c>
      <c r="B70" s="5">
        <f>COUNTIF($AK$6:$AK$13,"&gt;" &amp; A70)</f>
        <v>0</v>
      </c>
      <c r="C70" s="3" t="s">
        <v>127</v>
      </c>
      <c r="E70" s="3" t="s">
        <v>128</v>
      </c>
      <c r="H70" s="1" t="s">
        <v>124</v>
      </c>
      <c r="T70" s="10"/>
      <c r="U70" s="10"/>
      <c r="V70" s="10"/>
      <c r="W70" s="78"/>
      <c r="X70" s="78"/>
      <c r="Y70" s="78"/>
      <c r="Z70" s="78"/>
      <c r="AA70" s="78"/>
      <c r="AB70" s="78"/>
      <c r="AC70" s="78"/>
      <c r="AD70" s="78"/>
      <c r="AE70" s="78"/>
      <c r="AF70" s="78"/>
      <c r="AG70" s="78">
        <v>77</v>
      </c>
      <c r="AH70" s="78">
        <v>78</v>
      </c>
      <c r="AI70" s="78">
        <v>79</v>
      </c>
      <c r="AJ70" s="78">
        <v>80</v>
      </c>
      <c r="AK70" s="78">
        <v>81</v>
      </c>
      <c r="AL70" s="78">
        <v>82</v>
      </c>
      <c r="AM70" s="78">
        <v>83</v>
      </c>
      <c r="AN70" s="78"/>
      <c r="AO70" s="78"/>
      <c r="AP70" s="78"/>
      <c r="AQ70" s="10"/>
    </row>
    <row r="71" spans="1:43" x14ac:dyDescent="0.25">
      <c r="W71" s="78"/>
      <c r="X71" s="78"/>
      <c r="Y71" s="78"/>
      <c r="Z71" s="78"/>
      <c r="AA71" s="78"/>
      <c r="AB71" s="78"/>
      <c r="AC71" s="78"/>
      <c r="AD71" s="78"/>
      <c r="AE71" s="78"/>
      <c r="AF71" s="78"/>
      <c r="AG71" s="78">
        <v>84</v>
      </c>
      <c r="AH71" s="78">
        <v>85</v>
      </c>
      <c r="AI71" s="78">
        <v>86</v>
      </c>
      <c r="AJ71" s="78">
        <v>87</v>
      </c>
      <c r="AK71" s="78">
        <v>88</v>
      </c>
      <c r="AL71" s="78">
        <v>89</v>
      </c>
      <c r="AM71" s="78">
        <v>90</v>
      </c>
      <c r="AN71" s="78"/>
      <c r="AO71" s="78"/>
      <c r="AP71" s="78"/>
    </row>
    <row r="72" spans="1:43" x14ac:dyDescent="0.25"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  <c r="AL72" s="78"/>
      <c r="AM72" s="78"/>
      <c r="AN72" s="78"/>
      <c r="AO72" s="78"/>
      <c r="AP72" s="78"/>
    </row>
    <row r="73" spans="1:43" x14ac:dyDescent="0.25">
      <c r="W73" s="78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8"/>
      <c r="AK73" s="78"/>
      <c r="AL73" s="78"/>
      <c r="AM73" s="78"/>
      <c r="AN73" s="78"/>
      <c r="AO73" s="78"/>
      <c r="AP73" s="78"/>
    </row>
    <row r="74" spans="1:43" x14ac:dyDescent="0.25"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78"/>
      <c r="AO74" s="78"/>
      <c r="AP74" s="78"/>
    </row>
    <row r="75" spans="1:43" x14ac:dyDescent="0.25"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  <c r="AK75" s="78"/>
      <c r="AL75" s="78"/>
      <c r="AM75" s="78"/>
      <c r="AN75" s="78"/>
      <c r="AO75" s="78"/>
      <c r="AP75" s="78"/>
    </row>
    <row r="76" spans="1:43" x14ac:dyDescent="0.25">
      <c r="W76" s="78"/>
      <c r="X76" s="78"/>
      <c r="Y76" s="78"/>
      <c r="Z76" s="78"/>
      <c r="AA76" s="78"/>
      <c r="AB76" s="78"/>
      <c r="AC76" s="78"/>
      <c r="AD76" s="78"/>
      <c r="AE76" s="78"/>
      <c r="AF76" s="78"/>
      <c r="AG76" s="78"/>
      <c r="AH76" s="78"/>
      <c r="AI76" s="78"/>
      <c r="AJ76" s="78"/>
      <c r="AK76" s="78"/>
      <c r="AL76" s="78"/>
      <c r="AM76" s="78"/>
      <c r="AN76" s="78"/>
      <c r="AO76" s="78"/>
      <c r="AP76" s="78"/>
    </row>
    <row r="77" spans="1:43" x14ac:dyDescent="0.25"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78"/>
      <c r="AK77" s="78"/>
      <c r="AL77" s="78"/>
      <c r="AM77" s="78"/>
      <c r="AN77" s="78"/>
      <c r="AO77" s="78"/>
      <c r="AP77" s="78"/>
    </row>
    <row r="78" spans="1:43" x14ac:dyDescent="0.25">
      <c r="W78" s="78"/>
      <c r="X78" s="78"/>
      <c r="Y78" s="78"/>
      <c r="Z78" s="78"/>
      <c r="AA78" s="78"/>
      <c r="AB78" s="78"/>
      <c r="AC78" s="78"/>
      <c r="AD78" s="78"/>
      <c r="AE78" s="78"/>
      <c r="AF78" s="78"/>
      <c r="AG78" s="78"/>
      <c r="AH78" s="78"/>
      <c r="AI78" s="78"/>
      <c r="AJ78" s="78"/>
      <c r="AK78" s="78"/>
      <c r="AL78" s="78"/>
      <c r="AM78" s="78"/>
      <c r="AN78" s="78"/>
      <c r="AO78" s="78"/>
      <c r="AP78" s="78"/>
    </row>
    <row r="79" spans="1:43" x14ac:dyDescent="0.25">
      <c r="W79" s="78"/>
      <c r="X79" s="78"/>
      <c r="Y79" s="78"/>
      <c r="Z79" s="78"/>
      <c r="AA79" s="78"/>
      <c r="AB79" s="78"/>
      <c r="AC79" s="78"/>
      <c r="AD79" s="78"/>
      <c r="AE79" s="78"/>
      <c r="AF79" s="78"/>
      <c r="AG79" s="78"/>
      <c r="AH79" s="78"/>
      <c r="AI79" s="78"/>
      <c r="AJ79" s="78"/>
      <c r="AK79" s="78"/>
      <c r="AL79" s="78"/>
      <c r="AM79" s="78"/>
      <c r="AN79" s="78"/>
      <c r="AO79" s="78"/>
      <c r="AP79" s="78"/>
    </row>
    <row r="80" spans="1:43" x14ac:dyDescent="0.25">
      <c r="W80" s="78"/>
      <c r="X80" s="78"/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  <c r="AJ80" s="78"/>
      <c r="AK80" s="78"/>
      <c r="AL80" s="78"/>
      <c r="AM80" s="78"/>
      <c r="AN80" s="78"/>
      <c r="AO80" s="78"/>
      <c r="AP80" s="78"/>
    </row>
    <row r="81" spans="1:42" x14ac:dyDescent="0.25"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  <c r="AJ81" s="78"/>
      <c r="AK81" s="78"/>
      <c r="AL81" s="78"/>
      <c r="AM81" s="78"/>
      <c r="AN81" s="78"/>
      <c r="AO81" s="78"/>
      <c r="AP81" s="78"/>
    </row>
    <row r="82" spans="1:42" x14ac:dyDescent="0.25"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8"/>
      <c r="AH82" s="78"/>
      <c r="AI82" s="78"/>
      <c r="AJ82" s="78"/>
      <c r="AK82" s="78"/>
      <c r="AL82" s="78"/>
      <c r="AM82" s="78"/>
      <c r="AN82" s="78"/>
      <c r="AO82" s="78"/>
      <c r="AP82" s="78"/>
    </row>
    <row r="83" spans="1:42" x14ac:dyDescent="0.25"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</row>
    <row r="84" spans="1:42" x14ac:dyDescent="0.25"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</row>
    <row r="85" spans="1:42" x14ac:dyDescent="0.25"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</row>
    <row r="86" spans="1:42" x14ac:dyDescent="0.25"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8"/>
      <c r="AO86" s="78"/>
      <c r="AP86" s="78"/>
    </row>
    <row r="87" spans="1:42" x14ac:dyDescent="0.25"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  <c r="AN87" s="78"/>
      <c r="AO87" s="78"/>
      <c r="AP87" s="78"/>
    </row>
    <row r="95" spans="1:42" ht="13" x14ac:dyDescent="0.3">
      <c r="A95" s="4"/>
    </row>
  </sheetData>
  <sheetProtection algorithmName="SHA-512" hashValue="uqNy2wvbCe5mFt77xGvBsnVqfYOQKjFT8WbMVugIdOGXq7V/UJR3qUcSFZhNJyFJfBRKuyaxU+4hQX09RzchTQ==" saltValue="afa0imH074kMtq/8boqwLw==" spinCount="100000" sheet="1" objects="1" scenarios="1"/>
  <mergeCells count="27">
    <mergeCell ref="A1:C1"/>
    <mergeCell ref="H1:L1"/>
    <mergeCell ref="A2:C2"/>
    <mergeCell ref="A3:C3"/>
    <mergeCell ref="B4:F4"/>
    <mergeCell ref="G4:J4"/>
    <mergeCell ref="L4:O4"/>
    <mergeCell ref="I2:J2"/>
    <mergeCell ref="Q4:T4"/>
    <mergeCell ref="V4:Y4"/>
    <mergeCell ref="AA4:AD4"/>
    <mergeCell ref="AF4:AI4"/>
    <mergeCell ref="AG39:AK39"/>
    <mergeCell ref="A28:C28"/>
    <mergeCell ref="A29:C29"/>
    <mergeCell ref="A30:C30"/>
    <mergeCell ref="D32:E32"/>
    <mergeCell ref="H32:I32"/>
    <mergeCell ref="A37:C37"/>
    <mergeCell ref="D31:E31"/>
    <mergeCell ref="H31:I31"/>
    <mergeCell ref="A36:E36"/>
    <mergeCell ref="N32:O32"/>
    <mergeCell ref="A33:C33"/>
    <mergeCell ref="G33:H33"/>
    <mergeCell ref="A34:B34"/>
    <mergeCell ref="N31:O31"/>
  </mergeCells>
  <conditionalFormatting sqref="A6:A17">
    <cfRule type="cellIs" dxfId="328" priority="363" operator="equal">
      <formula>0</formula>
    </cfRule>
  </conditionalFormatting>
  <conditionalFormatting sqref="A37">
    <cfRule type="cellIs" dxfId="327" priority="243" operator="notEqual">
      <formula>$E$2</formula>
    </cfRule>
    <cfRule type="cellIs" dxfId="326" priority="244" operator="equal">
      <formula>$E$2</formula>
    </cfRule>
  </conditionalFormatting>
  <conditionalFormatting sqref="A32:D32 F32:H32 C34">
    <cfRule type="cellIs" dxfId="325" priority="241" operator="notEqual">
      <formula>$E$3</formula>
    </cfRule>
    <cfRule type="cellIs" dxfId="324" priority="242" operator="equal">
      <formula>$E$3</formula>
    </cfRule>
  </conditionalFormatting>
  <conditionalFormatting sqref="B6:D17">
    <cfRule type="expression" dxfId="323" priority="112">
      <formula>$A6=0</formula>
    </cfRule>
  </conditionalFormatting>
  <conditionalFormatting sqref="E6:E17">
    <cfRule type="expression" dxfId="322" priority="116">
      <formula>AND($H$67="ja",E6&gt;$A$67)</formula>
    </cfRule>
    <cfRule type="cellIs" dxfId="321" priority="117" operator="greaterThanOrEqual">
      <formula>0</formula>
    </cfRule>
  </conditionalFormatting>
  <conditionalFormatting sqref="F6:F17">
    <cfRule type="cellIs" dxfId="320" priority="31" operator="lessThan">
      <formula>$A$45</formula>
    </cfRule>
    <cfRule type="cellIs" dxfId="319" priority="32" operator="equal">
      <formula>0</formula>
    </cfRule>
    <cfRule type="cellIs" dxfId="318" priority="33" operator="notEqual">
      <formula>0</formula>
    </cfRule>
  </conditionalFormatting>
  <conditionalFormatting sqref="G6:I17">
    <cfRule type="expression" dxfId="317" priority="52">
      <formula>$A6=0</formula>
    </cfRule>
  </conditionalFormatting>
  <conditionalFormatting sqref="J6:J17">
    <cfRule type="expression" dxfId="316" priority="104">
      <formula>AND($H$67="ja",J6&gt;$A$67)</formula>
    </cfRule>
    <cfRule type="cellIs" dxfId="315" priority="105" operator="greaterThanOrEqual">
      <formula>0</formula>
    </cfRule>
  </conditionalFormatting>
  <conditionalFormatting sqref="J32:N32">
    <cfRule type="cellIs" dxfId="314" priority="239" operator="notEqual">
      <formula>$E$3</formula>
    </cfRule>
    <cfRule type="cellIs" dxfId="313" priority="240" operator="equal">
      <formula>$E$3</formula>
    </cfRule>
  </conditionalFormatting>
  <conditionalFormatting sqref="K6:K17">
    <cfRule type="cellIs" dxfId="312" priority="28" operator="lessThan">
      <formula>$A$45</formula>
    </cfRule>
    <cfRule type="cellIs" dxfId="311" priority="29" operator="equal">
      <formula>0</formula>
    </cfRule>
    <cfRule type="cellIs" dxfId="310" priority="30" operator="notEqual">
      <formula>0</formula>
    </cfRule>
  </conditionalFormatting>
  <conditionalFormatting sqref="L6:N17">
    <cfRule type="expression" dxfId="309" priority="48">
      <formula>$A6=0</formula>
    </cfRule>
  </conditionalFormatting>
  <conditionalFormatting sqref="O6:O17">
    <cfRule type="cellIs" dxfId="308" priority="97" operator="greaterThanOrEqual">
      <formula>0</formula>
    </cfRule>
    <cfRule type="expression" dxfId="307" priority="96">
      <formula>AND($H$67="ja",O6&gt;$A$67)</formula>
    </cfRule>
  </conditionalFormatting>
  <conditionalFormatting sqref="P6:P17">
    <cfRule type="cellIs" dxfId="306" priority="22" operator="lessThan">
      <formula>$A$45</formula>
    </cfRule>
    <cfRule type="cellIs" dxfId="305" priority="23" operator="equal">
      <formula>0</formula>
    </cfRule>
    <cfRule type="cellIs" dxfId="304" priority="24" operator="notEqual">
      <formula>0</formula>
    </cfRule>
  </conditionalFormatting>
  <conditionalFormatting sqref="Q6:S17">
    <cfRule type="expression" dxfId="303" priority="47">
      <formula>$A6=0</formula>
    </cfRule>
  </conditionalFormatting>
  <conditionalFormatting sqref="T6:T17">
    <cfRule type="cellIs" dxfId="302" priority="89" operator="greaterThanOrEqual">
      <formula>0</formula>
    </cfRule>
    <cfRule type="expression" dxfId="301" priority="88">
      <formula>AND($H$67="ja",T6&gt;$A$67)</formula>
    </cfRule>
  </conditionalFormatting>
  <conditionalFormatting sqref="U6:U17">
    <cfRule type="cellIs" dxfId="300" priority="17" operator="equal">
      <formula>0</formula>
    </cfRule>
    <cfRule type="cellIs" dxfId="299" priority="16" operator="lessThan">
      <formula>$A$45</formula>
    </cfRule>
    <cfRule type="cellIs" dxfId="298" priority="18" operator="notEqual">
      <formula>0</formula>
    </cfRule>
  </conditionalFormatting>
  <conditionalFormatting sqref="V6:X17">
    <cfRule type="expression" dxfId="297" priority="46">
      <formula>$A6=0</formula>
    </cfRule>
  </conditionalFormatting>
  <conditionalFormatting sqref="Y6:Y17 AD6:AD17 AI6:AI17">
    <cfRule type="expression" dxfId="296" priority="59">
      <formula>AND($H$67="ja",Y6&gt;$A$67)</formula>
    </cfRule>
    <cfRule type="cellIs" dxfId="295" priority="60" operator="greaterThanOrEqual">
      <formula>0</formula>
    </cfRule>
  </conditionalFormatting>
  <conditionalFormatting sqref="Z6:Z17">
    <cfRule type="cellIs" dxfId="294" priority="11" operator="equal">
      <formula>0</formula>
    </cfRule>
    <cfRule type="cellIs" dxfId="293" priority="10" operator="lessThan">
      <formula>$A$45</formula>
    </cfRule>
    <cfRule type="cellIs" dxfId="292" priority="12" operator="notEqual">
      <formula>0</formula>
    </cfRule>
  </conditionalFormatting>
  <conditionalFormatting sqref="AA6:AC17">
    <cfRule type="expression" dxfId="291" priority="43">
      <formula>$A6=0</formula>
    </cfRule>
  </conditionalFormatting>
  <conditionalFormatting sqref="AE6:AE17">
    <cfRule type="cellIs" dxfId="290" priority="5" operator="equal">
      <formula>0</formula>
    </cfRule>
    <cfRule type="cellIs" dxfId="289" priority="4" operator="lessThan">
      <formula>$A$45</formula>
    </cfRule>
    <cfRule type="cellIs" dxfId="288" priority="6" operator="notEqual">
      <formula>0</formula>
    </cfRule>
  </conditionalFormatting>
  <conditionalFormatting sqref="AF6:AH17">
    <cfRule type="expression" dxfId="287" priority="34">
      <formula>$A6=0</formula>
    </cfRule>
  </conditionalFormatting>
  <conditionalFormatting sqref="AJ6:AJ17">
    <cfRule type="cellIs" dxfId="286" priority="3" operator="notEqual">
      <formula>0</formula>
    </cfRule>
    <cfRule type="cellIs" dxfId="285" priority="2" operator="equal">
      <formula>0</formula>
    </cfRule>
    <cfRule type="cellIs" dxfId="284" priority="1" operator="lessThan">
      <formula>$A$45</formula>
    </cfRule>
  </conditionalFormatting>
  <conditionalFormatting sqref="AK6:AK17">
    <cfRule type="expression" dxfId="283" priority="58">
      <formula>AND($H$70="ja",AK6&gt;$A$70)</formula>
    </cfRule>
    <cfRule type="cellIs" dxfId="282" priority="61" operator="greaterThanOrEqual">
      <formula>0</formula>
    </cfRule>
  </conditionalFormatting>
  <dataValidations count="2">
    <dataValidation type="list" showInputMessage="1" showErrorMessage="1" promptTitle="Velg Turnus startdag" prompt="Velg hvilken dag turnusen starte å telle ifra. (Typisk Mandag)" sqref="E1" xr:uid="{00000000-0002-0000-1400-000000000000}">
      <formula1>Ukedager</formula1>
    </dataValidation>
    <dataValidation type="list" allowBlank="1" showInputMessage="1" showErrorMessage="1" sqref="H67 H70" xr:uid="{00000000-0002-0000-1400-000001000000}">
      <formula1>Ja_og_nei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4"/>
  <dimension ref="A1:AQ95"/>
  <sheetViews>
    <sheetView zoomScale="85" zoomScaleNormal="85" workbookViewId="0">
      <pane ySplit="24" topLeftCell="A25" activePane="bottomLeft" state="frozen"/>
      <selection pane="bottomLeft" activeCell="B11" sqref="B11"/>
    </sheetView>
  </sheetViews>
  <sheetFormatPr defaultColWidth="9.08984375" defaultRowHeight="12.5" x14ac:dyDescent="0.25"/>
  <cols>
    <col min="1" max="1" width="10.7265625" style="3" customWidth="1"/>
    <col min="2" max="2" width="7.6328125" style="3" customWidth="1"/>
    <col min="3" max="3" width="7.81640625" style="3" customWidth="1"/>
    <col min="4" max="4" width="4.36328125" style="3" bestFit="1" customWidth="1"/>
    <col min="5" max="6" width="10" style="3" customWidth="1"/>
    <col min="7" max="7" width="7" style="3" customWidth="1"/>
    <col min="8" max="8" width="7.6328125" style="3" customWidth="1"/>
    <col min="9" max="9" width="4.36328125" style="3" bestFit="1" customWidth="1"/>
    <col min="10" max="11" width="10" style="3" customWidth="1"/>
    <col min="12" max="12" width="7.26953125" style="3" customWidth="1"/>
    <col min="13" max="13" width="7.7265625" style="3" customWidth="1"/>
    <col min="14" max="14" width="4.36328125" style="3" bestFit="1" customWidth="1"/>
    <col min="15" max="15" width="10.08984375" style="3" bestFit="1" customWidth="1"/>
    <col min="16" max="16" width="10.08984375" style="3" customWidth="1"/>
    <col min="17" max="17" width="7.6328125" style="3" customWidth="1"/>
    <col min="18" max="18" width="7.7265625" style="3" customWidth="1"/>
    <col min="19" max="19" width="4.36328125" style="3" bestFit="1" customWidth="1"/>
    <col min="20" max="20" width="10.08984375" style="3" bestFit="1" customWidth="1"/>
    <col min="21" max="21" width="10.08984375" style="3" customWidth="1"/>
    <col min="22" max="22" width="8.36328125" style="3" customWidth="1"/>
    <col min="23" max="23" width="8.81640625" style="3" customWidth="1"/>
    <col min="24" max="24" width="4.36328125" style="3" bestFit="1" customWidth="1"/>
    <col min="25" max="26" width="10" style="3" customWidth="1"/>
    <col min="27" max="28" width="7.81640625" style="3" customWidth="1"/>
    <col min="29" max="29" width="4.36328125" style="3" bestFit="1" customWidth="1"/>
    <col min="30" max="31" width="9.7265625" style="3" customWidth="1"/>
    <col min="32" max="32" width="6.81640625" style="3" customWidth="1"/>
    <col min="33" max="33" width="7.6328125" style="3" customWidth="1"/>
    <col min="34" max="34" width="4.36328125" style="3" bestFit="1" customWidth="1"/>
    <col min="35" max="36" width="9.6328125" style="3" customWidth="1"/>
    <col min="37" max="37" width="15.6328125" style="3" bestFit="1" customWidth="1"/>
    <col min="38" max="16384" width="9.08984375" style="3"/>
  </cols>
  <sheetData>
    <row r="1" spans="1:39" ht="13" x14ac:dyDescent="0.3">
      <c r="A1" s="98" t="s">
        <v>66</v>
      </c>
      <c r="B1" s="98"/>
      <c r="C1" s="98"/>
      <c r="D1" s="88"/>
      <c r="E1" s="5" t="str">
        <f>Vaktplan!G38</f>
        <v>mandag</v>
      </c>
      <c r="H1" s="98" t="s">
        <v>67</v>
      </c>
      <c r="I1" s="98"/>
      <c r="J1" s="98"/>
      <c r="K1" s="98"/>
      <c r="L1" s="98"/>
      <c r="M1" s="5">
        <f>Vaktplan!AJ60</f>
        <v>12</v>
      </c>
    </row>
    <row r="2" spans="1:39" ht="13" x14ac:dyDescent="0.3">
      <c r="A2" s="98" t="s">
        <v>36</v>
      </c>
      <c r="B2" s="98"/>
      <c r="C2" s="98"/>
      <c r="D2" s="88"/>
      <c r="E2" s="8">
        <f>Vaktplan!AM60</f>
        <v>0</v>
      </c>
      <c r="I2" s="106"/>
      <c r="J2" s="106"/>
    </row>
    <row r="3" spans="1:39" ht="13" x14ac:dyDescent="0.3">
      <c r="A3" s="98" t="s">
        <v>68</v>
      </c>
      <c r="B3" s="98"/>
      <c r="C3" s="98"/>
      <c r="D3" s="88"/>
      <c r="E3" s="5">
        <f>Vaktplan!AQ60</f>
        <v>0</v>
      </c>
      <c r="F3" s="4" t="s">
        <v>69</v>
      </c>
    </row>
    <row r="4" spans="1:39" ht="13" x14ac:dyDescent="0.3">
      <c r="A4" s="89" t="s">
        <v>70</v>
      </c>
      <c r="B4" s="103" t="str">
        <f>TEXT(AG39,"DDDD")</f>
        <v>Monday</v>
      </c>
      <c r="C4" s="104"/>
      <c r="D4" s="104"/>
      <c r="E4" s="104"/>
      <c r="F4" s="105"/>
      <c r="G4" s="102" t="str">
        <f>TEXT($AG$39+1,"DDDD")</f>
        <v>Tuesday</v>
      </c>
      <c r="H4" s="102"/>
      <c r="I4" s="102"/>
      <c r="J4" s="102"/>
      <c r="K4" s="89"/>
      <c r="L4" s="102" t="str">
        <f>TEXT($AG$39+2,"DDDD")</f>
        <v>Wednesday</v>
      </c>
      <c r="M4" s="102"/>
      <c r="N4" s="102"/>
      <c r="O4" s="102"/>
      <c r="P4" s="89"/>
      <c r="Q4" s="102" t="str">
        <f>TEXT($AG$39+3,"DDDD")</f>
        <v>Thursday</v>
      </c>
      <c r="R4" s="102"/>
      <c r="S4" s="102"/>
      <c r="T4" s="102"/>
      <c r="U4" s="89"/>
      <c r="V4" s="102" t="str">
        <f>TEXT($AG$39+4,"DDDD")</f>
        <v>Friday</v>
      </c>
      <c r="W4" s="102"/>
      <c r="X4" s="102"/>
      <c r="Y4" s="102"/>
      <c r="Z4" s="89"/>
      <c r="AA4" s="102" t="str">
        <f>TEXT($AG$39+5,"DDDD")</f>
        <v>Saturday</v>
      </c>
      <c r="AB4" s="102"/>
      <c r="AC4" s="102"/>
      <c r="AD4" s="102"/>
      <c r="AE4" s="89"/>
      <c r="AF4" s="102" t="str">
        <f>TEXT($AG$39+6,"DDDD")</f>
        <v>Sunday</v>
      </c>
      <c r="AG4" s="102"/>
      <c r="AH4" s="102"/>
      <c r="AI4" s="102"/>
      <c r="AJ4" s="89"/>
      <c r="AK4" s="7" t="s">
        <v>71</v>
      </c>
      <c r="AL4" s="91"/>
    </row>
    <row r="5" spans="1:39" x14ac:dyDescent="0.25">
      <c r="A5" s="6"/>
      <c r="B5" s="6" t="s">
        <v>72</v>
      </c>
      <c r="C5" s="6" t="s">
        <v>73</v>
      </c>
      <c r="D5" s="6" t="s">
        <v>55</v>
      </c>
      <c r="E5" s="6" t="s">
        <v>74</v>
      </c>
      <c r="F5" s="6" t="s">
        <v>75</v>
      </c>
      <c r="G5" s="6" t="s">
        <v>72</v>
      </c>
      <c r="H5" s="6" t="s">
        <v>73</v>
      </c>
      <c r="I5" s="6" t="s">
        <v>55</v>
      </c>
      <c r="J5" s="6" t="s">
        <v>74</v>
      </c>
      <c r="K5" s="6" t="s">
        <v>75</v>
      </c>
      <c r="L5" s="6" t="s">
        <v>72</v>
      </c>
      <c r="M5" s="6" t="s">
        <v>73</v>
      </c>
      <c r="N5" s="6" t="s">
        <v>55</v>
      </c>
      <c r="O5" s="6" t="s">
        <v>74</v>
      </c>
      <c r="P5" s="6" t="s">
        <v>75</v>
      </c>
      <c r="Q5" s="6" t="s">
        <v>72</v>
      </c>
      <c r="R5" s="6" t="s">
        <v>73</v>
      </c>
      <c r="S5" s="6" t="s">
        <v>55</v>
      </c>
      <c r="T5" s="6" t="s">
        <v>74</v>
      </c>
      <c r="U5" s="6" t="s">
        <v>75</v>
      </c>
      <c r="V5" s="6" t="s">
        <v>72</v>
      </c>
      <c r="W5" s="6" t="s">
        <v>73</v>
      </c>
      <c r="X5" s="6" t="s">
        <v>55</v>
      </c>
      <c r="Y5" s="6" t="s">
        <v>74</v>
      </c>
      <c r="Z5" s="6" t="s">
        <v>75</v>
      </c>
      <c r="AA5" s="6" t="s">
        <v>72</v>
      </c>
      <c r="AB5" s="6" t="s">
        <v>73</v>
      </c>
      <c r="AC5" s="6" t="s">
        <v>55</v>
      </c>
      <c r="AD5" s="6" t="s">
        <v>74</v>
      </c>
      <c r="AE5" s="6" t="s">
        <v>75</v>
      </c>
      <c r="AF5" s="6" t="s">
        <v>72</v>
      </c>
      <c r="AG5" s="6" t="s">
        <v>73</v>
      </c>
      <c r="AH5" s="6" t="s">
        <v>55</v>
      </c>
      <c r="AI5" s="6" t="s">
        <v>74</v>
      </c>
      <c r="AJ5" s="6" t="s">
        <v>75</v>
      </c>
      <c r="AK5" s="6"/>
      <c r="AL5" s="91"/>
    </row>
    <row r="6" spans="1:39" ht="13" x14ac:dyDescent="0.25">
      <c r="A6" s="7">
        <f>IF(M1&gt;=1,1,0)</f>
        <v>1</v>
      </c>
      <c r="B6" s="77">
        <f>IFERROR(VLOOKUP(Vaktplan!$A$60,Vaktplan!$A$4:$CL$35,87-AH59,FALSE),0)</f>
        <v>0</v>
      </c>
      <c r="C6" s="77">
        <f>IFERROR(VLOOKUP(Vaktplan!$A$60,Vaktplan!$A$4:$CL$35,87-AG59,FALSE),0)</f>
        <v>0</v>
      </c>
      <c r="D6" s="9">
        <f>IFERROR(VLOOKUP(Vaktplan!$A$60,Vaktplan!$A$4:$CL$35,89-AG59,FALSE),0)</f>
        <v>0</v>
      </c>
      <c r="E6" s="9">
        <f>IF(AND(B6=0,C6=0),0,IF(B6&lt;C6,((C6-B6)*24)-D6,(((1-B6)+C6)*24)-D6))</f>
        <v>0</v>
      </c>
      <c r="F6" s="9">
        <f>IF(AND(C6=0,G6=0),24,IF(C6=0,12+(G6*24),IF(C6&lt;G6,((G6-C6)*24),IF(G6=0,(1-C6+0.5)*24,((1-C6)+G6)*24))))</f>
        <v>24</v>
      </c>
      <c r="G6" s="77">
        <f>IFERROR(VLOOKUP(Vaktplan!$A$60,Vaktplan!$B$4:$CL$35,86-AH59,FALSE),0)</f>
        <v>0</v>
      </c>
      <c r="H6" s="77">
        <f>IFERROR(VLOOKUP(Vaktplan!$A$60,Vaktplan!$B$4:$CL$35,86-AG59,FALSE),0)</f>
        <v>0</v>
      </c>
      <c r="I6" s="9">
        <f>IFERROR(VLOOKUP(Vaktplan!$A$60,Vaktplan!$B$4:$CL$35,89-$AH59,FALSE),0)</f>
        <v>0</v>
      </c>
      <c r="J6" s="9">
        <f>IF(AND(G6=0,H6=0),0,IF(G6&lt;H6,((H6-G6)*24)-I6,(((1-G6)+H6)*24)-I6))</f>
        <v>0</v>
      </c>
      <c r="K6" s="9">
        <f>IF(AND(H6=0,L6=0),24,IF(H6=0,12+(L6*24),IF(H6&lt;L6,((L6-H6)*24),IF(L6=0,(1-H6+0.5)*24,((1-H6)+L6)*24))))</f>
        <v>24</v>
      </c>
      <c r="L6" s="77">
        <f>IFERROR(VLOOKUP(Vaktplan!$A$60,Vaktplan!$C$4:$CL$35,86-AI59,FALSE),0)</f>
        <v>0</v>
      </c>
      <c r="M6" s="77">
        <f>IFERROR(VLOOKUP(Vaktplan!$A$60,Vaktplan!$C$4:$CL$35,86-AH59,FALSE),0)</f>
        <v>0</v>
      </c>
      <c r="N6" s="9">
        <f>IFERROR(VLOOKUP(Vaktplan!$A$60,Vaktplan!$C$4:$CL$35,89-$AI59,FALSE),0)</f>
        <v>0</v>
      </c>
      <c r="O6" s="9">
        <f>IF(AND(L6=0,M6=0),0,IF(L6&lt;M6,((M6-L6)*24)-N6,(((1-L6)+M6)*24)-N6))</f>
        <v>0</v>
      </c>
      <c r="P6" s="9">
        <f>IF(AND(M6=0,Q6=0),24,IF(M6=0,12+(Q6*24),IF(M6&lt;Q6,((Q6-M6)*24),IF(Q6=0,(1-M6+0.5)*24,((1-M6)+Q6)*24))))</f>
        <v>24</v>
      </c>
      <c r="Q6" s="77">
        <f>IFERROR(VLOOKUP(Vaktplan!$A$60,Vaktplan!$D$4:$CL$35,86-AJ59,FALSE),0)</f>
        <v>0</v>
      </c>
      <c r="R6" s="77">
        <f>IFERROR(VLOOKUP(Vaktplan!$A$60,Vaktplan!$D$4:$CL$35,86-AI59,FALSE),0)</f>
        <v>0</v>
      </c>
      <c r="S6" s="9">
        <f>IFERROR(VLOOKUP(Vaktplan!$A$60,Vaktplan!$D$4:$CL$35,89-$AJ59,FALSE),0)</f>
        <v>0</v>
      </c>
      <c r="T6" s="9">
        <f t="shared" ref="T6:T17" si="0">IF(AND(Q6=0,R6=0),0,IF(Q6&lt;R6,((R6-Q6)*24)-S6,(((1-Q6)+R6)*24)-S6))</f>
        <v>0</v>
      </c>
      <c r="U6" s="9">
        <f>IF(AND(R6=0,V6=0),24,IF(R6=0,12+(V6*24),IF(R6&lt;V6,((V6-R6)*24),IF(V6=0,(1-R6+0.5)*24,((1-R6)+V6)*24))))</f>
        <v>24</v>
      </c>
      <c r="V6" s="77">
        <f>IFERROR(VLOOKUP(Vaktplan!$A$60,Vaktplan!$E$4:$CL$35,86-AK59,FALSE),0)</f>
        <v>0</v>
      </c>
      <c r="W6" s="77">
        <f>IFERROR(VLOOKUP(Vaktplan!$A$60,Vaktplan!$E$4:$CL$35,86-AJ59,FALSE),0)</f>
        <v>0</v>
      </c>
      <c r="X6" s="9">
        <f>IFERROR(VLOOKUP(Vaktplan!$A$60,Vaktplan!$E$4:$CL$35,89-$AK59,FALSE),0)</f>
        <v>0</v>
      </c>
      <c r="Y6" s="9">
        <f>IF(AND(V6=0,W6=0),0,IF(V6&lt;W6,((W6-V6)*24)-X6,(((1-V6)+W6)*24)-X6))</f>
        <v>0</v>
      </c>
      <c r="Z6" s="9">
        <f>IF(AND(W6=0,AA6=0),24,IF(W6=0,12+(AA6*24),IF(W6&lt;AA6,((AA6-W6)*24),IF(AA6=0,(1-W6+0.5)*24,((1-W6)+AA6)*24))))</f>
        <v>24</v>
      </c>
      <c r="AA6" s="77">
        <f>IFERROR(VLOOKUP(Vaktplan!$A$60,Vaktplan!$F$4:$CL$35,86-AL59,FALSE),0)</f>
        <v>0</v>
      </c>
      <c r="AB6" s="77">
        <f>IFERROR(VLOOKUP(Vaktplan!$A$60,Vaktplan!$F$4:$CL$35,86-AK59,FALSE),0)</f>
        <v>0</v>
      </c>
      <c r="AC6" s="9">
        <f>IFERROR(VLOOKUP(Vaktplan!$A$60,Vaktplan!$F$4:$CL$35,89-$AL59,FALSE),0)</f>
        <v>0</v>
      </c>
      <c r="AD6" s="9">
        <f>IF(AND(AA6=0,AB6=0),0,IF(AA6&lt;AB6,((AB6-AA6)*24)-AC6,(((1-AA6)+AB6)*24)-AC6))</f>
        <v>0</v>
      </c>
      <c r="AE6" s="9">
        <f>IF(AND(AB6=0,AF6=0),24,IF(AB6=0,12+(AF6*24),IF(AB6&lt;AF6,((AF6-AB6)*24),IF(AF6=0,(1-AB6+0.5)*24,((1-AB6)+AF6)*24))))</f>
        <v>24</v>
      </c>
      <c r="AF6" s="77">
        <f>IFERROR(VLOOKUP(Vaktplan!$A$60,Vaktplan!$G$4:$CL$35,86-AM59,FALSE),0)</f>
        <v>0</v>
      </c>
      <c r="AG6" s="77">
        <f>IFERROR(VLOOKUP(Vaktplan!$A$60,Vaktplan!$G$4:$CL$35,86-AL59,FALSE),0)</f>
        <v>0</v>
      </c>
      <c r="AH6" s="9">
        <f>IFERROR(VLOOKUP(Vaktplan!$A$60,Vaktplan!$G$4:$CL$35,89-$AM59,FALSE),0)</f>
        <v>0</v>
      </c>
      <c r="AI6" s="9">
        <f>IF(AND(AF6=0,AG6=0),0,IF(AF6&lt;AG6,((AG6-AF6)*24)-AH6,(((1-AF6)+AG6)*24)-AH6))</f>
        <v>0</v>
      </c>
      <c r="AJ6" s="9">
        <f>IF($M$1=AL28,IF(AND(AG6=0,B6=0),24,IF(AG6=0,12+($B$6*24),IF(AG6&lt;$B$6,(($B$6-AG6)*24),IF($B$6=0,(1-AG6+1)*24,((1-AG6)+$B$6)*24)))),IF(AND(AG6=0,B7=0),24,IF(AG6=0,12+(B7*24),IF(AG6&lt;B7,((B7-AG6)*24),IF(B7=0,(1-AG6+1)*24,((1-AG6)+B7)*24)))))</f>
        <v>24</v>
      </c>
      <c r="AK6" s="9">
        <f t="shared" ref="AK6:AK17" si="1">E6+J6+O6+T6+Y6+AD6+AI6</f>
        <v>0</v>
      </c>
      <c r="AL6" s="92">
        <f>AJ6</f>
        <v>24</v>
      </c>
      <c r="AM6" s="10">
        <f>AK6</f>
        <v>0</v>
      </c>
    </row>
    <row r="7" spans="1:39" ht="13" x14ac:dyDescent="0.25">
      <c r="A7" s="7">
        <f>IF($M$1&gt;=2,2,0)</f>
        <v>2</v>
      </c>
      <c r="B7" s="77">
        <f>IFERROR(VLOOKUP(Vaktplan!$A$60,Vaktplan!$H$4:$CL$35,87-AH60,FALSE),0)</f>
        <v>0</v>
      </c>
      <c r="C7" s="77">
        <f>IFERROR(VLOOKUP(Vaktplan!$A$60,Vaktplan!$H$4:$CL$35,87-AG60,FALSE),0)</f>
        <v>0</v>
      </c>
      <c r="D7" s="9">
        <f>IFERROR(VLOOKUP(Vaktplan!$A$60,Vaktplan!$H$4:$CL$35,89-AG60,FALSE),0)</f>
        <v>0</v>
      </c>
      <c r="E7" s="9">
        <f>IF(AND(B7=0,C7=0),0,IF(B7&lt;C7,((C7-B7)*24)-D7,(((1-B7)+C7)*24)-D7))</f>
        <v>0</v>
      </c>
      <c r="F7" s="9">
        <f t="shared" ref="F7:F17" si="2">IF(AND(C7=0,G7=0),24,IF(C7=0,12+(G7*24),IF(C7&lt;G7,((G7-C7)*24),IF(G7=0,(1-C7+0.5)*24,((1-C7)+G7)*24))))</f>
        <v>24</v>
      </c>
      <c r="G7" s="77">
        <f>IFERROR(VLOOKUP(Vaktplan!$A$60,Vaktplan!$I$4:$CL$35,86-AH60,FALSE),0)</f>
        <v>0</v>
      </c>
      <c r="H7" s="77">
        <f>IFERROR(VLOOKUP(Vaktplan!$A$60,Vaktplan!$I$4:$CL$35,86-AG60,FALSE),0)</f>
        <v>0</v>
      </c>
      <c r="I7" s="9">
        <f>IFERROR(VLOOKUP(Vaktplan!$A$60,Vaktplan!$I$4:$CL$35,89-$AH60,FALSE),0)</f>
        <v>0</v>
      </c>
      <c r="J7" s="9">
        <f t="shared" ref="J7:J17" si="3">IF(AND(G7=0,H7=0),0,IF(G7&lt;H7,((H7-G7)*24)-I7,(((1-G7)+H7)*24)-I7))</f>
        <v>0</v>
      </c>
      <c r="K7" s="9">
        <f t="shared" ref="K7:K17" si="4">IF(AND(H7=0,L7=0),24,IF(H7=0,12+(L7*24),IF(H7&lt;L7,((L7-H7)*24),IF(L7=0,(1-H7+0.5)*24,((1-H7)+L7)*24))))</f>
        <v>24</v>
      </c>
      <c r="L7" s="77">
        <f>IFERROR(VLOOKUP(Vaktplan!$A$60,Vaktplan!$J$4:$CL$35,86-AI60,FALSE),0)</f>
        <v>0</v>
      </c>
      <c r="M7" s="77">
        <f>IFERROR(VLOOKUP(Vaktplan!$A$60,Vaktplan!$J$4:$CL$35,86-AH60,FALSE),0)</f>
        <v>0</v>
      </c>
      <c r="N7" s="9">
        <f>IFERROR(VLOOKUP(Vaktplan!$A$60,Vaktplan!$J$4:$CL$35,89-$AI60,FALSE),0)</f>
        <v>0</v>
      </c>
      <c r="O7" s="9">
        <f t="shared" ref="O7:O17" si="5">IF(AND(L7=0,M7=0),0,IF(L7&lt;M7,((M7-L7)*24)-N7,(((1-L7)+M7)*24)-N7))</f>
        <v>0</v>
      </c>
      <c r="P7" s="9">
        <f t="shared" ref="P7:P17" si="6">IF(AND(M7=0,Q7=0),24,IF(M7=0,12+(Q7*24),IF(M7&lt;Q7,((Q7-M7)*24),IF(Q7=0,(1-M7+0.5)*24,((1-M7)+Q7)*24))))</f>
        <v>24</v>
      </c>
      <c r="Q7" s="77">
        <f>IFERROR(VLOOKUP(Vaktplan!$A$60,Vaktplan!$K$4:$CL$35,86-AJ60,FALSE),0)</f>
        <v>0</v>
      </c>
      <c r="R7" s="77">
        <f>IFERROR(VLOOKUP(Vaktplan!$A$60,Vaktplan!$K$4:$CL$35,86-AI60,FALSE),0)</f>
        <v>0</v>
      </c>
      <c r="S7" s="9">
        <f>IFERROR(VLOOKUP(Vaktplan!$A$60,Vaktplan!$K$4:$CL$35,89-$AJ60,FALSE),0)</f>
        <v>0</v>
      </c>
      <c r="T7" s="9">
        <f t="shared" si="0"/>
        <v>0</v>
      </c>
      <c r="U7" s="9">
        <f t="shared" ref="U7:U17" si="7">IF(AND(R7=0,V7=0),24,IF(R7=0,12+(V7*24),IF(R7&lt;V7,((V7-R7)*24),IF(V7=0,(1-R7+0.5)*24,((1-R7)+V7)*24))))</f>
        <v>24</v>
      </c>
      <c r="V7" s="77">
        <f>IFERROR(VLOOKUP(Vaktplan!$A$60,Vaktplan!$L$4:$CL$35,86-AK60,FALSE),0)</f>
        <v>0</v>
      </c>
      <c r="W7" s="77">
        <f>IFERROR(VLOOKUP(Vaktplan!$A$60,Vaktplan!$L$4:$CL$35,86-AJ60,FALSE),0)</f>
        <v>0</v>
      </c>
      <c r="X7" s="9">
        <f>IFERROR(VLOOKUP(Vaktplan!$A$60,Vaktplan!$L$4:$CL$35,89-$AK60,FALSE),0)</f>
        <v>0</v>
      </c>
      <c r="Y7" s="9">
        <f t="shared" ref="Y7:Y13" si="8">IF(AND(V7=0,W7=0),0,IF(V7&lt;W7,((W7-V7)*24)-X7,(((1-V7)+W7)*24)-X7))</f>
        <v>0</v>
      </c>
      <c r="Z7" s="9">
        <f t="shared" ref="Z7:Z17" si="9">IF(AND(W7=0,AA7=0),24,IF(W7=0,12+(AA7*24),IF(W7&lt;AA7,((AA7-W7)*24),IF(AA7=0,(1-W7+0.5)*24,((1-W7)+AA7)*24))))</f>
        <v>24</v>
      </c>
      <c r="AA7" s="77">
        <f>IFERROR(VLOOKUP(Vaktplan!$A$60,Vaktplan!$M$4:$CL$35,86-AL60,FALSE),0)</f>
        <v>0</v>
      </c>
      <c r="AB7" s="77">
        <f>IFERROR(VLOOKUP(Vaktplan!$A$60,Vaktplan!$M$4:$CL$35,86-AK60,FALSE),0)</f>
        <v>0</v>
      </c>
      <c r="AC7" s="9">
        <f>IFERROR(VLOOKUP(Vaktplan!$A$60,Vaktplan!$M$4:$CL$35,89-$AL60,FALSE),0)</f>
        <v>0</v>
      </c>
      <c r="AD7" s="9">
        <f t="shared" ref="AD7:AD13" si="10">IF(AND(AA7=0,AB7=0),0,IF(AA7&lt;AB7,((AB7-AA7)*24)-AC7,(((1-AA7)+AB7)*24)-AC7))</f>
        <v>0</v>
      </c>
      <c r="AE7" s="9">
        <f t="shared" ref="AE7:AE17" si="11">IF(AND(AB7=0,AF7=0),24,IF(AB7=0,12+(AF7*24),IF(AB7&lt;AF7,((AF7-AB7)*24),IF(AF7=0,(1-AB7+0.5)*24,((1-AB7)+AF7)*24))))</f>
        <v>24</v>
      </c>
      <c r="AF7" s="77">
        <f>IFERROR(VLOOKUP(Vaktplan!$A$60,Vaktplan!$N$4:$CL$35,86-AM60,FALSE),0)</f>
        <v>0</v>
      </c>
      <c r="AG7" s="77">
        <f>IFERROR(VLOOKUP(Vaktplan!$A$60,Vaktplan!$N$4:$CL$35,86-AL60,FALSE),0)</f>
        <v>0</v>
      </c>
      <c r="AH7" s="9">
        <f>IFERROR(VLOOKUP(Vaktplan!$A$60,Vaktplan!$N$4:$CL$35,89-$AM60,FALSE),0)</f>
        <v>0</v>
      </c>
      <c r="AI7" s="9">
        <f t="shared" ref="AI7:AI13" si="12">IF(AND(AF7=0,AG7=0),0,IF(AF7&lt;AG7,((AG7-AF7)*24)-AH7,(((1-AF7)+AG7)*24)-AH7))</f>
        <v>0</v>
      </c>
      <c r="AJ7" s="9">
        <f t="shared" ref="AJ7:AJ17" si="13">IF($M$1=AL29,IF(AND(AG7=0,B7=0),24,IF(AG7=0,12+($B$6*24),IF(AG7&lt;$B$6,(($B$6-AG7)*24),IF($B$6=0,(1-AG7+1)*24,((1-AG7)+$B$6)*24)))),IF(AND(AG7=0,B8=0),24,IF(AG7=0,12+(B8*24),IF(AG7&lt;B8,((B8-AG7)*24),IF(B8=0,(1-AG7+1)*24,((1-AG7)+B8)*24)))))</f>
        <v>24</v>
      </c>
      <c r="AK7" s="9">
        <f t="shared" si="1"/>
        <v>0</v>
      </c>
      <c r="AL7" s="92">
        <f t="shared" ref="AL7:AL13" si="14">AJ7</f>
        <v>24</v>
      </c>
      <c r="AM7" s="10">
        <f t="shared" ref="AM7:AM13" si="15">AK7</f>
        <v>0</v>
      </c>
    </row>
    <row r="8" spans="1:39" ht="13" x14ac:dyDescent="0.25">
      <c r="A8" s="7">
        <f>IF($M$1&gt;=3,3,0)</f>
        <v>3</v>
      </c>
      <c r="B8" s="77">
        <f>IFERROR(VLOOKUP(Vaktplan!$A$60,Vaktplan!$O$4:$CL$35,87-AH61,FALSE),0)</f>
        <v>0</v>
      </c>
      <c r="C8" s="77">
        <f>IFERROR(VLOOKUP(Vaktplan!$A$60,Vaktplan!$O$4:$CL$35,87-AG61,FALSE),0)</f>
        <v>0</v>
      </c>
      <c r="D8" s="9">
        <f>IFERROR(VLOOKUP(Vaktplan!$A$60,Vaktplan!$O$4:$CL$35,89-AG61,FALSE),0)</f>
        <v>0</v>
      </c>
      <c r="E8" s="9">
        <f t="shared" ref="E8:E17" si="16">IF(AND(B8=0,C8=0),0,IF(B8&lt;C8,((C8-B8)*24)-D8,(((1-B8)+C8)*24)-D8))</f>
        <v>0</v>
      </c>
      <c r="F8" s="9">
        <f t="shared" si="2"/>
        <v>24</v>
      </c>
      <c r="G8" s="77">
        <f>IFERROR(VLOOKUP(Vaktplan!$A$60,Vaktplan!$P$4:$CL$35,86-AH61,FALSE),0)</f>
        <v>0</v>
      </c>
      <c r="H8" s="77">
        <f>IFERROR(VLOOKUP(Vaktplan!$A$60,Vaktplan!$P$4:$CL$35,86-AG61,FALSE),0)</f>
        <v>0</v>
      </c>
      <c r="I8" s="9">
        <f>IFERROR(VLOOKUP(Vaktplan!$A$60,Vaktplan!$P$4:$CL$35,89-$AH61,FALSE),0)</f>
        <v>0</v>
      </c>
      <c r="J8" s="9">
        <f>IF(AND(G8=0,H8=0),0,IF(G8&lt;H8,((H8-G8)*24)-I8,(((1-G8)+H8)*24)-I8))</f>
        <v>0</v>
      </c>
      <c r="K8" s="9">
        <f t="shared" si="4"/>
        <v>24</v>
      </c>
      <c r="L8" s="77">
        <f>IFERROR(VLOOKUP(Vaktplan!$A$60,Vaktplan!$Q$4:$CL$35,86-AI61,FALSE),0)</f>
        <v>0</v>
      </c>
      <c r="M8" s="77">
        <f>IFERROR(VLOOKUP(Vaktplan!$A$60,Vaktplan!$Q$4:$CL$35,86-AH61,FALSE),0)</f>
        <v>0</v>
      </c>
      <c r="N8" s="9">
        <f>IFERROR(VLOOKUP(Vaktplan!$A$60,Vaktplan!$Q$4:$CL$35,89-$AI61,FALSE),0)</f>
        <v>0</v>
      </c>
      <c r="O8" s="9">
        <f t="shared" si="5"/>
        <v>0</v>
      </c>
      <c r="P8" s="9">
        <f t="shared" si="6"/>
        <v>24</v>
      </c>
      <c r="Q8" s="77">
        <f>IFERROR(VLOOKUP(Vaktplan!$A$60,Vaktplan!$R$4:$CL$35,86-AJ61,FALSE),0)</f>
        <v>0</v>
      </c>
      <c r="R8" s="77">
        <f>IFERROR(VLOOKUP(Vaktplan!$A$60,Vaktplan!$R$4:$CL$35,86-AI61,FALSE),0)</f>
        <v>0</v>
      </c>
      <c r="S8" s="9">
        <f>IFERROR(VLOOKUP(Vaktplan!$A$60,Vaktplan!$R$4:$CL$35,89-$AJ61,FALSE),0)</f>
        <v>0</v>
      </c>
      <c r="T8" s="9">
        <f t="shared" si="0"/>
        <v>0</v>
      </c>
      <c r="U8" s="9">
        <f t="shared" si="7"/>
        <v>24</v>
      </c>
      <c r="V8" s="77">
        <f>IFERROR(VLOOKUP(Vaktplan!$A$60,Vaktplan!$S$4:$CL$35,86-AK61,FALSE),0)</f>
        <v>0</v>
      </c>
      <c r="W8" s="77">
        <f>IFERROR(VLOOKUP(Vaktplan!$A$60,Vaktplan!$S$4:$CL$35,86-AJ61,FALSE),0)</f>
        <v>0</v>
      </c>
      <c r="X8" s="9">
        <f>IFERROR(VLOOKUP(Vaktplan!$A$60,Vaktplan!$S$4:$CL$35,89-$AK61,FALSE),0)</f>
        <v>0</v>
      </c>
      <c r="Y8" s="9">
        <f t="shared" si="8"/>
        <v>0</v>
      </c>
      <c r="Z8" s="9">
        <f t="shared" si="9"/>
        <v>24</v>
      </c>
      <c r="AA8" s="77">
        <f>IFERROR(VLOOKUP(Vaktplan!$A$60,Vaktplan!$T$4:$CL$35,86-AL61,FALSE),0)</f>
        <v>0</v>
      </c>
      <c r="AB8" s="77">
        <f>IFERROR(VLOOKUP(Vaktplan!$A$60,Vaktplan!$T$4:$CL$35,86-AK61,FALSE),0)</f>
        <v>0</v>
      </c>
      <c r="AC8" s="9">
        <f>IFERROR(VLOOKUP(Vaktplan!$A$60,Vaktplan!$T$4:$CL$35,89-$AL61,FALSE),0)</f>
        <v>0</v>
      </c>
      <c r="AD8" s="9">
        <f t="shared" si="10"/>
        <v>0</v>
      </c>
      <c r="AE8" s="9">
        <f t="shared" si="11"/>
        <v>24</v>
      </c>
      <c r="AF8" s="77">
        <f>IFERROR(VLOOKUP(Vaktplan!$A$60,Vaktplan!$U$4:$CL$35,86-AM61,FALSE),0)</f>
        <v>0</v>
      </c>
      <c r="AG8" s="77">
        <f>IFERROR(VLOOKUP(Vaktplan!$A$60,Vaktplan!$U$4:$CL$35,86-AL61,FALSE),0)</f>
        <v>0</v>
      </c>
      <c r="AH8" s="9">
        <f>IFERROR(VLOOKUP(Vaktplan!$A$60,Vaktplan!$U$4:$CL$35,89-$AM61,FALSE),0)</f>
        <v>0</v>
      </c>
      <c r="AI8" s="9">
        <f t="shared" si="12"/>
        <v>0</v>
      </c>
      <c r="AJ8" s="9">
        <f t="shared" si="13"/>
        <v>24</v>
      </c>
      <c r="AK8" s="9">
        <f t="shared" si="1"/>
        <v>0</v>
      </c>
      <c r="AL8" s="92">
        <f t="shared" si="14"/>
        <v>24</v>
      </c>
      <c r="AM8" s="10">
        <f t="shared" si="15"/>
        <v>0</v>
      </c>
    </row>
    <row r="9" spans="1:39" ht="13" x14ac:dyDescent="0.25">
      <c r="A9" s="7">
        <f>IF($M$1&gt;=4,4,0)</f>
        <v>4</v>
      </c>
      <c r="B9" s="77">
        <f>IFERROR(VLOOKUP(Vaktplan!$A$60,Vaktplan!$V$4:$CL$35,87-AH62,FALSE),0)</f>
        <v>0</v>
      </c>
      <c r="C9" s="77">
        <f>IFERROR(VLOOKUP(Vaktplan!$A$60,Vaktplan!$V$4:$CL$35,87-AG62,FALSE),0)</f>
        <v>0</v>
      </c>
      <c r="D9" s="9">
        <f>IFERROR(VLOOKUP(Vaktplan!$A$60,Vaktplan!$V$4:$CL$35,89-AG62,FALSE),0)</f>
        <v>0</v>
      </c>
      <c r="E9" s="9">
        <f t="shared" si="16"/>
        <v>0</v>
      </c>
      <c r="F9" s="9">
        <f t="shared" si="2"/>
        <v>24</v>
      </c>
      <c r="G9" s="77">
        <f>IFERROR(VLOOKUP(Vaktplan!$A$60,Vaktplan!$W$4:$CL$35,86-AH62,FALSE),0)</f>
        <v>0</v>
      </c>
      <c r="H9" s="77">
        <f>IFERROR(VLOOKUP(Vaktplan!$A$60,Vaktplan!$W$4:$CL$35,86-AG62,FALSE),0)</f>
        <v>0</v>
      </c>
      <c r="I9" s="9">
        <f>IFERROR(VLOOKUP(Vaktplan!$A$60,Vaktplan!$W$4:$CL$35,89-$AH62,FALSE),0)</f>
        <v>0</v>
      </c>
      <c r="J9" s="9">
        <f t="shared" si="3"/>
        <v>0</v>
      </c>
      <c r="K9" s="9">
        <f t="shared" si="4"/>
        <v>24</v>
      </c>
      <c r="L9" s="77">
        <f>IFERROR(VLOOKUP(Vaktplan!$A$60,Vaktplan!$X$4:$CL$35,86-AI62,FALSE),0)</f>
        <v>0</v>
      </c>
      <c r="M9" s="77">
        <f>IFERROR(VLOOKUP(Vaktplan!$A$60,Vaktplan!$X$4:$CL$35,86-AH62,FALSE),0)</f>
        <v>0</v>
      </c>
      <c r="N9" s="9">
        <f>IFERROR(VLOOKUP(Vaktplan!$A$60,Vaktplan!$X$4:$CL$35,89-$AI62,FALSE),0)</f>
        <v>0</v>
      </c>
      <c r="O9" s="9">
        <f t="shared" si="5"/>
        <v>0</v>
      </c>
      <c r="P9" s="9">
        <f t="shared" si="6"/>
        <v>24</v>
      </c>
      <c r="Q9" s="77">
        <f>IFERROR(VLOOKUP(Vaktplan!$A$60,Vaktplan!$Y$4:$CL$35,86-AJ62,FALSE),0)</f>
        <v>0</v>
      </c>
      <c r="R9" s="77">
        <f>IFERROR(VLOOKUP(Vaktplan!$A$60,Vaktplan!$Y$4:$CL$35,86-AI62,FALSE),0)</f>
        <v>0</v>
      </c>
      <c r="S9" s="9">
        <f>IFERROR(VLOOKUP(Vaktplan!$A$60,Vaktplan!$Y$4:$CL$35,89-$AJ62,FALSE),0)</f>
        <v>0</v>
      </c>
      <c r="T9" s="9">
        <f t="shared" si="0"/>
        <v>0</v>
      </c>
      <c r="U9" s="9">
        <f t="shared" si="7"/>
        <v>24</v>
      </c>
      <c r="V9" s="77">
        <f>IFERROR(VLOOKUP(Vaktplan!$A$60,Vaktplan!$Z$4:$CL$35,86-AK62,FALSE),0)</f>
        <v>0</v>
      </c>
      <c r="W9" s="77">
        <f>IFERROR(VLOOKUP(Vaktplan!$A$60,Vaktplan!$Z$4:$CL$35,86-AJ62,FALSE),0)</f>
        <v>0</v>
      </c>
      <c r="X9" s="9">
        <f>IFERROR(VLOOKUP(Vaktplan!$A$60,Vaktplan!$Z$4:$CL$35,89-$AK62,FALSE),0)</f>
        <v>0</v>
      </c>
      <c r="Y9" s="9">
        <f t="shared" si="8"/>
        <v>0</v>
      </c>
      <c r="Z9" s="9">
        <f t="shared" si="9"/>
        <v>24</v>
      </c>
      <c r="AA9" s="77">
        <f>IFERROR(VLOOKUP(Vaktplan!$A$60,Vaktplan!$AA$4:$CL$35,86-AL62,FALSE),0)</f>
        <v>0</v>
      </c>
      <c r="AB9" s="77">
        <f>IFERROR(VLOOKUP(Vaktplan!$A$60,Vaktplan!$AA$4:$CL$35,86-AK62,FALSE),0)</f>
        <v>0</v>
      </c>
      <c r="AC9" s="9">
        <f>IFERROR(VLOOKUP(Vaktplan!$A$60,Vaktplan!$AA$4:$CL$35,89-$AL62,FALSE),0)</f>
        <v>0</v>
      </c>
      <c r="AD9" s="9">
        <f t="shared" si="10"/>
        <v>0</v>
      </c>
      <c r="AE9" s="9">
        <f t="shared" si="11"/>
        <v>24</v>
      </c>
      <c r="AF9" s="77">
        <f>IFERROR(VLOOKUP(Vaktplan!$A$60,Vaktplan!$AB$4:$CL$35,86-AM62,FALSE),0)</f>
        <v>0</v>
      </c>
      <c r="AG9" s="77">
        <f>IFERROR(VLOOKUP(Vaktplan!$A$60,Vaktplan!$AB$4:$CL$35,86-AL62,FALSE),0)</f>
        <v>0</v>
      </c>
      <c r="AH9" s="9">
        <f>IFERROR(VLOOKUP(Vaktplan!$A$60,Vaktplan!$AB$4:$CL$35,89-$AM62,FALSE),0)</f>
        <v>0</v>
      </c>
      <c r="AI9" s="9">
        <f t="shared" si="12"/>
        <v>0</v>
      </c>
      <c r="AJ9" s="9">
        <f t="shared" si="13"/>
        <v>24</v>
      </c>
      <c r="AK9" s="9">
        <f t="shared" si="1"/>
        <v>0</v>
      </c>
      <c r="AL9" s="92">
        <f t="shared" si="14"/>
        <v>24</v>
      </c>
      <c r="AM9" s="10">
        <f t="shared" si="15"/>
        <v>0</v>
      </c>
    </row>
    <row r="10" spans="1:39" ht="13" x14ac:dyDescent="0.25">
      <c r="A10" s="7">
        <f>IF($M$1&gt;=5,5,0)</f>
        <v>5</v>
      </c>
      <c r="B10" s="77">
        <f>IFERROR(VLOOKUP(Vaktplan!$A$60,Vaktplan!$AC$4:$CL$35,87-AH63,FALSE),0)</f>
        <v>0</v>
      </c>
      <c r="C10" s="77">
        <f>IFERROR(VLOOKUP(Vaktplan!$A$60,Vaktplan!$AC$4:$CL$35,87-AG63,FALSE),0)</f>
        <v>0</v>
      </c>
      <c r="D10" s="9">
        <f>IFERROR(VLOOKUP(Vaktplan!$A$60,Vaktplan!$AC$4:$CL$35,89-AG63,FALSE),0)</f>
        <v>0</v>
      </c>
      <c r="E10" s="9">
        <f t="shared" si="16"/>
        <v>0</v>
      </c>
      <c r="F10" s="9">
        <f t="shared" si="2"/>
        <v>24</v>
      </c>
      <c r="G10" s="77">
        <f>IFERROR(VLOOKUP(Vaktplan!$A$60,Vaktplan!$AD$4:$CL$35,86-AH63,FALSE),0)</f>
        <v>0</v>
      </c>
      <c r="H10" s="77">
        <f>IFERROR(VLOOKUP(Vaktplan!$A$60,Vaktplan!$AD$4:$CL$35,86-AG63,FALSE),0)</f>
        <v>0</v>
      </c>
      <c r="I10" s="9">
        <f>IFERROR(VLOOKUP(Vaktplan!$A$60,Vaktplan!$AD$4:$CL$35,89-$AH63,FALSE),0)</f>
        <v>0</v>
      </c>
      <c r="J10" s="9">
        <f t="shared" si="3"/>
        <v>0</v>
      </c>
      <c r="K10" s="9">
        <f t="shared" si="4"/>
        <v>24</v>
      </c>
      <c r="L10" s="77">
        <f>IFERROR(VLOOKUP(Vaktplan!$A$60,Vaktplan!$AE$4:$CL$35,86-AI63,FALSE),0)</f>
        <v>0</v>
      </c>
      <c r="M10" s="77">
        <f>IFERROR(VLOOKUP(Vaktplan!$A$60,Vaktplan!$AE$4:$CL$35,86-AH63,FALSE),0)</f>
        <v>0</v>
      </c>
      <c r="N10" s="9">
        <f>IFERROR(VLOOKUP(Vaktplan!$A$60,Vaktplan!$AE$4:$CL$35,89-$AI63,FALSE),0)</f>
        <v>0</v>
      </c>
      <c r="O10" s="9">
        <f t="shared" si="5"/>
        <v>0</v>
      </c>
      <c r="P10" s="9">
        <f t="shared" si="6"/>
        <v>24</v>
      </c>
      <c r="Q10" s="77">
        <f>IFERROR(VLOOKUP(Vaktplan!$A$60,Vaktplan!$AF$4:$CL$35,86-AJ63,FALSE),0)</f>
        <v>0</v>
      </c>
      <c r="R10" s="77">
        <f>IFERROR(VLOOKUP(Vaktplan!$A$60,Vaktplan!$AF$4:$CL$35,86-AI63,FALSE),0)</f>
        <v>0</v>
      </c>
      <c r="S10" s="9">
        <f>IFERROR(VLOOKUP(Vaktplan!$A$60,Vaktplan!$AF$4:$CL$35,89-$AJ63,FALSE),0)</f>
        <v>0</v>
      </c>
      <c r="T10" s="9">
        <f t="shared" si="0"/>
        <v>0</v>
      </c>
      <c r="U10" s="9">
        <f t="shared" si="7"/>
        <v>24</v>
      </c>
      <c r="V10" s="77">
        <f>IFERROR(VLOOKUP(Vaktplan!$A$60,Vaktplan!$AG$4:$CL$35,86-AK63,FALSE),0)</f>
        <v>0</v>
      </c>
      <c r="W10" s="77">
        <f>IFERROR(VLOOKUP(Vaktplan!$A$60,Vaktplan!$AG$4:$CL$35,86-AJ63,FALSE),0)</f>
        <v>0</v>
      </c>
      <c r="X10" s="9">
        <f>IFERROR(VLOOKUP(Vaktplan!$A$60,Vaktplan!$AG$4:$CL$35,89-$AK63,FALSE),0)</f>
        <v>0</v>
      </c>
      <c r="Y10" s="9">
        <f t="shared" si="8"/>
        <v>0</v>
      </c>
      <c r="Z10" s="9">
        <f t="shared" si="9"/>
        <v>24</v>
      </c>
      <c r="AA10" s="77">
        <f>IFERROR(VLOOKUP(Vaktplan!$A$60,Vaktplan!$AH$4:$CL$35,86-AL63,FALSE),0)</f>
        <v>0</v>
      </c>
      <c r="AB10" s="77">
        <f>IFERROR(VLOOKUP(Vaktplan!$A$60,Vaktplan!$AH$4:$CL$35,86-AK63,FALSE),0)</f>
        <v>0</v>
      </c>
      <c r="AC10" s="9">
        <f>IFERROR(VLOOKUP(Vaktplan!$A$60,Vaktplan!$AH$4:$CL$35,89-$AL63,FALSE),0)</f>
        <v>0</v>
      </c>
      <c r="AD10" s="9">
        <f t="shared" si="10"/>
        <v>0</v>
      </c>
      <c r="AE10" s="9">
        <f t="shared" si="11"/>
        <v>24</v>
      </c>
      <c r="AF10" s="77">
        <f>IFERROR(VLOOKUP(Vaktplan!$A$60,Vaktplan!$AI$4:$CL$35,86-AM63,FALSE),0)</f>
        <v>0</v>
      </c>
      <c r="AG10" s="77">
        <f>IFERROR(VLOOKUP(Vaktplan!$A$60,Vaktplan!$AI$4:$CL$35,86-AL63,FALSE),0)</f>
        <v>0</v>
      </c>
      <c r="AH10" s="9">
        <f>IFERROR(VLOOKUP(Vaktplan!$A$60,Vaktplan!$AI$4:$CL$35,89-$AM63,FALSE),0)</f>
        <v>0</v>
      </c>
      <c r="AI10" s="9">
        <f t="shared" si="12"/>
        <v>0</v>
      </c>
      <c r="AJ10" s="9">
        <f t="shared" si="13"/>
        <v>24</v>
      </c>
      <c r="AK10" s="9">
        <f t="shared" si="1"/>
        <v>0</v>
      </c>
      <c r="AL10" s="92">
        <f t="shared" si="14"/>
        <v>24</v>
      </c>
      <c r="AM10" s="10">
        <f t="shared" si="15"/>
        <v>0</v>
      </c>
    </row>
    <row r="11" spans="1:39" ht="13" x14ac:dyDescent="0.25">
      <c r="A11" s="7">
        <f>IF($M$1&gt;=6,6,0)</f>
        <v>6</v>
      </c>
      <c r="B11" s="77">
        <f>IFERROR(VLOOKUP(Vaktplan!$A$60,Vaktplan!$AJ$4:$CL$35,87-AH64,FALSE),0)</f>
        <v>0</v>
      </c>
      <c r="C11" s="77">
        <f>IFERROR(VLOOKUP(Vaktplan!$A$60,Vaktplan!$AJ$4:$CL$35,87-AG64,FALSE),0)</f>
        <v>0</v>
      </c>
      <c r="D11" s="9">
        <f>IFERROR(VLOOKUP(Vaktplan!$A$60,Vaktplan!$AJ$4:$CL$35,89-AG64,FALSE),0)</f>
        <v>0</v>
      </c>
      <c r="E11" s="9">
        <f t="shared" si="16"/>
        <v>0</v>
      </c>
      <c r="F11" s="9">
        <f t="shared" si="2"/>
        <v>24</v>
      </c>
      <c r="G11" s="77">
        <f>IFERROR(VLOOKUP(Vaktplan!$A$60,Vaktplan!$AK$4:$CL$35,86-AH64,FALSE),0)</f>
        <v>0</v>
      </c>
      <c r="H11" s="77">
        <f>IFERROR(VLOOKUP(Vaktplan!$A$60,Vaktplan!$AK$4:$CL$35,86-AG64,FALSE),0)</f>
        <v>0</v>
      </c>
      <c r="I11" s="9">
        <f>IFERROR(VLOOKUP(Vaktplan!$A$60,Vaktplan!$AK$4:$CL$35,89-$AH64,FALSE),0)</f>
        <v>0</v>
      </c>
      <c r="J11" s="9">
        <f t="shared" si="3"/>
        <v>0</v>
      </c>
      <c r="K11" s="9">
        <f t="shared" si="4"/>
        <v>24</v>
      </c>
      <c r="L11" s="77">
        <f>IFERROR(VLOOKUP(Vaktplan!$A$60,Vaktplan!$AL$4:$CL$35,86-AI64,FALSE),0)</f>
        <v>0</v>
      </c>
      <c r="M11" s="77">
        <f>IFERROR(VLOOKUP(Vaktplan!$A$60,Vaktplan!$AL$4:$CL$35,86-AH64,FALSE),0)</f>
        <v>0</v>
      </c>
      <c r="N11" s="9">
        <f>IFERROR(VLOOKUP(Vaktplan!$A$60,Vaktplan!$AL$4:$CL$35,89-$AI64,FALSE),0)</f>
        <v>0</v>
      </c>
      <c r="O11" s="9">
        <f t="shared" si="5"/>
        <v>0</v>
      </c>
      <c r="P11" s="9">
        <f t="shared" si="6"/>
        <v>24</v>
      </c>
      <c r="Q11" s="77">
        <f>IFERROR(VLOOKUP(Vaktplan!$A$60,Vaktplan!$AM$4:$CL$35,86-AJ64,FALSE),0)</f>
        <v>0</v>
      </c>
      <c r="R11" s="77">
        <f>IFERROR(VLOOKUP(Vaktplan!$A$60,Vaktplan!$AM$4:$CL$35,86-AI64,FALSE),0)</f>
        <v>0</v>
      </c>
      <c r="S11" s="9">
        <f>IFERROR(VLOOKUP(Vaktplan!$A$60,Vaktplan!$AM$4:$CL$35,89-$AJ64,FALSE),0)</f>
        <v>0</v>
      </c>
      <c r="T11" s="9">
        <f t="shared" si="0"/>
        <v>0</v>
      </c>
      <c r="U11" s="9">
        <f t="shared" si="7"/>
        <v>24</v>
      </c>
      <c r="V11" s="77">
        <f>IFERROR(VLOOKUP(Vaktplan!$A$60,Vaktplan!$AN$4:$CL$35,86-AK64,FALSE),0)</f>
        <v>0</v>
      </c>
      <c r="W11" s="77">
        <f>IFERROR(VLOOKUP(Vaktplan!$A$60,Vaktplan!$AN$4:$CL$35,86-AJ64,FALSE),0)</f>
        <v>0</v>
      </c>
      <c r="X11" s="9">
        <f>IFERROR(VLOOKUP(Vaktplan!$A$60,Vaktplan!$AN$4:$CL$35,89-$AK64,FALSE),0)</f>
        <v>0</v>
      </c>
      <c r="Y11" s="9">
        <f t="shared" si="8"/>
        <v>0</v>
      </c>
      <c r="Z11" s="9">
        <f t="shared" si="9"/>
        <v>24</v>
      </c>
      <c r="AA11" s="77">
        <f>IFERROR(VLOOKUP(Vaktplan!$A$60,Vaktplan!$AO$4:$CL$35,86-AL64,FALSE),0)</f>
        <v>0</v>
      </c>
      <c r="AB11" s="77">
        <f>IFERROR(VLOOKUP(Vaktplan!$A$60,Vaktplan!$AO$4:$CL$35,86-AK64,FALSE),0)</f>
        <v>0</v>
      </c>
      <c r="AC11" s="9">
        <f>IFERROR(VLOOKUP(Vaktplan!$A$60,Vaktplan!$AO$4:$CL$35,89-$AL64,FALSE),0)</f>
        <v>0</v>
      </c>
      <c r="AD11" s="9">
        <f t="shared" si="10"/>
        <v>0</v>
      </c>
      <c r="AE11" s="9">
        <f t="shared" si="11"/>
        <v>24</v>
      </c>
      <c r="AF11" s="77">
        <f>IFERROR(VLOOKUP(Vaktplan!$A$60,Vaktplan!$AP$4:$CL$35,86-AM64,FALSE),0)</f>
        <v>0</v>
      </c>
      <c r="AG11" s="77">
        <f>IFERROR(VLOOKUP(Vaktplan!$A$60,Vaktplan!$AP$4:$CL$35,86-AL64,FALSE),0)</f>
        <v>0</v>
      </c>
      <c r="AH11" s="9">
        <f>IFERROR(VLOOKUP(Vaktplan!$A$60,Vaktplan!$AP$4:$CL$35,89-$AM64,FALSE),0)</f>
        <v>0</v>
      </c>
      <c r="AI11" s="9">
        <f t="shared" si="12"/>
        <v>0</v>
      </c>
      <c r="AJ11" s="9">
        <f t="shared" si="13"/>
        <v>24</v>
      </c>
      <c r="AK11" s="9">
        <f t="shared" si="1"/>
        <v>0</v>
      </c>
      <c r="AL11" s="92">
        <f t="shared" si="14"/>
        <v>24</v>
      </c>
      <c r="AM11" s="10">
        <f t="shared" si="15"/>
        <v>0</v>
      </c>
    </row>
    <row r="12" spans="1:39" ht="13" x14ac:dyDescent="0.25">
      <c r="A12" s="7">
        <f>IF($M$1&gt;=7,7,0)</f>
        <v>7</v>
      </c>
      <c r="B12" s="77">
        <f>IFERROR(VLOOKUP(Vaktplan!$A$60,Vaktplan!$AQ$4:$CL$35,87-AH65,FALSE),0)</f>
        <v>0</v>
      </c>
      <c r="C12" s="77">
        <f>IFERROR(VLOOKUP(Vaktplan!$A$60,Vaktplan!$AQ$4:$CL$35,87-AG65,FALSE),0)</f>
        <v>0</v>
      </c>
      <c r="D12" s="9">
        <f>IFERROR(VLOOKUP(Vaktplan!$A$60,Vaktplan!$AQ$4:$CL$35,89-AG65,FALSE),0)</f>
        <v>0</v>
      </c>
      <c r="E12" s="9">
        <f t="shared" si="16"/>
        <v>0</v>
      </c>
      <c r="F12" s="9">
        <f t="shared" si="2"/>
        <v>24</v>
      </c>
      <c r="G12" s="77">
        <f>IFERROR(VLOOKUP(Vaktplan!$A$60,Vaktplan!$AR$4:$CL$35,86-AH65,FALSE),0)</f>
        <v>0</v>
      </c>
      <c r="H12" s="77">
        <f>IFERROR(VLOOKUP(Vaktplan!$A$60,Vaktplan!$AR$4:$CL$35,86-AG65,FALSE),0)</f>
        <v>0</v>
      </c>
      <c r="I12" s="9">
        <f>IFERROR(VLOOKUP(Vaktplan!$A$60,Vaktplan!$AR$4:$CL$35,89-$AH65,FALSE),0)</f>
        <v>0</v>
      </c>
      <c r="J12" s="9">
        <f t="shared" si="3"/>
        <v>0</v>
      </c>
      <c r="K12" s="9">
        <f t="shared" si="4"/>
        <v>24</v>
      </c>
      <c r="L12" s="77">
        <f>IFERROR(VLOOKUP(Vaktplan!$A$60,Vaktplan!$AS$4:$CL$35,86-AI65,FALSE),0)</f>
        <v>0</v>
      </c>
      <c r="M12" s="77">
        <f>IFERROR(VLOOKUP(Vaktplan!$A$60,Vaktplan!$AS$4:$CL$35,86-AH65,FALSE),0)</f>
        <v>0</v>
      </c>
      <c r="N12" s="9">
        <f>IFERROR(VLOOKUP(Vaktplan!$A$60,Vaktplan!$AS$4:$CL$35,89-$AI65,FALSE),0)</f>
        <v>0</v>
      </c>
      <c r="O12" s="9">
        <f t="shared" si="5"/>
        <v>0</v>
      </c>
      <c r="P12" s="9">
        <f t="shared" si="6"/>
        <v>24</v>
      </c>
      <c r="Q12" s="77">
        <f>IFERROR(VLOOKUP(Vaktplan!$A$60,Vaktplan!$AT$4:$CL$35,86-AJ65,FALSE),0)</f>
        <v>0</v>
      </c>
      <c r="R12" s="77">
        <f>IFERROR(VLOOKUP(Vaktplan!$A$60,Vaktplan!$AT$4:$CL$35,86-AI65,FALSE),0)</f>
        <v>0</v>
      </c>
      <c r="S12" s="9">
        <f>IFERROR(VLOOKUP(Vaktplan!$A$60,Vaktplan!$AT$4:$CL$35,89-$AJ65,FALSE),0)</f>
        <v>0</v>
      </c>
      <c r="T12" s="9">
        <f t="shared" si="0"/>
        <v>0</v>
      </c>
      <c r="U12" s="9">
        <f t="shared" si="7"/>
        <v>24</v>
      </c>
      <c r="V12" s="77">
        <f>IFERROR(VLOOKUP(Vaktplan!$A$60,Vaktplan!$AU$4:$CL$35,86-AK65,FALSE),0)</f>
        <v>0</v>
      </c>
      <c r="W12" s="77">
        <f>IFERROR(VLOOKUP(Vaktplan!$A$60,Vaktplan!$AU$4:$CL$35,86-AJ65,FALSE),0)</f>
        <v>0</v>
      </c>
      <c r="X12" s="9">
        <f>IFERROR(VLOOKUP(Vaktplan!$A$60,Vaktplan!$AU$4:$CL$35,89-$AK65,FALSE),0)</f>
        <v>0</v>
      </c>
      <c r="Y12" s="9">
        <f t="shared" si="8"/>
        <v>0</v>
      </c>
      <c r="Z12" s="9">
        <f t="shared" si="9"/>
        <v>24</v>
      </c>
      <c r="AA12" s="77">
        <f>IFERROR(VLOOKUP(Vaktplan!$A$60,Vaktplan!$AV$4:$CL$35,86-AL65,FALSE),0)</f>
        <v>0</v>
      </c>
      <c r="AB12" s="77">
        <f>IFERROR(VLOOKUP(Vaktplan!$A$60,Vaktplan!$AV$4:$CL$35,86-AK65,FALSE),0)</f>
        <v>0</v>
      </c>
      <c r="AC12" s="9">
        <f>IFERROR(VLOOKUP(Vaktplan!$A$60,Vaktplan!$AV$4:$CL$35,89-$AL65,FALSE),0)</f>
        <v>0</v>
      </c>
      <c r="AD12" s="9">
        <f t="shared" si="10"/>
        <v>0</v>
      </c>
      <c r="AE12" s="9">
        <f t="shared" si="11"/>
        <v>24</v>
      </c>
      <c r="AF12" s="77">
        <f>IFERROR(VLOOKUP(Vaktplan!$A$60,Vaktplan!$AW$4:$CL$35,86-AM65,FALSE),0)</f>
        <v>0</v>
      </c>
      <c r="AG12" s="77">
        <f>IFERROR(VLOOKUP(Vaktplan!$A$60,Vaktplan!$AW$4:$CL$35,86-AL65,FALSE),0)</f>
        <v>0</v>
      </c>
      <c r="AH12" s="9">
        <f>IFERROR(VLOOKUP(Vaktplan!$A$60,Vaktplan!$AW$4:$CL$35,89-$AM65,FALSE),0)</f>
        <v>0</v>
      </c>
      <c r="AI12" s="9">
        <f t="shared" si="12"/>
        <v>0</v>
      </c>
      <c r="AJ12" s="9">
        <f t="shared" si="13"/>
        <v>24</v>
      </c>
      <c r="AK12" s="9">
        <f t="shared" si="1"/>
        <v>0</v>
      </c>
      <c r="AL12" s="92">
        <f t="shared" si="14"/>
        <v>24</v>
      </c>
      <c r="AM12" s="10">
        <f t="shared" si="15"/>
        <v>0</v>
      </c>
    </row>
    <row r="13" spans="1:39" ht="13" x14ac:dyDescent="0.25">
      <c r="A13" s="7">
        <f>IF($M$1&gt;=8,8,0)</f>
        <v>8</v>
      </c>
      <c r="B13" s="77">
        <f>IFERROR(VLOOKUP(Vaktplan!$A$60,Vaktplan!$AX$4:$CL$35,87-AH66,FALSE),0)</f>
        <v>0</v>
      </c>
      <c r="C13" s="77">
        <f>IFERROR(VLOOKUP(Vaktplan!$A$60,Vaktplan!$AX$4:$CL$35,87-AG66,FALSE),0)</f>
        <v>0</v>
      </c>
      <c r="D13" s="9">
        <f>IFERROR(VLOOKUP(Vaktplan!$A$60,Vaktplan!$AX$4:$CL$35,89-AG66,FALSE),0)</f>
        <v>0</v>
      </c>
      <c r="E13" s="9">
        <f t="shared" si="16"/>
        <v>0</v>
      </c>
      <c r="F13" s="9">
        <f t="shared" si="2"/>
        <v>24</v>
      </c>
      <c r="G13" s="77">
        <f>IFERROR(VLOOKUP(Vaktplan!$A$60,Vaktplan!$AY$4:$CL$35,86-AH66,FALSE),0)</f>
        <v>0</v>
      </c>
      <c r="H13" s="77">
        <f>IFERROR(VLOOKUP(Vaktplan!$A$60,Vaktplan!$AY$4:$CL$35,86-AG66,FALSE),0)</f>
        <v>0</v>
      </c>
      <c r="I13" s="9">
        <f>IFERROR(VLOOKUP(Vaktplan!$A$60,Vaktplan!$AY$4:$CL$35,89-$AH66,FALSE),0)</f>
        <v>0</v>
      </c>
      <c r="J13" s="9">
        <f t="shared" si="3"/>
        <v>0</v>
      </c>
      <c r="K13" s="9">
        <f t="shared" si="4"/>
        <v>24</v>
      </c>
      <c r="L13" s="77">
        <f>IFERROR(VLOOKUP(Vaktplan!$A$60,Vaktplan!$AZ$4:$CL$35,86-AI66,FALSE),0)</f>
        <v>0</v>
      </c>
      <c r="M13" s="77">
        <f>IFERROR(VLOOKUP(Vaktplan!$A$60,Vaktplan!$AZ$4:$CL$35,86-AH66,FALSE),0)</f>
        <v>0</v>
      </c>
      <c r="N13" s="9">
        <f>IFERROR(VLOOKUP(Vaktplan!$A$60,Vaktplan!$AZ$4:$CL$35,89-$AI66,FALSE),0)</f>
        <v>0</v>
      </c>
      <c r="O13" s="9">
        <f t="shared" si="5"/>
        <v>0</v>
      </c>
      <c r="P13" s="9">
        <f t="shared" si="6"/>
        <v>24</v>
      </c>
      <c r="Q13" s="77">
        <f>IFERROR(VLOOKUP(Vaktplan!$A$60,Vaktplan!$BA$4:$CL$35,86-AJ66,FALSE),0)</f>
        <v>0</v>
      </c>
      <c r="R13" s="77">
        <f>IFERROR(VLOOKUP(Vaktplan!$A$60,Vaktplan!$BA$4:$CL$35,86-AI66,FALSE),0)</f>
        <v>0</v>
      </c>
      <c r="S13" s="9">
        <f>IFERROR(VLOOKUP(Vaktplan!$A$60,Vaktplan!$BA$4:$CL$35,89-$AJ66,FALSE),0)</f>
        <v>0</v>
      </c>
      <c r="T13" s="9">
        <f t="shared" si="0"/>
        <v>0</v>
      </c>
      <c r="U13" s="9">
        <f t="shared" si="7"/>
        <v>24</v>
      </c>
      <c r="V13" s="77">
        <f>IFERROR(VLOOKUP(Vaktplan!$A$60,Vaktplan!$BB$4:$CL$35,86-AK66,FALSE),0)</f>
        <v>0</v>
      </c>
      <c r="W13" s="77">
        <f>IFERROR(VLOOKUP(Vaktplan!$A$60,Vaktplan!$BB$4:$CL$35,86-AJ66,FALSE),0)</f>
        <v>0</v>
      </c>
      <c r="X13" s="9">
        <f>IFERROR(VLOOKUP(Vaktplan!$A$60,Vaktplan!$BB$4:$CL$35,89-$AK66,FALSE),0)</f>
        <v>0</v>
      </c>
      <c r="Y13" s="9">
        <f t="shared" si="8"/>
        <v>0</v>
      </c>
      <c r="Z13" s="9">
        <f t="shared" si="9"/>
        <v>24</v>
      </c>
      <c r="AA13" s="77">
        <f>IFERROR(VLOOKUP(Vaktplan!$A$60,Vaktplan!$BC$4:$CL$35,86-AL66,FALSE),0)</f>
        <v>0</v>
      </c>
      <c r="AB13" s="77">
        <f>IFERROR(VLOOKUP(Vaktplan!$A$60,Vaktplan!$BC$4:$CL$35,86-AK66,FALSE),0)</f>
        <v>0</v>
      </c>
      <c r="AC13" s="9">
        <f>IFERROR(VLOOKUP(Vaktplan!$A$60,Vaktplan!$BC$4:$CL$35,89-$AL66,FALSE),0)</f>
        <v>0</v>
      </c>
      <c r="AD13" s="9">
        <f t="shared" si="10"/>
        <v>0</v>
      </c>
      <c r="AE13" s="9">
        <f t="shared" si="11"/>
        <v>24</v>
      </c>
      <c r="AF13" s="77">
        <f>IFERROR(VLOOKUP(Vaktplan!$A$60,Vaktplan!$BD$4:$CL$35,86-AM66,FALSE),0)</f>
        <v>0</v>
      </c>
      <c r="AG13" s="77">
        <f>IFERROR(VLOOKUP(Vaktplan!$A$60,Vaktplan!$BD$4:$CL$35,86-AL66,FALSE),0)</f>
        <v>0</v>
      </c>
      <c r="AH13" s="9">
        <f>IFERROR(VLOOKUP(Vaktplan!$A$60,Vaktplan!$BD$4:$CL$35,89-$AM66,FALSE),0)</f>
        <v>0</v>
      </c>
      <c r="AI13" s="9">
        <f t="shared" si="12"/>
        <v>0</v>
      </c>
      <c r="AJ13" s="9">
        <f t="shared" si="13"/>
        <v>24</v>
      </c>
      <c r="AK13" s="9">
        <f t="shared" si="1"/>
        <v>0</v>
      </c>
      <c r="AL13" s="92">
        <f t="shared" si="14"/>
        <v>24</v>
      </c>
      <c r="AM13" s="10">
        <f t="shared" si="15"/>
        <v>0</v>
      </c>
    </row>
    <row r="14" spans="1:39" ht="13" x14ac:dyDescent="0.25">
      <c r="A14" s="7">
        <v>9</v>
      </c>
      <c r="B14" s="77">
        <f>IFERROR(VLOOKUP(Vaktplan!$A$60,Vaktplan!$BE$4:$CL$35,87-AH67,FALSE),0)</f>
        <v>0</v>
      </c>
      <c r="C14" s="77">
        <f>IFERROR(VLOOKUP(Vaktplan!$A$60,Vaktplan!$BE$4:$CL$35,87-AG67,FALSE),0)</f>
        <v>0</v>
      </c>
      <c r="D14" s="9">
        <f>IFERROR(VLOOKUP(Vaktplan!$A$60,Vaktplan!$BE$4:$CL$35,89-AG67,FALSE),0)</f>
        <v>0</v>
      </c>
      <c r="E14" s="9">
        <f t="shared" si="16"/>
        <v>0</v>
      </c>
      <c r="F14" s="9">
        <f t="shared" si="2"/>
        <v>24</v>
      </c>
      <c r="G14" s="77">
        <f>IFERROR(VLOOKUP(Vaktplan!$A$60,Vaktplan!$BF$4:$CL$35,86-AH67,FALSE),0)</f>
        <v>0</v>
      </c>
      <c r="H14" s="77">
        <f>IFERROR(VLOOKUP(Vaktplan!$A$60,Vaktplan!$BF$4:$CL$35,86-AG67,FALSE),0)</f>
        <v>0</v>
      </c>
      <c r="I14" s="9">
        <f>IFERROR(VLOOKUP(Vaktplan!$A$60,Vaktplan!$BF$4:$CL$35,89-$AH67,FALSE),0)</f>
        <v>0</v>
      </c>
      <c r="J14" s="9">
        <f t="shared" si="3"/>
        <v>0</v>
      </c>
      <c r="K14" s="9">
        <f t="shared" si="4"/>
        <v>24</v>
      </c>
      <c r="L14" s="77">
        <f>IFERROR(VLOOKUP(Vaktplan!$A$60,Vaktplan!$BG$4:$CL$35,86-AI67,FALSE),0)</f>
        <v>0</v>
      </c>
      <c r="M14" s="77">
        <f>IFERROR(VLOOKUP(Vaktplan!$A$60,Vaktplan!$BG$4:$CL$35,86-AH67,FALSE),0)</f>
        <v>0</v>
      </c>
      <c r="N14" s="9">
        <f>IFERROR(VLOOKUP(Vaktplan!$A$60,Vaktplan!$BG$4:$CL$35,89-$AI67,FALSE),0)</f>
        <v>0</v>
      </c>
      <c r="O14" s="9">
        <f t="shared" si="5"/>
        <v>0</v>
      </c>
      <c r="P14" s="9">
        <f t="shared" si="6"/>
        <v>24</v>
      </c>
      <c r="Q14" s="77">
        <f>IFERROR(VLOOKUP(Vaktplan!$A$60,Vaktplan!$BH$4:$CL$35,86-AJ67,FALSE),0)</f>
        <v>0</v>
      </c>
      <c r="R14" s="77">
        <f>IFERROR(VLOOKUP(Vaktplan!$A$60,Vaktplan!$BH$4:$CL$35,86-AI67,FALSE),0)</f>
        <v>0</v>
      </c>
      <c r="S14" s="9">
        <f>IFERROR(VLOOKUP(Vaktplan!$A$60,Vaktplan!$BH$4:$CL$35,89-$AJ67,FALSE),0)</f>
        <v>0</v>
      </c>
      <c r="T14" s="9">
        <f t="shared" si="0"/>
        <v>0</v>
      </c>
      <c r="U14" s="9">
        <f t="shared" si="7"/>
        <v>24</v>
      </c>
      <c r="V14" s="77">
        <f>IFERROR(VLOOKUP(Vaktplan!$A$60,Vaktplan!$BI$4:$CL$35,86-AK67,FALSE),0)</f>
        <v>0</v>
      </c>
      <c r="W14" s="77">
        <f>IFERROR(VLOOKUP(Vaktplan!$A$60,Vaktplan!$BI$4:$CL$35,86-AJ67,FALSE),0)</f>
        <v>0</v>
      </c>
      <c r="X14" s="9">
        <f>IFERROR(VLOOKUP(Vaktplan!$A$60,Vaktplan!$BI$4:$CL$35,89-$AK67,FALSE),0)</f>
        <v>0</v>
      </c>
      <c r="Y14" s="9">
        <f>IF(AND(V14=0,W14=0),0,IF(V14&lt;W14,((W14-V14)*24)-X14,(((1-V14)+W14)*24)-X14))</f>
        <v>0</v>
      </c>
      <c r="Z14" s="9">
        <f t="shared" si="9"/>
        <v>24</v>
      </c>
      <c r="AA14" s="77">
        <f>IFERROR(VLOOKUP(Vaktplan!$A$60,Vaktplan!$BJ$4:$CL$35,86-AL67,FALSE),0)</f>
        <v>0</v>
      </c>
      <c r="AB14" s="77">
        <f>IFERROR(VLOOKUP(Vaktplan!$A$60,Vaktplan!$BJ$4:$CL$35,86-AK67,FALSE),0)</f>
        <v>0</v>
      </c>
      <c r="AC14" s="9">
        <f>IFERROR(VLOOKUP(Vaktplan!$A$60,Vaktplan!$BJ$4:$CL$35,89-$AL67,FALSE),0)</f>
        <v>0</v>
      </c>
      <c r="AD14" s="9">
        <f>IF(AND(AA14=0,AB14=0),0,IF(AA14&lt;AB14,((AB14-AA14)*24)-AC14,(((1-AA14)+AB14)*24)-AC14))</f>
        <v>0</v>
      </c>
      <c r="AE14" s="9">
        <f t="shared" si="11"/>
        <v>24</v>
      </c>
      <c r="AF14" s="77">
        <f>IFERROR(VLOOKUP(Vaktplan!$A$60,Vaktplan!$BK$4:$CL$35,86-AM67,FALSE),0)</f>
        <v>0</v>
      </c>
      <c r="AG14" s="77">
        <f>IFERROR(VLOOKUP(Vaktplan!$A$60,Vaktplan!$BK$4:$CL$35,86-AL67,FALSE),0)</f>
        <v>0</v>
      </c>
      <c r="AH14" s="9">
        <f>IFERROR(VLOOKUP(Vaktplan!$A$60,Vaktplan!$BK$4:$CL$35,89-$AM67,FALSE),0)</f>
        <v>0</v>
      </c>
      <c r="AI14" s="9">
        <f>IF(AND(AF14=0,AG14=0),0,IF(AF14&lt;AG14,((AG14-AF14)*24)-AH14,(((1-AF14)+AG14)*24)-AH14))</f>
        <v>0</v>
      </c>
      <c r="AJ14" s="9">
        <f t="shared" si="13"/>
        <v>24</v>
      </c>
      <c r="AK14" s="9">
        <f t="shared" si="1"/>
        <v>0</v>
      </c>
      <c r="AL14" s="92"/>
      <c r="AM14" s="10"/>
    </row>
    <row r="15" spans="1:39" ht="13" x14ac:dyDescent="0.25">
      <c r="A15" s="7">
        <v>10</v>
      </c>
      <c r="B15" s="77">
        <f>IFERROR(VLOOKUP(Vaktplan!$A$60,Vaktplan!$BL$4:$CL$35,87-AH68,FALSE),0)</f>
        <v>0</v>
      </c>
      <c r="C15" s="77">
        <f>IFERROR(VLOOKUP(Vaktplan!$A$60,Vaktplan!$BL$4:$CL$35,87-AG68,FALSE),0)</f>
        <v>0</v>
      </c>
      <c r="D15" s="9">
        <f>IFERROR(VLOOKUP(Vaktplan!$A$60,Vaktplan!$BL$4:$CL$35,89-AG68,FALSE),0)</f>
        <v>0</v>
      </c>
      <c r="E15" s="9">
        <f t="shared" si="16"/>
        <v>0</v>
      </c>
      <c r="F15" s="9">
        <f t="shared" si="2"/>
        <v>24</v>
      </c>
      <c r="G15" s="77">
        <f>IFERROR(VLOOKUP(Vaktplan!$A$60,Vaktplan!$BM$4:$CL$35,86-AH68,FALSE),0)</f>
        <v>0</v>
      </c>
      <c r="H15" s="77">
        <f>IFERROR(VLOOKUP(Vaktplan!$A$60,Vaktplan!$BM$4:$CL$35,86-AG68,FALSE),0)</f>
        <v>0</v>
      </c>
      <c r="I15" s="9">
        <f>IFERROR(VLOOKUP(Vaktplan!$A$60,Vaktplan!$BM$4:$CL$35,89-$AH68,FALSE),0)</f>
        <v>0</v>
      </c>
      <c r="J15" s="9">
        <f t="shared" si="3"/>
        <v>0</v>
      </c>
      <c r="K15" s="9">
        <f t="shared" si="4"/>
        <v>24</v>
      </c>
      <c r="L15" s="77">
        <f>IFERROR(VLOOKUP(Vaktplan!$A$60,Vaktplan!$BN$4:$CL$35,86-AI68,FALSE),0)</f>
        <v>0</v>
      </c>
      <c r="M15" s="77">
        <f>IFERROR(VLOOKUP(Vaktplan!$A$60,Vaktplan!$BN$4:$CL$35,86-AH68,FALSE),0)</f>
        <v>0</v>
      </c>
      <c r="N15" s="9">
        <f>IFERROR(VLOOKUP(Vaktplan!$A$60,Vaktplan!$BN$4:$CL$35,89-$AI68,FALSE),0)</f>
        <v>0</v>
      </c>
      <c r="O15" s="9">
        <f t="shared" si="5"/>
        <v>0</v>
      </c>
      <c r="P15" s="9">
        <f t="shared" si="6"/>
        <v>24</v>
      </c>
      <c r="Q15" s="77">
        <f>IFERROR(VLOOKUP(Vaktplan!$A$60,Vaktplan!$BO$4:$CL$35,86-AJ68,FALSE),0)</f>
        <v>0</v>
      </c>
      <c r="R15" s="77">
        <f>IFERROR(VLOOKUP(Vaktplan!$A$60,Vaktplan!$BO$4:$CL$35,86-AI68,FALSE),0)</f>
        <v>0</v>
      </c>
      <c r="S15" s="9">
        <f>IFERROR(VLOOKUP(Vaktplan!$A$60,Vaktplan!$BO$4:$CL$35,89-$AJ68,FALSE),0)</f>
        <v>0</v>
      </c>
      <c r="T15" s="9">
        <f t="shared" si="0"/>
        <v>0</v>
      </c>
      <c r="U15" s="9">
        <f t="shared" si="7"/>
        <v>24</v>
      </c>
      <c r="V15" s="77">
        <f>IFERROR(VLOOKUP(Vaktplan!$A$60,Vaktplan!$BP$4:$CL$35,86-AK68,FALSE),0)</f>
        <v>0</v>
      </c>
      <c r="W15" s="77">
        <f>IFERROR(VLOOKUP(Vaktplan!$A$60,Vaktplan!$BP$4:$CL$35,86-AJ68,FALSE),0)</f>
        <v>0</v>
      </c>
      <c r="X15" s="9">
        <f>IFERROR(VLOOKUP(Vaktplan!$A$60,Vaktplan!$BP$4:$CL$35,89-$AK68,FALSE),0)</f>
        <v>0</v>
      </c>
      <c r="Y15" s="9">
        <f>IF(AND(V15=0,W15=0),0,IF(V15&lt;W15,((W15-V15)*24)-X15,(((1-V15)+W15)*24)-X15))</f>
        <v>0</v>
      </c>
      <c r="Z15" s="9">
        <f t="shared" si="9"/>
        <v>24</v>
      </c>
      <c r="AA15" s="77">
        <f>IFERROR(VLOOKUP(Vaktplan!$A$60,Vaktplan!$BQ$4:$CL$35,86-AL68,FALSE),0)</f>
        <v>0</v>
      </c>
      <c r="AB15" s="77">
        <f>IFERROR(VLOOKUP(Vaktplan!$A$60,Vaktplan!$BQ$4:$CL$35,86-AK68,FALSE),0)</f>
        <v>0</v>
      </c>
      <c r="AC15" s="9">
        <f>IFERROR(VLOOKUP(Vaktplan!$A$60,Vaktplan!$BQ$4:$CL$35,89-$AL68,FALSE),0)</f>
        <v>0</v>
      </c>
      <c r="AD15" s="9">
        <f>IF(AND(AA15=0,AB15=0),0,IF(AA15&lt;AB15,((AB15-AA15)*24)-AC15,(((1-AA15)+AB15)*24)-AC15))</f>
        <v>0</v>
      </c>
      <c r="AE15" s="9">
        <f t="shared" si="11"/>
        <v>24</v>
      </c>
      <c r="AF15" s="77">
        <f>IFERROR(VLOOKUP(Vaktplan!$A$60,Vaktplan!$BR$4:$CL$35,86-AM68,FALSE),0)</f>
        <v>0</v>
      </c>
      <c r="AG15" s="77">
        <f>IFERROR(VLOOKUP(Vaktplan!$A$60,Vaktplan!$BR$4:$CL$35,86-AL68,FALSE),0)</f>
        <v>0</v>
      </c>
      <c r="AH15" s="9">
        <f>IFERROR(VLOOKUP(Vaktplan!$A$60,Vaktplan!$BR$4:$CL$35,89-$AM68,FALSE),0)</f>
        <v>0</v>
      </c>
      <c r="AI15" s="9">
        <f>IF(AND(AF15=0,AG15=0),0,IF(AF15&lt;AG15,((AG15-AF15)*24)-AH15,(((1-AF15)+AG15)*24)-AH15))</f>
        <v>0</v>
      </c>
      <c r="AJ15" s="9">
        <f t="shared" si="13"/>
        <v>24</v>
      </c>
      <c r="AK15" s="9">
        <f t="shared" si="1"/>
        <v>0</v>
      </c>
      <c r="AL15" s="92"/>
      <c r="AM15" s="10"/>
    </row>
    <row r="16" spans="1:39" ht="13" x14ac:dyDescent="0.25">
      <c r="A16" s="7">
        <v>11</v>
      </c>
      <c r="B16" s="77">
        <f>IFERROR(VLOOKUP(Vaktplan!$A$60,Vaktplan!$BS$4:$CL$35,87-AH69,FALSE),0)</f>
        <v>0</v>
      </c>
      <c r="C16" s="77">
        <f>IFERROR(VLOOKUP(Vaktplan!$A$60,Vaktplan!$BS$4:$CL$35,87-AG69,FALSE),0)</f>
        <v>0</v>
      </c>
      <c r="D16" s="9">
        <f>IFERROR(VLOOKUP(Vaktplan!$A$60,Vaktplan!$BS$4:$CL$35,89-AG69,FALSE),0)</f>
        <v>0</v>
      </c>
      <c r="E16" s="9">
        <f t="shared" si="16"/>
        <v>0</v>
      </c>
      <c r="F16" s="9">
        <f t="shared" si="2"/>
        <v>24</v>
      </c>
      <c r="G16" s="77">
        <f>IFERROR(VLOOKUP(Vaktplan!$A$60,Vaktplan!$BT$4:$CL$35,86-AH69,FALSE),0)</f>
        <v>0</v>
      </c>
      <c r="H16" s="77">
        <f>IFERROR(VLOOKUP(Vaktplan!$A$60,Vaktplan!$BT$4:$CL$35,86-AG69,FALSE),0)</f>
        <v>0</v>
      </c>
      <c r="I16" s="9">
        <f>IFERROR(VLOOKUP(Vaktplan!$A$60,Vaktplan!$BT$4:$CL$35,89-$AH69,FALSE),0)</f>
        <v>0</v>
      </c>
      <c r="J16" s="9">
        <f t="shared" si="3"/>
        <v>0</v>
      </c>
      <c r="K16" s="9">
        <f t="shared" si="4"/>
        <v>24</v>
      </c>
      <c r="L16" s="77">
        <f>IFERROR(VLOOKUP(Vaktplan!$A$60,Vaktplan!$BU$4:$CL$35,86-AI69,FALSE),0)</f>
        <v>0</v>
      </c>
      <c r="M16" s="77">
        <f>IFERROR(VLOOKUP(Vaktplan!$A$60,Vaktplan!$BU$4:$CL$35,86-AH69,FALSE),0)</f>
        <v>0</v>
      </c>
      <c r="N16" s="9">
        <f>IFERROR(VLOOKUP(Vaktplan!$A$60,Vaktplan!$BU$4:$CL$35,89-$AI69,FALSE),0)</f>
        <v>0</v>
      </c>
      <c r="O16" s="9">
        <f t="shared" si="5"/>
        <v>0</v>
      </c>
      <c r="P16" s="9">
        <f t="shared" si="6"/>
        <v>24</v>
      </c>
      <c r="Q16" s="77">
        <f>IFERROR(VLOOKUP(Vaktplan!$A$60,Vaktplan!$BV$4:$CL$35,86-AJ69,FALSE),0)</f>
        <v>0</v>
      </c>
      <c r="R16" s="77">
        <f>IFERROR(VLOOKUP(Vaktplan!$A$60,Vaktplan!$BV$4:$CL$35,86-AI69,FALSE),0)</f>
        <v>0</v>
      </c>
      <c r="S16" s="9">
        <f>IFERROR(VLOOKUP(Vaktplan!$A$60,Vaktplan!$BV$4:$CL$35,89-$AJ69,FALSE),0)</f>
        <v>0</v>
      </c>
      <c r="T16" s="9">
        <f t="shared" si="0"/>
        <v>0</v>
      </c>
      <c r="U16" s="9">
        <f t="shared" si="7"/>
        <v>24</v>
      </c>
      <c r="V16" s="77">
        <f>IFERROR(VLOOKUP(Vaktplan!$A$60,Vaktplan!$BW$4:$CL$35,86-AK69,FALSE),0)</f>
        <v>0</v>
      </c>
      <c r="W16" s="77">
        <f>IFERROR(VLOOKUP(Vaktplan!$A$60,Vaktplan!$BW$4:$CL$35,86-AJ69,FALSE),0)</f>
        <v>0</v>
      </c>
      <c r="X16" s="9">
        <f>IFERROR(VLOOKUP(Vaktplan!$A$60,Vaktplan!$BW$4:$CL$35,89-$AK69,FALSE),0)</f>
        <v>0</v>
      </c>
      <c r="Y16" s="9">
        <f>IF(AND(V16=0,W16=0),0,IF(V16&lt;W16,((W16-V16)*24)-X16,(((1-V16)+W16)*24)-X16))</f>
        <v>0</v>
      </c>
      <c r="Z16" s="9">
        <f t="shared" si="9"/>
        <v>24</v>
      </c>
      <c r="AA16" s="77">
        <f>IFERROR(VLOOKUP(Vaktplan!$A$60,Vaktplan!$BX$4:$CL$35,86-AL69,FALSE),0)</f>
        <v>0</v>
      </c>
      <c r="AB16" s="77">
        <f>IFERROR(VLOOKUP(Vaktplan!$A$60,Vaktplan!$BX$4:$CL$35,86-AK69,FALSE),0)</f>
        <v>0</v>
      </c>
      <c r="AC16" s="9">
        <f>IFERROR(VLOOKUP(Vaktplan!$A$60,Vaktplan!$BX$4:$CL$35,89-$AL69,FALSE),0)</f>
        <v>0</v>
      </c>
      <c r="AD16" s="9">
        <f>IF(AND(AA16=0,AB16=0),0,IF(AA16&lt;AB16,((AB16-AA16)*24)-AC16,(((1-AA16)+AB16)*24)-AC16))</f>
        <v>0</v>
      </c>
      <c r="AE16" s="9">
        <f t="shared" si="11"/>
        <v>24</v>
      </c>
      <c r="AF16" s="77">
        <f>IFERROR(VLOOKUP(Vaktplan!$A$60,Vaktplan!$BY$4:$CL$35,86-AM69,FALSE),0)</f>
        <v>0</v>
      </c>
      <c r="AG16" s="77">
        <f>IFERROR(VLOOKUP(Vaktplan!$A$60,Vaktplan!$BY$4:$CL$35,86-AL69,FALSE),0)</f>
        <v>0</v>
      </c>
      <c r="AH16" s="9">
        <f>IFERROR(VLOOKUP(Vaktplan!$A$60,Vaktplan!$BY$4:$CL$35,89-$AM69,FALSE),0)</f>
        <v>0</v>
      </c>
      <c r="AI16" s="9">
        <f>IF(AND(AF16=0,AG16=0),0,IF(AF16&lt;AG16,((AG16-AF16)*24)-AH16,(((1-AF16)+AG16)*24)-AH16))</f>
        <v>0</v>
      </c>
      <c r="AJ16" s="9">
        <f t="shared" si="13"/>
        <v>24</v>
      </c>
      <c r="AK16" s="9">
        <f t="shared" si="1"/>
        <v>0</v>
      </c>
      <c r="AL16" s="92"/>
      <c r="AM16" s="10"/>
    </row>
    <row r="17" spans="1:43" ht="13" x14ac:dyDescent="0.25">
      <c r="A17" s="7">
        <v>12</v>
      </c>
      <c r="B17" s="77">
        <f>IFERROR(VLOOKUP(Vaktplan!$A$60,Vaktplan!$BZ$4:$CL$35,87-AH70,FALSE),0)</f>
        <v>0</v>
      </c>
      <c r="C17" s="77">
        <f>IFERROR(VLOOKUP(Vaktplan!$A$60,Vaktplan!$BZ$4:$CL$35,87-AG70,FALSE),0)</f>
        <v>0</v>
      </c>
      <c r="D17" s="9">
        <f>IFERROR(VLOOKUP(Vaktplan!$A$60,Vaktplan!$BZ$4:$CL$35,89-AG70,FALSE),0)</f>
        <v>0</v>
      </c>
      <c r="E17" s="9">
        <f t="shared" si="16"/>
        <v>0</v>
      </c>
      <c r="F17" s="9">
        <f t="shared" si="2"/>
        <v>24</v>
      </c>
      <c r="G17" s="77">
        <f>IFERROR(VLOOKUP(Vaktplan!$A$60,Vaktplan!$CA$4:$CL$35,86-AH70,FALSE),0)</f>
        <v>0</v>
      </c>
      <c r="H17" s="77">
        <f>IFERROR(VLOOKUP(Vaktplan!$A$60,Vaktplan!$CA$4:$CL$35,86-AG70,FALSE),0)</f>
        <v>0</v>
      </c>
      <c r="I17" s="9">
        <f>IFERROR(VLOOKUP(Vaktplan!$A$60,Vaktplan!$CA$4:$CL$35,89-$AH70,FALSE),0)</f>
        <v>0</v>
      </c>
      <c r="J17" s="9">
        <f t="shared" si="3"/>
        <v>0</v>
      </c>
      <c r="K17" s="9">
        <f t="shared" si="4"/>
        <v>24</v>
      </c>
      <c r="L17" s="77">
        <f>IFERROR(VLOOKUP(Vaktplan!$A$60,Vaktplan!$CB$4:$CL$35,86-AI70,FALSE),0)</f>
        <v>0</v>
      </c>
      <c r="M17" s="77">
        <f>IFERROR(VLOOKUP(Vaktplan!$A$60,Vaktplan!$CB$4:$CL$35,86-AH70,FALSE),0)</f>
        <v>0</v>
      </c>
      <c r="N17" s="9">
        <f>IFERROR(VLOOKUP(Vaktplan!$A$60,Vaktplan!$CB$4:$CL$35,89-$AI70,FALSE),0)</f>
        <v>0</v>
      </c>
      <c r="O17" s="9">
        <f t="shared" si="5"/>
        <v>0</v>
      </c>
      <c r="P17" s="9">
        <f t="shared" si="6"/>
        <v>24</v>
      </c>
      <c r="Q17" s="77">
        <f>IFERROR(VLOOKUP(Vaktplan!$A$60,Vaktplan!$CC$4:$CL$35,86-AJ70,FALSE),0)</f>
        <v>0</v>
      </c>
      <c r="R17" s="77">
        <f>IFERROR(VLOOKUP(Vaktplan!$A$60,Vaktplan!$CC$4:$CL$35,86-AI70,FALSE),0)</f>
        <v>0</v>
      </c>
      <c r="S17" s="9">
        <f>IFERROR(VLOOKUP(Vaktplan!$A$60,Vaktplan!$CC$4:$CL$35,89-$AJ70,FALSE),0)</f>
        <v>0</v>
      </c>
      <c r="T17" s="9">
        <f t="shared" si="0"/>
        <v>0</v>
      </c>
      <c r="U17" s="9">
        <f t="shared" si="7"/>
        <v>24</v>
      </c>
      <c r="V17" s="77">
        <f>IFERROR(VLOOKUP(Vaktplan!$A$60,Vaktplan!$CD$4:$CL$35,86-AK70,FALSE),0)</f>
        <v>0</v>
      </c>
      <c r="W17" s="77">
        <f>IFERROR(VLOOKUP(Vaktplan!$A$60,Vaktplan!$CD$4:$CL$35,86-AJ70,FALSE),0)</f>
        <v>0</v>
      </c>
      <c r="X17" s="9">
        <f>IFERROR(VLOOKUP(Vaktplan!$A$60,Vaktplan!$CD$4:$CL$35,89-$AK70,FALSE),0)</f>
        <v>0</v>
      </c>
      <c r="Y17" s="9">
        <f>IF(AND(V17=0,W17=0),0,IF(V17&lt;W17,((W17-V17)*24)-X17,(((1-V17)+W17)*24)-X17))</f>
        <v>0</v>
      </c>
      <c r="Z17" s="9">
        <f t="shared" si="9"/>
        <v>24</v>
      </c>
      <c r="AA17" s="77">
        <f>IFERROR(VLOOKUP(Vaktplan!$A$60,Vaktplan!$CE$4:$CL$35,86-AL70,FALSE),0)</f>
        <v>0</v>
      </c>
      <c r="AB17" s="77">
        <f>IFERROR(VLOOKUP(Vaktplan!$A$60,Vaktplan!$CE$4:$CL$35,86-AK70,FALSE),0)</f>
        <v>0</v>
      </c>
      <c r="AC17" s="9">
        <f>IFERROR(VLOOKUP(Vaktplan!$A$60,Vaktplan!$CE$4:$FCE$35,89-$AL70,FALSE),0)</f>
        <v>0</v>
      </c>
      <c r="AD17" s="9">
        <f>IF(AND(AA17=0,AB17=0),0,IF(AA17&lt;AB17,((AB17-AA17)*24)-AC17,(((1-AA17)+AB17)*24)-AC17))</f>
        <v>0</v>
      </c>
      <c r="AE17" s="9">
        <f t="shared" si="11"/>
        <v>24</v>
      </c>
      <c r="AF17" s="77">
        <f>IFERROR(VLOOKUP(Vaktplan!$A$60,Vaktplan!$CF$4:$CL$35,86-AM70,FALSE),0)</f>
        <v>0</v>
      </c>
      <c r="AG17" s="77">
        <f>IFERROR(VLOOKUP(Vaktplan!$A$60,Vaktplan!$CF$4:$CL$35,86-AL70,FALSE),0)</f>
        <v>0</v>
      </c>
      <c r="AH17" s="9">
        <f>IFERROR(VLOOKUP(Vaktplan!$A$60,Vaktplan!$CF$4:$CL$35,89-$AM70,FALSE),0)</f>
        <v>0</v>
      </c>
      <c r="AI17" s="9">
        <f>IF(AND(AF17=0,AG17=0),0,IF(AF17&lt;AG17,((AG17-AF17)*24)-AH17,(((1-AF17)+AG17)*24)-AH17))</f>
        <v>0</v>
      </c>
      <c r="AJ17" s="9">
        <f t="shared" si="13"/>
        <v>24</v>
      </c>
      <c r="AK17" s="9">
        <f t="shared" si="1"/>
        <v>0</v>
      </c>
      <c r="AL17" s="92"/>
      <c r="AM17" s="10"/>
    </row>
    <row r="19" spans="1:43" ht="13" x14ac:dyDescent="0.3">
      <c r="A19" s="4" t="s">
        <v>76</v>
      </c>
    </row>
    <row r="20" spans="1:43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3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3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3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3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6" spans="1:43" ht="13" x14ac:dyDescent="0.3">
      <c r="A26" s="4" t="s">
        <v>77</v>
      </c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</row>
    <row r="27" spans="1:43" ht="13" x14ac:dyDescent="0.3">
      <c r="A27" s="3" t="s">
        <v>78</v>
      </c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80" t="s">
        <v>79</v>
      </c>
      <c r="AM27" s="78"/>
      <c r="AN27" s="78"/>
      <c r="AO27" s="78"/>
    </row>
    <row r="28" spans="1:43" ht="13" x14ac:dyDescent="0.3">
      <c r="A28" s="98" t="s">
        <v>36</v>
      </c>
      <c r="B28" s="98"/>
      <c r="C28" s="98"/>
      <c r="D28" s="88"/>
      <c r="E28" s="8">
        <f>E2</f>
        <v>0</v>
      </c>
      <c r="F28" s="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>
        <v>1</v>
      </c>
      <c r="AM28" s="78"/>
      <c r="AN28" s="78"/>
      <c r="AO28" s="78"/>
    </row>
    <row r="29" spans="1:43" ht="13" x14ac:dyDescent="0.3">
      <c r="A29" s="98" t="s">
        <v>80</v>
      </c>
      <c r="B29" s="98"/>
      <c r="C29" s="98"/>
      <c r="D29" s="88"/>
      <c r="E29" s="5">
        <f>E3</f>
        <v>0</v>
      </c>
      <c r="F29" s="5"/>
      <c r="T29" s="10"/>
      <c r="U29" s="10"/>
      <c r="V29" s="10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80" t="s">
        <v>81</v>
      </c>
      <c r="AH29" s="80"/>
      <c r="AI29" s="78"/>
      <c r="AJ29" s="78"/>
      <c r="AK29" s="78"/>
      <c r="AL29" s="78">
        <v>2</v>
      </c>
      <c r="AM29" s="78"/>
      <c r="AN29" s="78"/>
      <c r="AO29" s="78"/>
      <c r="AP29" s="10"/>
      <c r="AQ29" s="10"/>
    </row>
    <row r="30" spans="1:43" ht="13" x14ac:dyDescent="0.3">
      <c r="A30" s="98" t="s">
        <v>82</v>
      </c>
      <c r="B30" s="98"/>
      <c r="C30" s="98"/>
      <c r="D30" s="88"/>
      <c r="T30" s="10"/>
      <c r="U30" s="10"/>
      <c r="V30" s="10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>
        <v>3</v>
      </c>
      <c r="AM30" s="78"/>
      <c r="AN30" s="78"/>
      <c r="AO30" s="78"/>
      <c r="AP30" s="10"/>
      <c r="AQ30" s="10"/>
    </row>
    <row r="31" spans="1:43" ht="13" x14ac:dyDescent="0.3">
      <c r="A31" s="4" t="s">
        <v>83</v>
      </c>
      <c r="B31" s="4" t="s">
        <v>84</v>
      </c>
      <c r="C31" s="4" t="s">
        <v>85</v>
      </c>
      <c r="D31" s="98" t="s">
        <v>86</v>
      </c>
      <c r="E31" s="98"/>
      <c r="F31" s="4" t="s">
        <v>87</v>
      </c>
      <c r="G31" s="4" t="s">
        <v>88</v>
      </c>
      <c r="H31" s="98" t="s">
        <v>27</v>
      </c>
      <c r="I31" s="98"/>
      <c r="J31" s="4" t="s">
        <v>28</v>
      </c>
      <c r="K31" s="4" t="s">
        <v>29</v>
      </c>
      <c r="L31" s="4" t="s">
        <v>30</v>
      </c>
      <c r="M31" s="4" t="s">
        <v>31</v>
      </c>
      <c r="N31" s="98" t="s">
        <v>32</v>
      </c>
      <c r="O31" s="98"/>
      <c r="T31" s="10"/>
      <c r="U31" s="10"/>
      <c r="V31" s="10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80" t="s">
        <v>9</v>
      </c>
      <c r="AH31" s="80"/>
      <c r="AI31" s="78"/>
      <c r="AJ31" s="78"/>
      <c r="AK31" s="78"/>
      <c r="AL31" s="78">
        <v>4</v>
      </c>
      <c r="AM31" s="78"/>
      <c r="AN31" s="78"/>
      <c r="AO31" s="78"/>
      <c r="AP31" s="10"/>
      <c r="AQ31" s="10"/>
    </row>
    <row r="32" spans="1:43" ht="13" x14ac:dyDescent="0.3">
      <c r="A32" s="3">
        <f>AK6</f>
        <v>0</v>
      </c>
      <c r="B32" s="3">
        <f>AK7</f>
        <v>0</v>
      </c>
      <c r="C32" s="3">
        <f>AK8</f>
        <v>0</v>
      </c>
      <c r="D32" s="101">
        <f>AK9</f>
        <v>0</v>
      </c>
      <c r="E32" s="101"/>
      <c r="F32" s="3">
        <f>AK10</f>
        <v>0</v>
      </c>
      <c r="G32" s="3">
        <f>AK11</f>
        <v>0</v>
      </c>
      <c r="H32" s="101">
        <f>AK12</f>
        <v>0</v>
      </c>
      <c r="I32" s="101"/>
      <c r="J32" s="3">
        <f>AK13</f>
        <v>0</v>
      </c>
      <c r="K32" s="3">
        <f>AK14</f>
        <v>0</v>
      </c>
      <c r="L32" s="3">
        <f>AK15</f>
        <v>0</v>
      </c>
      <c r="M32" s="3">
        <f>AK16</f>
        <v>0</v>
      </c>
      <c r="N32" s="101">
        <f>AK17</f>
        <v>0</v>
      </c>
      <c r="O32" s="101"/>
      <c r="T32" s="11" t="s">
        <v>70</v>
      </c>
      <c r="U32" s="10" t="s">
        <v>89</v>
      </c>
      <c r="V32" s="10" t="s">
        <v>90</v>
      </c>
      <c r="W32" s="78" t="s">
        <v>91</v>
      </c>
      <c r="X32" s="78" t="s">
        <v>92</v>
      </c>
      <c r="Y32" s="78" t="s">
        <v>93</v>
      </c>
      <c r="Z32" s="78" t="s">
        <v>94</v>
      </c>
      <c r="AA32" s="78"/>
      <c r="AB32" s="78"/>
      <c r="AC32" s="78"/>
      <c r="AD32" s="78"/>
      <c r="AE32" s="78"/>
      <c r="AF32" s="78"/>
      <c r="AG32" s="78" t="s">
        <v>10</v>
      </c>
      <c r="AH32" s="78"/>
      <c r="AI32" s="79">
        <v>42177</v>
      </c>
      <c r="AJ32" s="79"/>
      <c r="AK32" s="78"/>
      <c r="AL32" s="78">
        <v>5</v>
      </c>
      <c r="AM32" s="78"/>
      <c r="AN32" s="78"/>
      <c r="AO32" s="78"/>
      <c r="AP32" s="10"/>
      <c r="AQ32" s="10"/>
    </row>
    <row r="33" spans="1:43" ht="13" x14ac:dyDescent="0.3">
      <c r="A33" s="98" t="s">
        <v>95</v>
      </c>
      <c r="B33" s="98"/>
      <c r="C33" s="98"/>
      <c r="D33" s="88"/>
      <c r="G33" s="101"/>
      <c r="H33" s="101"/>
      <c r="I33" s="90"/>
      <c r="T33" s="10">
        <v>1</v>
      </c>
      <c r="U33" s="10">
        <f>IF(AND(B6&gt;0,G6&gt;0),0,IF(AND(G6&gt;0),0,F6+K6))</f>
        <v>48</v>
      </c>
      <c r="V33" s="10">
        <f>IF(AND(G6&gt;0,L6&gt;0),0,IF(AND(L6&gt;0),0,K6+P6))</f>
        <v>48</v>
      </c>
      <c r="W33" s="78">
        <f>IF(AND(L6&gt;0,Q6&gt;0),0,IF(AND(Q6&gt;0),0,P6+U6))</f>
        <v>48</v>
      </c>
      <c r="X33" s="78">
        <f>IF(AND(Q6&gt;0,V6&gt;0),0,IF(AND(V6&gt;0),0,U6+Z6))</f>
        <v>48</v>
      </c>
      <c r="Y33" s="78">
        <f>IF(AND(V6&gt;0,AA6&gt;0),0,IF(AND(AA6&gt;0),0,Z6+AE6))</f>
        <v>48</v>
      </c>
      <c r="Z33" s="78">
        <f>IF(AND(AA6&gt;0,AF6&gt;0),0,IF(AND(AF6&gt;0),0,AE6+AJ6))</f>
        <v>48</v>
      </c>
      <c r="AA33" s="78"/>
      <c r="AB33" s="78"/>
      <c r="AC33" s="78"/>
      <c r="AD33" s="78"/>
      <c r="AE33" s="78"/>
      <c r="AF33" s="78"/>
      <c r="AG33" s="78" t="s">
        <v>11</v>
      </c>
      <c r="AH33" s="78"/>
      <c r="AI33" s="79">
        <v>42178</v>
      </c>
      <c r="AJ33" s="79"/>
      <c r="AK33" s="78"/>
      <c r="AL33" s="78">
        <v>6</v>
      </c>
      <c r="AM33" s="78"/>
      <c r="AN33" s="78"/>
      <c r="AO33" s="78"/>
      <c r="AP33" s="10"/>
      <c r="AQ33" s="10"/>
    </row>
    <row r="34" spans="1:43" x14ac:dyDescent="0.25">
      <c r="A34" s="101" t="s">
        <v>96</v>
      </c>
      <c r="B34" s="101"/>
      <c r="C34" s="3">
        <f>(AK6+AK7+AK8+AK9+AK10+AK11+AK12+AK13+AK14+AK15+AK16+AK17)/M1</f>
        <v>0</v>
      </c>
      <c r="T34" s="10">
        <v>2</v>
      </c>
      <c r="U34" s="10">
        <f t="shared" ref="U34:U40" si="17">IF(AND(B7&gt;0,G7&gt;0),0,IF(AND(G7&gt;0),0,F7+K7))</f>
        <v>48</v>
      </c>
      <c r="V34" s="10">
        <f t="shared" ref="V34:V40" si="18">IF(AND(G7&gt;0,L7&gt;0),0,IF(AND(L7&gt;0),0,K7+P7))</f>
        <v>48</v>
      </c>
      <c r="W34" s="78">
        <f t="shared" ref="W34:W44" si="19">IF(AND(L7&gt;0,Q7&gt;0),0,IF(AND(Q7&gt;0),0,P7+U7))</f>
        <v>48</v>
      </c>
      <c r="X34" s="78">
        <f t="shared" ref="X34:X44" si="20">IF(AND(Q7&gt;0,V7&gt;0),0,IF(AND(V7&gt;0),0,U7+Z7))</f>
        <v>48</v>
      </c>
      <c r="Y34" s="78">
        <f t="shared" ref="Y34:Y44" si="21">IF(AND(V7&gt;0,AA7&gt;0),0,IF(AND(AA7&gt;0),0,Z7+AE7))</f>
        <v>48</v>
      </c>
      <c r="Z34" s="78">
        <f t="shared" ref="Z34:Z44" si="22">IF(AND(AA7&gt;0,AF7&gt;0),0,IF(AND(AF7&gt;0),0,AE7+AJ7))</f>
        <v>48</v>
      </c>
      <c r="AA34" s="78"/>
      <c r="AB34" s="78"/>
      <c r="AC34" s="78"/>
      <c r="AD34" s="78"/>
      <c r="AE34" s="78"/>
      <c r="AF34" s="78"/>
      <c r="AG34" s="78" t="s">
        <v>12</v>
      </c>
      <c r="AH34" s="78"/>
      <c r="AI34" s="79">
        <v>42179</v>
      </c>
      <c r="AJ34" s="79"/>
      <c r="AK34" s="78"/>
      <c r="AL34" s="78">
        <v>7</v>
      </c>
      <c r="AM34" s="78"/>
      <c r="AN34" s="78"/>
      <c r="AO34" s="78"/>
      <c r="AP34" s="10"/>
      <c r="AQ34" s="10"/>
    </row>
    <row r="35" spans="1:43" x14ac:dyDescent="0.25">
      <c r="T35" s="10">
        <v>3</v>
      </c>
      <c r="U35" s="10">
        <f t="shared" si="17"/>
        <v>48</v>
      </c>
      <c r="V35" s="10">
        <f t="shared" si="18"/>
        <v>48</v>
      </c>
      <c r="W35" s="78">
        <f t="shared" si="19"/>
        <v>48</v>
      </c>
      <c r="X35" s="78">
        <f t="shared" si="20"/>
        <v>48</v>
      </c>
      <c r="Y35" s="78">
        <f t="shared" si="21"/>
        <v>48</v>
      </c>
      <c r="Z35" s="78">
        <f t="shared" si="22"/>
        <v>48</v>
      </c>
      <c r="AA35" s="78"/>
      <c r="AB35" s="78"/>
      <c r="AC35" s="78"/>
      <c r="AD35" s="78"/>
      <c r="AE35" s="78"/>
      <c r="AF35" s="78"/>
      <c r="AG35" s="78" t="s">
        <v>13</v>
      </c>
      <c r="AH35" s="78"/>
      <c r="AI35" s="79">
        <v>42180</v>
      </c>
      <c r="AJ35" s="79"/>
      <c r="AK35" s="78"/>
      <c r="AL35" s="78">
        <v>8</v>
      </c>
      <c r="AM35" s="78"/>
      <c r="AN35" s="78"/>
      <c r="AO35" s="78"/>
      <c r="AP35" s="78"/>
      <c r="AQ35" s="10"/>
    </row>
    <row r="36" spans="1:43" ht="13" x14ac:dyDescent="0.3">
      <c r="A36" s="98" t="s">
        <v>97</v>
      </c>
      <c r="B36" s="98"/>
      <c r="C36" s="98"/>
      <c r="D36" s="98"/>
      <c r="E36" s="98"/>
      <c r="F36" s="88"/>
      <c r="T36" s="10">
        <v>4</v>
      </c>
      <c r="U36" s="10">
        <f t="shared" si="17"/>
        <v>48</v>
      </c>
      <c r="V36" s="10">
        <f t="shared" si="18"/>
        <v>48</v>
      </c>
      <c r="W36" s="78">
        <f t="shared" si="19"/>
        <v>48</v>
      </c>
      <c r="X36" s="78">
        <f t="shared" si="20"/>
        <v>48</v>
      </c>
      <c r="Y36" s="78">
        <f t="shared" si="21"/>
        <v>48</v>
      </c>
      <c r="Z36" s="78">
        <f t="shared" si="22"/>
        <v>48</v>
      </c>
      <c r="AA36" s="78"/>
      <c r="AB36" s="78"/>
      <c r="AC36" s="78"/>
      <c r="AD36" s="78"/>
      <c r="AE36" s="78"/>
      <c r="AF36" s="78"/>
      <c r="AG36" s="78" t="s">
        <v>14</v>
      </c>
      <c r="AH36" s="78"/>
      <c r="AI36" s="79">
        <v>42181</v>
      </c>
      <c r="AJ36" s="79"/>
      <c r="AK36" s="78"/>
      <c r="AL36" s="3">
        <v>9</v>
      </c>
      <c r="AM36" s="78"/>
      <c r="AN36" s="78"/>
      <c r="AO36" s="78"/>
      <c r="AP36" s="78"/>
      <c r="AQ36" s="10"/>
    </row>
    <row r="37" spans="1:43" x14ac:dyDescent="0.25">
      <c r="A37" s="99" t="e">
        <f>C34/E3</f>
        <v>#DIV/0!</v>
      </c>
      <c r="B37" s="99"/>
      <c r="C37" s="99"/>
      <c r="T37" s="10">
        <v>5</v>
      </c>
      <c r="U37" s="10">
        <f t="shared" si="17"/>
        <v>48</v>
      </c>
      <c r="V37" s="10">
        <f t="shared" si="18"/>
        <v>48</v>
      </c>
      <c r="W37" s="78">
        <f t="shared" si="19"/>
        <v>48</v>
      </c>
      <c r="X37" s="78">
        <f t="shared" si="20"/>
        <v>48</v>
      </c>
      <c r="Y37" s="78">
        <f t="shared" si="21"/>
        <v>48</v>
      </c>
      <c r="Z37" s="78">
        <f t="shared" si="22"/>
        <v>48</v>
      </c>
      <c r="AA37" s="78"/>
      <c r="AB37" s="78"/>
      <c r="AC37" s="78"/>
      <c r="AD37" s="78"/>
      <c r="AE37" s="78"/>
      <c r="AF37" s="78"/>
      <c r="AG37" s="78" t="s">
        <v>15</v>
      </c>
      <c r="AH37" s="78"/>
      <c r="AI37" s="79">
        <v>42182</v>
      </c>
      <c r="AJ37" s="79"/>
      <c r="AK37" s="78"/>
      <c r="AL37" s="3">
        <v>10</v>
      </c>
      <c r="AM37" s="78"/>
      <c r="AN37" s="78"/>
      <c r="AO37" s="78"/>
      <c r="AP37" s="78"/>
      <c r="AQ37" s="10"/>
    </row>
    <row r="38" spans="1:43" x14ac:dyDescent="0.25">
      <c r="T38" s="10">
        <v>6</v>
      </c>
      <c r="U38" s="10">
        <f t="shared" si="17"/>
        <v>48</v>
      </c>
      <c r="V38" s="10">
        <f t="shared" si="18"/>
        <v>48</v>
      </c>
      <c r="W38" s="78">
        <f t="shared" si="19"/>
        <v>48</v>
      </c>
      <c r="X38" s="78">
        <f t="shared" si="20"/>
        <v>48</v>
      </c>
      <c r="Y38" s="78">
        <f t="shared" si="21"/>
        <v>48</v>
      </c>
      <c r="Z38" s="78">
        <f t="shared" si="22"/>
        <v>48</v>
      </c>
      <c r="AA38" s="78"/>
      <c r="AB38" s="78"/>
      <c r="AC38" s="78"/>
      <c r="AD38" s="78"/>
      <c r="AE38" s="78"/>
      <c r="AF38" s="78"/>
      <c r="AG38" s="78" t="s">
        <v>16</v>
      </c>
      <c r="AH38" s="78"/>
      <c r="AI38" s="79">
        <v>42183</v>
      </c>
      <c r="AJ38" s="79"/>
      <c r="AK38" s="78"/>
      <c r="AL38" s="3">
        <v>11</v>
      </c>
      <c r="AM38" s="78"/>
      <c r="AN38" s="78"/>
      <c r="AO38" s="78"/>
      <c r="AP38" s="78"/>
      <c r="AQ38" s="10"/>
    </row>
    <row r="39" spans="1:43" x14ac:dyDescent="0.25">
      <c r="T39" s="10">
        <v>7</v>
      </c>
      <c r="U39" s="10">
        <f t="shared" si="17"/>
        <v>48</v>
      </c>
      <c r="V39" s="10">
        <f t="shared" si="18"/>
        <v>48</v>
      </c>
      <c r="W39" s="78">
        <f t="shared" si="19"/>
        <v>48</v>
      </c>
      <c r="X39" s="78">
        <f t="shared" si="20"/>
        <v>48</v>
      </c>
      <c r="Y39" s="78">
        <f t="shared" si="21"/>
        <v>48</v>
      </c>
      <c r="Z39" s="78">
        <f t="shared" si="22"/>
        <v>48</v>
      </c>
      <c r="AA39" s="78"/>
      <c r="AB39" s="78"/>
      <c r="AC39" s="78"/>
      <c r="AD39" s="78"/>
      <c r="AE39" s="78"/>
      <c r="AF39" s="78"/>
      <c r="AG39" s="100">
        <f>IF(E1=AG32,AI32,IF(E1=AG33,AI33,IF(E1=AG34,AI34,IF(E1=AG35,AI35,IF(E1=AG36,AI36,IF(E1=AG37,AI37,IF(E1=AG38,AI38,AI32)))))))</f>
        <v>42177</v>
      </c>
      <c r="AH39" s="100"/>
      <c r="AI39" s="100"/>
      <c r="AJ39" s="100"/>
      <c r="AK39" s="100"/>
      <c r="AL39" s="3">
        <v>12</v>
      </c>
      <c r="AM39" s="78"/>
      <c r="AN39" s="78"/>
      <c r="AO39" s="78"/>
      <c r="AP39" s="78"/>
      <c r="AQ39" s="10"/>
    </row>
    <row r="40" spans="1:43" ht="13" x14ac:dyDescent="0.3">
      <c r="A40" s="4" t="s">
        <v>98</v>
      </c>
      <c r="T40" s="10">
        <v>8</v>
      </c>
      <c r="U40" s="10">
        <f t="shared" si="17"/>
        <v>48</v>
      </c>
      <c r="V40" s="10">
        <f t="shared" si="18"/>
        <v>48</v>
      </c>
      <c r="W40" s="78">
        <f t="shared" si="19"/>
        <v>48</v>
      </c>
      <c r="X40" s="78">
        <f t="shared" si="20"/>
        <v>48</v>
      </c>
      <c r="Y40" s="78">
        <f t="shared" si="21"/>
        <v>48</v>
      </c>
      <c r="Z40" s="78">
        <f t="shared" si="22"/>
        <v>48</v>
      </c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10"/>
    </row>
    <row r="41" spans="1:43" x14ac:dyDescent="0.25">
      <c r="A41" s="3" t="s">
        <v>99</v>
      </c>
      <c r="T41" s="10"/>
      <c r="U41" s="10"/>
      <c r="V41" s="10"/>
      <c r="W41" s="78">
        <f t="shared" si="19"/>
        <v>48</v>
      </c>
      <c r="X41" s="78">
        <f t="shared" si="20"/>
        <v>48</v>
      </c>
      <c r="Y41" s="78">
        <f t="shared" si="21"/>
        <v>48</v>
      </c>
      <c r="Z41" s="78">
        <f t="shared" si="22"/>
        <v>48</v>
      </c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10"/>
    </row>
    <row r="42" spans="1:43" ht="13" x14ac:dyDescent="0.3">
      <c r="A42" s="3" t="s">
        <v>100</v>
      </c>
      <c r="O42" s="81">
        <v>0.29166666666666669</v>
      </c>
      <c r="P42" s="81">
        <v>0.33333333333333331</v>
      </c>
      <c r="Q42" s="3">
        <f>(P42-O42)*24</f>
        <v>0.99999999999999911</v>
      </c>
      <c r="T42" s="10"/>
      <c r="U42" s="10"/>
      <c r="V42" s="10"/>
      <c r="W42" s="78">
        <f t="shared" si="19"/>
        <v>48</v>
      </c>
      <c r="X42" s="78">
        <f t="shared" si="20"/>
        <v>48</v>
      </c>
      <c r="Y42" s="78">
        <f t="shared" si="21"/>
        <v>48</v>
      </c>
      <c r="Z42" s="78">
        <f t="shared" si="22"/>
        <v>48</v>
      </c>
      <c r="AA42" s="78"/>
      <c r="AB42" s="78"/>
      <c r="AC42" s="78"/>
      <c r="AD42" s="78"/>
      <c r="AE42" s="78"/>
      <c r="AF42" s="78"/>
      <c r="AG42" s="80" t="s">
        <v>101</v>
      </c>
      <c r="AH42" s="80"/>
      <c r="AI42" s="78"/>
      <c r="AJ42" s="78"/>
      <c r="AK42" s="78"/>
      <c r="AL42" s="80" t="s">
        <v>102</v>
      </c>
      <c r="AM42" s="78"/>
      <c r="AN42" s="78"/>
      <c r="AO42" s="78"/>
      <c r="AP42" s="78"/>
      <c r="AQ42" s="10"/>
    </row>
    <row r="43" spans="1:43" x14ac:dyDescent="0.25">
      <c r="T43" s="10"/>
      <c r="U43" s="10"/>
      <c r="V43" s="10"/>
      <c r="W43" s="78">
        <f t="shared" si="19"/>
        <v>48</v>
      </c>
      <c r="X43" s="78">
        <f t="shared" si="20"/>
        <v>48</v>
      </c>
      <c r="Y43" s="78">
        <f t="shared" si="21"/>
        <v>48</v>
      </c>
      <c r="Z43" s="78">
        <f t="shared" si="22"/>
        <v>48</v>
      </c>
      <c r="AA43" s="78"/>
      <c r="AB43" s="78"/>
      <c r="AC43" s="78"/>
      <c r="AD43" s="78"/>
      <c r="AE43" s="78"/>
      <c r="AF43" s="78"/>
      <c r="AG43" s="78">
        <v>33.6</v>
      </c>
      <c r="AH43" s="78"/>
      <c r="AI43" s="78"/>
      <c r="AJ43" s="78"/>
      <c r="AK43" s="78"/>
      <c r="AL43" s="78" t="s">
        <v>103</v>
      </c>
      <c r="AM43" s="78"/>
      <c r="AN43" s="78"/>
      <c r="AO43" s="78"/>
      <c r="AP43" s="78"/>
      <c r="AQ43" s="10"/>
    </row>
    <row r="44" spans="1:43" x14ac:dyDescent="0.25">
      <c r="A44" s="3" t="s">
        <v>104</v>
      </c>
      <c r="T44" s="10"/>
      <c r="U44" s="10"/>
      <c r="V44" s="10"/>
      <c r="W44" s="78">
        <f t="shared" si="19"/>
        <v>48</v>
      </c>
      <c r="X44" s="78">
        <f t="shared" si="20"/>
        <v>48</v>
      </c>
      <c r="Y44" s="78">
        <f t="shared" si="21"/>
        <v>48</v>
      </c>
      <c r="Z44" s="78">
        <f t="shared" si="22"/>
        <v>48</v>
      </c>
      <c r="AA44" s="78"/>
      <c r="AB44" s="78"/>
      <c r="AC44" s="78"/>
      <c r="AD44" s="78"/>
      <c r="AE44" s="78"/>
      <c r="AF44" s="78"/>
      <c r="AG44" s="78">
        <v>35.5</v>
      </c>
      <c r="AH44" s="78"/>
      <c r="AI44" s="78"/>
      <c r="AJ44" s="78"/>
      <c r="AK44" s="78"/>
      <c r="AL44" s="78" t="s">
        <v>105</v>
      </c>
      <c r="AM44" s="78"/>
      <c r="AN44" s="78"/>
      <c r="AO44" s="78"/>
      <c r="AP44" s="78"/>
      <c r="AQ44" s="10"/>
    </row>
    <row r="45" spans="1:43" x14ac:dyDescent="0.25">
      <c r="A45" s="1">
        <v>11</v>
      </c>
      <c r="B45" s="5">
        <f>COUNTIF($F$6:$F$13,"&lt;" &amp; A45)+COUNTIF($K$6:$K$13,"&lt;" &amp; A45)+COUNTIF($P$6:$P$13,"&lt;" &amp; A45)+COUNTIF($U$6:$U$13,"&lt;" &amp; A45)+COUNTIF($Z$6:$Z$13,"&lt;" &amp; A45)+COUNTIF($AE$6:$AE$13,"&lt;" &amp; A45)+COUNTIF($AJ$6:$AJ$13,"&lt;" &amp; A45)</f>
        <v>0</v>
      </c>
      <c r="T45" s="10"/>
      <c r="U45" s="10"/>
      <c r="V45" s="10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>
        <v>37.5</v>
      </c>
      <c r="AH45" s="78"/>
      <c r="AI45" s="78"/>
      <c r="AJ45" s="78"/>
      <c r="AK45" s="78"/>
      <c r="AL45" s="78"/>
      <c r="AM45" s="78"/>
      <c r="AN45" s="78"/>
      <c r="AO45" s="78"/>
      <c r="AP45" s="78"/>
      <c r="AQ45" s="10"/>
    </row>
    <row r="46" spans="1:43" x14ac:dyDescent="0.25">
      <c r="T46" s="10"/>
      <c r="U46" s="10"/>
      <c r="V46" s="10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78"/>
      <c r="AQ46" s="10"/>
    </row>
    <row r="47" spans="1:43" x14ac:dyDescent="0.25">
      <c r="T47" s="10"/>
      <c r="U47" s="10"/>
      <c r="V47" s="10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10"/>
    </row>
    <row r="48" spans="1:43" x14ac:dyDescent="0.25">
      <c r="T48" s="10"/>
      <c r="U48" s="10"/>
      <c r="V48" s="10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78"/>
      <c r="AO48" s="78"/>
      <c r="AP48" s="78"/>
      <c r="AQ48" s="10"/>
    </row>
    <row r="49" spans="1:43" ht="13" x14ac:dyDescent="0.3">
      <c r="A49" s="4" t="s">
        <v>106</v>
      </c>
      <c r="T49" s="10"/>
      <c r="U49" s="10"/>
      <c r="V49" s="10"/>
      <c r="W49" s="78"/>
      <c r="X49" s="78"/>
      <c r="Y49" s="78"/>
      <c r="Z49" s="78"/>
      <c r="AA49" s="78"/>
      <c r="AB49" s="80" t="s">
        <v>107</v>
      </c>
      <c r="AC49" s="80"/>
      <c r="AD49" s="78"/>
      <c r="AE49" s="78"/>
      <c r="AF49" s="78"/>
      <c r="AG49" s="78"/>
      <c r="AH49" s="78"/>
      <c r="AI49" s="78"/>
      <c r="AJ49" s="78"/>
      <c r="AK49" s="78"/>
      <c r="AL49" s="78"/>
      <c r="AM49" s="78"/>
      <c r="AN49" s="78"/>
      <c r="AO49" s="78"/>
      <c r="AP49" s="78"/>
      <c r="AQ49" s="10"/>
    </row>
    <row r="50" spans="1:43" x14ac:dyDescent="0.25">
      <c r="A50" s="3" t="s">
        <v>108</v>
      </c>
      <c r="T50" s="10"/>
      <c r="U50" s="10"/>
      <c r="V50" s="10"/>
      <c r="W50" s="78"/>
      <c r="X50" s="78"/>
      <c r="Y50" s="78"/>
      <c r="Z50" s="78"/>
      <c r="AA50" s="78"/>
      <c r="AB50" s="78" t="s">
        <v>109</v>
      </c>
      <c r="AC50" s="78"/>
      <c r="AD50" s="78"/>
      <c r="AE50" s="78"/>
      <c r="AF50" s="78"/>
      <c r="AG50" s="78"/>
      <c r="AH50" s="78"/>
      <c r="AI50" s="78"/>
      <c r="AJ50" s="78"/>
      <c r="AK50" s="78"/>
      <c r="AL50" s="78"/>
      <c r="AM50" s="78"/>
      <c r="AN50" s="78"/>
      <c r="AO50" s="78"/>
      <c r="AP50" s="78"/>
      <c r="AQ50" s="10"/>
    </row>
    <row r="51" spans="1:43" ht="13" x14ac:dyDescent="0.3">
      <c r="A51" s="4" t="s">
        <v>110</v>
      </c>
      <c r="T51" s="10"/>
      <c r="U51" s="10"/>
      <c r="V51" s="10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  <c r="AN51" s="78"/>
      <c r="AO51" s="78"/>
      <c r="AP51" s="78"/>
      <c r="AQ51" s="10"/>
    </row>
    <row r="52" spans="1:43" x14ac:dyDescent="0.25">
      <c r="A52" s="3" t="s">
        <v>111</v>
      </c>
      <c r="T52" s="10"/>
      <c r="U52" s="10"/>
      <c r="V52" s="10"/>
      <c r="W52" s="78"/>
      <c r="X52" s="78"/>
      <c r="Y52" s="78"/>
      <c r="Z52" s="78"/>
      <c r="AA52" s="78"/>
      <c r="AB52" s="78" t="s">
        <v>112</v>
      </c>
      <c r="AC52" s="78"/>
      <c r="AD52" s="78"/>
      <c r="AE52" s="78"/>
      <c r="AF52" s="78"/>
      <c r="AG52" s="78"/>
      <c r="AH52" s="78"/>
      <c r="AI52" s="78"/>
      <c r="AJ52" s="78"/>
      <c r="AK52" s="78"/>
      <c r="AL52" s="78"/>
      <c r="AM52" s="78"/>
      <c r="AN52" s="78"/>
      <c r="AO52" s="78"/>
      <c r="AP52" s="78"/>
      <c r="AQ52" s="10"/>
    </row>
    <row r="53" spans="1:43" x14ac:dyDescent="0.25">
      <c r="A53" s="3" t="s">
        <v>113</v>
      </c>
      <c r="T53" s="10"/>
      <c r="U53" s="10"/>
      <c r="V53" s="10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78"/>
      <c r="AO53" s="78"/>
      <c r="AP53" s="78"/>
      <c r="AQ53" s="10"/>
    </row>
    <row r="54" spans="1:43" x14ac:dyDescent="0.25">
      <c r="A54" s="3" t="s">
        <v>114</v>
      </c>
      <c r="T54" s="10"/>
      <c r="U54" s="10"/>
      <c r="V54" s="10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78"/>
      <c r="AL54" s="78"/>
      <c r="AM54" s="78"/>
      <c r="AN54" s="78"/>
      <c r="AO54" s="78"/>
      <c r="AP54" s="78"/>
      <c r="AQ54" s="10"/>
    </row>
    <row r="55" spans="1:43" x14ac:dyDescent="0.25">
      <c r="T55" s="10"/>
      <c r="U55" s="10"/>
      <c r="V55" s="10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10"/>
    </row>
    <row r="56" spans="1:43" ht="13" x14ac:dyDescent="0.3">
      <c r="A56" s="4" t="s">
        <v>115</v>
      </c>
      <c r="T56" s="10"/>
      <c r="U56" s="10"/>
      <c r="V56" s="10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78"/>
      <c r="AO56" s="78"/>
      <c r="AP56" s="78"/>
      <c r="AQ56" s="10"/>
    </row>
    <row r="57" spans="1:43" x14ac:dyDescent="0.25">
      <c r="A57" s="3" t="s">
        <v>116</v>
      </c>
      <c r="T57" s="10"/>
      <c r="U57" s="10"/>
      <c r="V57" s="10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/>
      <c r="AO57" s="78"/>
      <c r="AP57" s="78"/>
      <c r="AQ57" s="10"/>
    </row>
    <row r="58" spans="1:43" ht="13" x14ac:dyDescent="0.3">
      <c r="A58" s="4" t="s">
        <v>110</v>
      </c>
      <c r="T58" s="10"/>
      <c r="U58" s="10"/>
      <c r="V58" s="10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 t="s">
        <v>117</v>
      </c>
      <c r="AH58" s="78"/>
      <c r="AI58" s="78"/>
      <c r="AJ58" s="78"/>
      <c r="AK58" s="78"/>
      <c r="AL58" s="78"/>
      <c r="AM58" s="78"/>
      <c r="AN58" s="78"/>
      <c r="AO58" s="78"/>
      <c r="AP58" s="78"/>
      <c r="AQ58" s="10"/>
    </row>
    <row r="59" spans="1:43" x14ac:dyDescent="0.25">
      <c r="A59" s="3" t="s">
        <v>111</v>
      </c>
      <c r="T59" s="10"/>
      <c r="U59" s="10"/>
      <c r="V59" s="10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>
        <v>0</v>
      </c>
      <c r="AH59" s="78">
        <v>1</v>
      </c>
      <c r="AI59" s="78">
        <v>2</v>
      </c>
      <c r="AJ59" s="78">
        <v>3</v>
      </c>
      <c r="AK59" s="78">
        <v>4</v>
      </c>
      <c r="AL59" s="78">
        <v>5</v>
      </c>
      <c r="AM59" s="78">
        <v>6</v>
      </c>
      <c r="AN59" s="78"/>
      <c r="AO59" s="78"/>
      <c r="AP59" s="78"/>
      <c r="AQ59" s="10"/>
    </row>
    <row r="60" spans="1:43" x14ac:dyDescent="0.25">
      <c r="A60" s="3" t="s">
        <v>113</v>
      </c>
      <c r="T60" s="10"/>
      <c r="U60" s="10"/>
      <c r="V60" s="10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>
        <v>7</v>
      </c>
      <c r="AH60" s="78">
        <v>8</v>
      </c>
      <c r="AI60" s="78">
        <v>9</v>
      </c>
      <c r="AJ60" s="78">
        <v>10</v>
      </c>
      <c r="AK60" s="78">
        <v>11</v>
      </c>
      <c r="AL60" s="78">
        <v>12</v>
      </c>
      <c r="AM60" s="78">
        <v>13</v>
      </c>
      <c r="AN60" s="78"/>
      <c r="AO60" s="78"/>
      <c r="AP60" s="78"/>
      <c r="AQ60" s="10"/>
    </row>
    <row r="61" spans="1:43" x14ac:dyDescent="0.25">
      <c r="T61" s="10"/>
      <c r="U61" s="10"/>
      <c r="V61" s="10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>
        <v>14</v>
      </c>
      <c r="AH61" s="78">
        <v>15</v>
      </c>
      <c r="AI61" s="78">
        <v>16</v>
      </c>
      <c r="AJ61" s="78">
        <v>17</v>
      </c>
      <c r="AK61" s="78">
        <v>18</v>
      </c>
      <c r="AL61" s="78">
        <v>19</v>
      </c>
      <c r="AM61" s="78">
        <v>20</v>
      </c>
      <c r="AN61" s="78"/>
      <c r="AO61" s="78"/>
      <c r="AP61" s="78"/>
      <c r="AQ61" s="10"/>
    </row>
    <row r="62" spans="1:43" ht="13" x14ac:dyDescent="0.3">
      <c r="A62" s="4" t="s">
        <v>118</v>
      </c>
      <c r="T62" s="10"/>
      <c r="U62" s="10"/>
      <c r="V62" s="10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>
        <v>21</v>
      </c>
      <c r="AH62" s="78">
        <v>22</v>
      </c>
      <c r="AI62" s="78">
        <v>23</v>
      </c>
      <c r="AJ62" s="78">
        <v>24</v>
      </c>
      <c r="AK62" s="78">
        <v>25</v>
      </c>
      <c r="AL62" s="78">
        <v>26</v>
      </c>
      <c r="AM62" s="78">
        <v>27</v>
      </c>
      <c r="AN62" s="78"/>
      <c r="AO62" s="78"/>
      <c r="AP62" s="78"/>
      <c r="AQ62" s="10"/>
    </row>
    <row r="63" spans="1:43" x14ac:dyDescent="0.25">
      <c r="A63" s="3" t="s">
        <v>119</v>
      </c>
      <c r="T63" s="10"/>
      <c r="U63" s="10"/>
      <c r="V63" s="10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>
        <v>28</v>
      </c>
      <c r="AH63" s="78">
        <v>29</v>
      </c>
      <c r="AI63" s="78">
        <v>30</v>
      </c>
      <c r="AJ63" s="78">
        <v>31</v>
      </c>
      <c r="AK63" s="78">
        <v>32</v>
      </c>
      <c r="AL63" s="78">
        <v>33</v>
      </c>
      <c r="AM63" s="78">
        <v>34</v>
      </c>
      <c r="AN63" s="78"/>
      <c r="AO63" s="78"/>
      <c r="AP63" s="78"/>
      <c r="AQ63" s="10"/>
    </row>
    <row r="64" spans="1:43" x14ac:dyDescent="0.25">
      <c r="A64" s="3" t="s">
        <v>120</v>
      </c>
      <c r="T64" s="10"/>
      <c r="U64" s="10"/>
      <c r="V64" s="10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>
        <v>35</v>
      </c>
      <c r="AH64" s="78">
        <v>36</v>
      </c>
      <c r="AI64" s="78">
        <v>37</v>
      </c>
      <c r="AJ64" s="78">
        <v>38</v>
      </c>
      <c r="AK64" s="78">
        <v>39</v>
      </c>
      <c r="AL64" s="78">
        <v>40</v>
      </c>
      <c r="AM64" s="78">
        <v>41</v>
      </c>
      <c r="AN64" s="78"/>
      <c r="AO64" s="78"/>
      <c r="AP64" s="78"/>
      <c r="AQ64" s="10"/>
    </row>
    <row r="65" spans="1:43" x14ac:dyDescent="0.25">
      <c r="T65" s="10"/>
      <c r="U65" s="10"/>
      <c r="V65" s="10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>
        <v>42</v>
      </c>
      <c r="AH65" s="78">
        <v>43</v>
      </c>
      <c r="AI65" s="78">
        <v>44</v>
      </c>
      <c r="AJ65" s="78">
        <v>45</v>
      </c>
      <c r="AK65" s="78">
        <v>46</v>
      </c>
      <c r="AL65" s="78">
        <v>47</v>
      </c>
      <c r="AM65" s="78">
        <v>48</v>
      </c>
      <c r="AN65" s="78"/>
      <c r="AO65" s="78"/>
      <c r="AP65" s="78"/>
      <c r="AQ65" s="10"/>
    </row>
    <row r="66" spans="1:43" ht="13" x14ac:dyDescent="0.3">
      <c r="A66" s="3" t="s">
        <v>121</v>
      </c>
      <c r="B66" s="4"/>
      <c r="T66" s="10"/>
      <c r="U66" s="10"/>
      <c r="V66" s="10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>
        <v>49</v>
      </c>
      <c r="AH66" s="78">
        <v>50</v>
      </c>
      <c r="AI66" s="78">
        <v>51</v>
      </c>
      <c r="AJ66" s="78">
        <v>52</v>
      </c>
      <c r="AK66" s="78">
        <v>53</v>
      </c>
      <c r="AL66" s="78">
        <v>54</v>
      </c>
      <c r="AM66" s="78">
        <v>55</v>
      </c>
      <c r="AN66" s="78"/>
      <c r="AO66" s="78"/>
      <c r="AP66" s="78"/>
      <c r="AQ66" s="10"/>
    </row>
    <row r="67" spans="1:43" ht="13" x14ac:dyDescent="0.3">
      <c r="A67" s="1">
        <v>9</v>
      </c>
      <c r="B67" s="5">
        <f>COUNTIF($E$6:$E$13,"&gt;" &amp; A67)+COUNTIF($J$6:$J$13,"&gt;" &amp; A67)+COUNTIF($O$6:$O$13,"&gt;" &amp; A67)+COUNTIF($T$6:$T$13,"&gt;" &amp; A67)+COUNTIF($Y$6:$Y$13,"&gt;" &amp; A67)+COUNTIF($AD$6:$AD$13,"&gt;" &amp; A67)+COUNTIF($AI$6:$AI$13,"&gt;" &amp; A67)</f>
        <v>0</v>
      </c>
      <c r="C67" s="3" t="s">
        <v>122</v>
      </c>
      <c r="E67" s="3" t="s">
        <v>123</v>
      </c>
      <c r="H67" s="1" t="s">
        <v>124</v>
      </c>
      <c r="L67" s="3" t="s">
        <v>125</v>
      </c>
      <c r="T67" s="10"/>
      <c r="U67" s="10"/>
      <c r="V67" s="10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>
        <v>56</v>
      </c>
      <c r="AH67" s="78">
        <v>57</v>
      </c>
      <c r="AI67" s="78">
        <v>58</v>
      </c>
      <c r="AJ67" s="78">
        <v>59</v>
      </c>
      <c r="AK67" s="78">
        <v>60</v>
      </c>
      <c r="AL67" s="78">
        <v>61</v>
      </c>
      <c r="AM67" s="78">
        <v>62</v>
      </c>
      <c r="AN67" s="78"/>
      <c r="AO67" s="78"/>
      <c r="AP67" s="78"/>
      <c r="AQ67" s="10"/>
    </row>
    <row r="68" spans="1:43" x14ac:dyDescent="0.25">
      <c r="T68" s="10"/>
      <c r="U68" s="10"/>
      <c r="V68" s="10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>
        <v>63</v>
      </c>
      <c r="AH68" s="78">
        <v>64</v>
      </c>
      <c r="AI68" s="78">
        <v>65</v>
      </c>
      <c r="AJ68" s="78">
        <v>66</v>
      </c>
      <c r="AK68" s="78">
        <v>67</v>
      </c>
      <c r="AL68" s="78">
        <v>68</v>
      </c>
      <c r="AM68" s="78">
        <v>69</v>
      </c>
      <c r="AN68" s="78"/>
      <c r="AO68" s="78"/>
      <c r="AP68" s="78"/>
      <c r="AQ68" s="10"/>
    </row>
    <row r="69" spans="1:43" x14ac:dyDescent="0.25">
      <c r="A69" s="3" t="s">
        <v>126</v>
      </c>
      <c r="T69" s="10"/>
      <c r="U69" s="10"/>
      <c r="V69" s="10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>
        <v>70</v>
      </c>
      <c r="AH69" s="78">
        <v>71</v>
      </c>
      <c r="AI69" s="78">
        <v>72</v>
      </c>
      <c r="AJ69" s="78">
        <v>73</v>
      </c>
      <c r="AK69" s="78">
        <v>74</v>
      </c>
      <c r="AL69" s="78">
        <v>75</v>
      </c>
      <c r="AM69" s="78">
        <v>76</v>
      </c>
      <c r="AN69" s="78"/>
      <c r="AO69" s="78"/>
      <c r="AP69" s="78"/>
      <c r="AQ69" s="10"/>
    </row>
    <row r="70" spans="1:43" x14ac:dyDescent="0.25">
      <c r="A70" s="1">
        <v>20</v>
      </c>
      <c r="B70" s="5">
        <f>COUNTIF($AK$6:$AK$13,"&gt;" &amp; A70)</f>
        <v>0</v>
      </c>
      <c r="C70" s="3" t="s">
        <v>127</v>
      </c>
      <c r="E70" s="3" t="s">
        <v>128</v>
      </c>
      <c r="H70" s="1" t="s">
        <v>124</v>
      </c>
      <c r="T70" s="10"/>
      <c r="U70" s="10"/>
      <c r="V70" s="10"/>
      <c r="W70" s="78"/>
      <c r="X70" s="78"/>
      <c r="Y70" s="78"/>
      <c r="Z70" s="78"/>
      <c r="AA70" s="78"/>
      <c r="AB70" s="78"/>
      <c r="AC70" s="78"/>
      <c r="AD70" s="78"/>
      <c r="AE70" s="78"/>
      <c r="AF70" s="78"/>
      <c r="AG70" s="78">
        <v>77</v>
      </c>
      <c r="AH70" s="78">
        <v>78</v>
      </c>
      <c r="AI70" s="78">
        <v>79</v>
      </c>
      <c r="AJ70" s="78">
        <v>80</v>
      </c>
      <c r="AK70" s="78">
        <v>81</v>
      </c>
      <c r="AL70" s="78">
        <v>82</v>
      </c>
      <c r="AM70" s="78">
        <v>83</v>
      </c>
      <c r="AN70" s="78"/>
      <c r="AO70" s="78"/>
      <c r="AP70" s="78"/>
      <c r="AQ70" s="10"/>
    </row>
    <row r="71" spans="1:43" x14ac:dyDescent="0.25">
      <c r="W71" s="78"/>
      <c r="X71" s="78"/>
      <c r="Y71" s="78"/>
      <c r="Z71" s="78"/>
      <c r="AA71" s="78"/>
      <c r="AB71" s="78"/>
      <c r="AC71" s="78"/>
      <c r="AD71" s="78"/>
      <c r="AE71" s="78"/>
      <c r="AF71" s="78"/>
      <c r="AG71" s="78">
        <v>84</v>
      </c>
      <c r="AH71" s="78">
        <v>85</v>
      </c>
      <c r="AI71" s="78">
        <v>86</v>
      </c>
      <c r="AJ71" s="78">
        <v>87</v>
      </c>
      <c r="AK71" s="78">
        <v>88</v>
      </c>
      <c r="AL71" s="78">
        <v>89</v>
      </c>
      <c r="AM71" s="78">
        <v>90</v>
      </c>
      <c r="AN71" s="78"/>
      <c r="AO71" s="78"/>
      <c r="AP71" s="78"/>
    </row>
    <row r="72" spans="1:43" x14ac:dyDescent="0.25"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  <c r="AL72" s="78"/>
      <c r="AM72" s="78"/>
      <c r="AN72" s="78"/>
      <c r="AO72" s="78"/>
      <c r="AP72" s="78"/>
    </row>
    <row r="73" spans="1:43" x14ac:dyDescent="0.25">
      <c r="W73" s="78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8"/>
      <c r="AK73" s="78"/>
      <c r="AL73" s="78"/>
      <c r="AM73" s="78"/>
      <c r="AN73" s="78"/>
      <c r="AO73" s="78"/>
      <c r="AP73" s="78"/>
    </row>
    <row r="74" spans="1:43" x14ac:dyDescent="0.25"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78"/>
      <c r="AO74" s="78"/>
      <c r="AP74" s="78"/>
    </row>
    <row r="75" spans="1:43" x14ac:dyDescent="0.25"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  <c r="AK75" s="78"/>
      <c r="AL75" s="78"/>
      <c r="AM75" s="78"/>
      <c r="AN75" s="78"/>
      <c r="AO75" s="78"/>
      <c r="AP75" s="78"/>
    </row>
    <row r="76" spans="1:43" x14ac:dyDescent="0.25">
      <c r="W76" s="78"/>
      <c r="X76" s="78"/>
      <c r="Y76" s="78"/>
      <c r="Z76" s="78"/>
      <c r="AA76" s="78"/>
      <c r="AB76" s="78"/>
      <c r="AC76" s="78"/>
      <c r="AD76" s="78"/>
      <c r="AE76" s="78"/>
      <c r="AF76" s="78"/>
      <c r="AG76" s="78"/>
      <c r="AH76" s="78"/>
      <c r="AI76" s="78"/>
      <c r="AJ76" s="78"/>
      <c r="AK76" s="78"/>
      <c r="AL76" s="78"/>
      <c r="AM76" s="78"/>
      <c r="AN76" s="78"/>
      <c r="AO76" s="78"/>
      <c r="AP76" s="78"/>
    </row>
    <row r="77" spans="1:43" x14ac:dyDescent="0.25"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78"/>
      <c r="AK77" s="78"/>
      <c r="AL77" s="78"/>
      <c r="AM77" s="78"/>
      <c r="AN77" s="78"/>
      <c r="AO77" s="78"/>
      <c r="AP77" s="78"/>
    </row>
    <row r="78" spans="1:43" x14ac:dyDescent="0.25">
      <c r="W78" s="78"/>
      <c r="X78" s="78"/>
      <c r="Y78" s="78"/>
      <c r="Z78" s="78"/>
      <c r="AA78" s="78"/>
      <c r="AB78" s="78"/>
      <c r="AC78" s="78"/>
      <c r="AD78" s="78"/>
      <c r="AE78" s="78"/>
      <c r="AF78" s="78"/>
      <c r="AG78" s="78"/>
      <c r="AH78" s="78"/>
      <c r="AI78" s="78"/>
      <c r="AJ78" s="78"/>
      <c r="AK78" s="78"/>
      <c r="AL78" s="78"/>
      <c r="AM78" s="78"/>
      <c r="AN78" s="78"/>
      <c r="AO78" s="78"/>
      <c r="AP78" s="78"/>
    </row>
    <row r="79" spans="1:43" x14ac:dyDescent="0.25">
      <c r="W79" s="78"/>
      <c r="X79" s="78"/>
      <c r="Y79" s="78"/>
      <c r="Z79" s="78"/>
      <c r="AA79" s="78"/>
      <c r="AB79" s="78"/>
      <c r="AC79" s="78"/>
      <c r="AD79" s="78"/>
      <c r="AE79" s="78"/>
      <c r="AF79" s="78"/>
      <c r="AG79" s="78"/>
      <c r="AH79" s="78"/>
      <c r="AI79" s="78"/>
      <c r="AJ79" s="78"/>
      <c r="AK79" s="78"/>
      <c r="AL79" s="78"/>
      <c r="AM79" s="78"/>
      <c r="AN79" s="78"/>
      <c r="AO79" s="78"/>
      <c r="AP79" s="78"/>
    </row>
    <row r="80" spans="1:43" x14ac:dyDescent="0.25">
      <c r="W80" s="78"/>
      <c r="X80" s="78"/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  <c r="AJ80" s="78"/>
      <c r="AK80" s="78"/>
      <c r="AL80" s="78"/>
      <c r="AM80" s="78"/>
      <c r="AN80" s="78"/>
      <c r="AO80" s="78"/>
      <c r="AP80" s="78"/>
    </row>
    <row r="81" spans="1:42" x14ac:dyDescent="0.25"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  <c r="AJ81" s="78"/>
      <c r="AK81" s="78"/>
      <c r="AL81" s="78"/>
      <c r="AM81" s="78"/>
      <c r="AN81" s="78"/>
      <c r="AO81" s="78"/>
      <c r="AP81" s="78"/>
    </row>
    <row r="82" spans="1:42" x14ac:dyDescent="0.25"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8"/>
      <c r="AH82" s="78"/>
      <c r="AI82" s="78"/>
      <c r="AJ82" s="78"/>
      <c r="AK82" s="78"/>
      <c r="AL82" s="78"/>
      <c r="AM82" s="78"/>
      <c r="AN82" s="78"/>
      <c r="AO82" s="78"/>
      <c r="AP82" s="78"/>
    </row>
    <row r="83" spans="1:42" x14ac:dyDescent="0.25"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</row>
    <row r="84" spans="1:42" x14ac:dyDescent="0.25"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</row>
    <row r="85" spans="1:42" x14ac:dyDescent="0.25"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</row>
    <row r="86" spans="1:42" x14ac:dyDescent="0.25"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8"/>
      <c r="AO86" s="78"/>
      <c r="AP86" s="78"/>
    </row>
    <row r="87" spans="1:42" x14ac:dyDescent="0.25"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  <c r="AN87" s="78"/>
      <c r="AO87" s="78"/>
      <c r="AP87" s="78"/>
    </row>
    <row r="95" spans="1:42" ht="13" x14ac:dyDescent="0.3">
      <c r="A95" s="4"/>
    </row>
  </sheetData>
  <sheetProtection algorithmName="SHA-512" hashValue="msNrkskpHcgKmCbhU7Iherpkj7PQJlUtBcYMxJdSDgtvL9qYAvvOcacvW1bC8U+2dRAIHBZ3ShA1FoCbG/NZ8Q==" saltValue="PGTj0A2ccm04IgjzXv6iug==" spinCount="100000" sheet="1" objects="1" scenarios="1"/>
  <mergeCells count="27">
    <mergeCell ref="A1:C1"/>
    <mergeCell ref="H1:L1"/>
    <mergeCell ref="A2:C2"/>
    <mergeCell ref="A3:C3"/>
    <mergeCell ref="B4:F4"/>
    <mergeCell ref="G4:J4"/>
    <mergeCell ref="L4:O4"/>
    <mergeCell ref="I2:J2"/>
    <mergeCell ref="Q4:T4"/>
    <mergeCell ref="V4:Y4"/>
    <mergeCell ref="AA4:AD4"/>
    <mergeCell ref="AF4:AI4"/>
    <mergeCell ref="AG39:AK39"/>
    <mergeCell ref="A28:C28"/>
    <mergeCell ref="A29:C29"/>
    <mergeCell ref="A30:C30"/>
    <mergeCell ref="D32:E32"/>
    <mergeCell ref="H32:I32"/>
    <mergeCell ref="A37:C37"/>
    <mergeCell ref="D31:E31"/>
    <mergeCell ref="H31:I31"/>
    <mergeCell ref="A36:E36"/>
    <mergeCell ref="N32:O32"/>
    <mergeCell ref="A33:C33"/>
    <mergeCell ref="G33:H33"/>
    <mergeCell ref="A34:B34"/>
    <mergeCell ref="N31:O31"/>
  </mergeCells>
  <conditionalFormatting sqref="A6:A17">
    <cfRule type="cellIs" dxfId="281" priority="363" operator="equal">
      <formula>0</formula>
    </cfRule>
  </conditionalFormatting>
  <conditionalFormatting sqref="A37">
    <cfRule type="cellIs" dxfId="280" priority="243" operator="notEqual">
      <formula>$E$2</formula>
    </cfRule>
    <cfRule type="cellIs" dxfId="279" priority="244" operator="equal">
      <formula>$E$2</formula>
    </cfRule>
  </conditionalFormatting>
  <conditionalFormatting sqref="A32:D32 F32:H32 C34">
    <cfRule type="cellIs" dxfId="278" priority="241" operator="notEqual">
      <formula>$E$3</formula>
    </cfRule>
    <cfRule type="cellIs" dxfId="277" priority="242" operator="equal">
      <formula>$E$3</formula>
    </cfRule>
  </conditionalFormatting>
  <conditionalFormatting sqref="B6:D17">
    <cfRule type="expression" dxfId="276" priority="112">
      <formula>$A6=0</formula>
    </cfRule>
  </conditionalFormatting>
  <conditionalFormatting sqref="E6:E17">
    <cfRule type="expression" dxfId="275" priority="116">
      <formula>AND($H$67="ja",E6&gt;$A$67)</formula>
    </cfRule>
    <cfRule type="cellIs" dxfId="274" priority="117" operator="greaterThanOrEqual">
      <formula>0</formula>
    </cfRule>
  </conditionalFormatting>
  <conditionalFormatting sqref="F6:F17">
    <cfRule type="cellIs" dxfId="273" priority="31" operator="lessThan">
      <formula>$A$45</formula>
    </cfRule>
    <cfRule type="cellIs" dxfId="272" priority="32" operator="equal">
      <formula>0</formula>
    </cfRule>
    <cfRule type="cellIs" dxfId="271" priority="33" operator="notEqual">
      <formula>0</formula>
    </cfRule>
  </conditionalFormatting>
  <conditionalFormatting sqref="G6:I17">
    <cfRule type="expression" dxfId="270" priority="52">
      <formula>$A6=0</formula>
    </cfRule>
  </conditionalFormatting>
  <conditionalFormatting sqref="J6:J17">
    <cfRule type="expression" dxfId="269" priority="104">
      <formula>AND($H$67="ja",J6&gt;$A$67)</formula>
    </cfRule>
    <cfRule type="cellIs" dxfId="268" priority="105" operator="greaterThanOrEqual">
      <formula>0</formula>
    </cfRule>
  </conditionalFormatting>
  <conditionalFormatting sqref="J32:N32">
    <cfRule type="cellIs" dxfId="267" priority="239" operator="notEqual">
      <formula>$E$3</formula>
    </cfRule>
    <cfRule type="cellIs" dxfId="266" priority="240" operator="equal">
      <formula>$E$3</formula>
    </cfRule>
  </conditionalFormatting>
  <conditionalFormatting sqref="K6:K17">
    <cfRule type="cellIs" dxfId="265" priority="28" operator="lessThan">
      <formula>$A$45</formula>
    </cfRule>
    <cfRule type="cellIs" dxfId="264" priority="29" operator="equal">
      <formula>0</formula>
    </cfRule>
    <cfRule type="cellIs" dxfId="263" priority="30" operator="notEqual">
      <formula>0</formula>
    </cfRule>
  </conditionalFormatting>
  <conditionalFormatting sqref="L6:N17">
    <cfRule type="expression" dxfId="262" priority="48">
      <formula>$A6=0</formula>
    </cfRule>
  </conditionalFormatting>
  <conditionalFormatting sqref="O6:O17">
    <cfRule type="cellIs" dxfId="261" priority="97" operator="greaterThanOrEqual">
      <formula>0</formula>
    </cfRule>
    <cfRule type="expression" dxfId="260" priority="96">
      <formula>AND($H$67="ja",O6&gt;$A$67)</formula>
    </cfRule>
  </conditionalFormatting>
  <conditionalFormatting sqref="P6:P17">
    <cfRule type="cellIs" dxfId="259" priority="22" operator="lessThan">
      <formula>$A$45</formula>
    </cfRule>
    <cfRule type="cellIs" dxfId="258" priority="23" operator="equal">
      <formula>0</formula>
    </cfRule>
    <cfRule type="cellIs" dxfId="257" priority="24" operator="notEqual">
      <formula>0</formula>
    </cfRule>
  </conditionalFormatting>
  <conditionalFormatting sqref="Q6:S17">
    <cfRule type="expression" dxfId="256" priority="47">
      <formula>$A6=0</formula>
    </cfRule>
  </conditionalFormatting>
  <conditionalFormatting sqref="T6:T17">
    <cfRule type="cellIs" dxfId="255" priority="89" operator="greaterThanOrEqual">
      <formula>0</formula>
    </cfRule>
    <cfRule type="expression" dxfId="254" priority="88">
      <formula>AND($H$67="ja",T6&gt;$A$67)</formula>
    </cfRule>
  </conditionalFormatting>
  <conditionalFormatting sqref="U6:U17">
    <cfRule type="cellIs" dxfId="253" priority="17" operator="equal">
      <formula>0</formula>
    </cfRule>
    <cfRule type="cellIs" dxfId="252" priority="16" operator="lessThan">
      <formula>$A$45</formula>
    </cfRule>
    <cfRule type="cellIs" dxfId="251" priority="18" operator="notEqual">
      <formula>0</formula>
    </cfRule>
  </conditionalFormatting>
  <conditionalFormatting sqref="V6:X17">
    <cfRule type="expression" dxfId="250" priority="46">
      <formula>$A6=0</formula>
    </cfRule>
  </conditionalFormatting>
  <conditionalFormatting sqref="Y6:Y17 AD6:AD17 AI6:AI17">
    <cfRule type="expression" dxfId="249" priority="59">
      <formula>AND($H$67="ja",Y6&gt;$A$67)</formula>
    </cfRule>
    <cfRule type="cellIs" dxfId="248" priority="60" operator="greaterThanOrEqual">
      <formula>0</formula>
    </cfRule>
  </conditionalFormatting>
  <conditionalFormatting sqref="Z6:Z17">
    <cfRule type="cellIs" dxfId="247" priority="11" operator="equal">
      <formula>0</formula>
    </cfRule>
    <cfRule type="cellIs" dxfId="246" priority="10" operator="lessThan">
      <formula>$A$45</formula>
    </cfRule>
    <cfRule type="cellIs" dxfId="245" priority="12" operator="notEqual">
      <formula>0</formula>
    </cfRule>
  </conditionalFormatting>
  <conditionalFormatting sqref="AA6:AC17">
    <cfRule type="expression" dxfId="244" priority="43">
      <formula>$A6=0</formula>
    </cfRule>
  </conditionalFormatting>
  <conditionalFormatting sqref="AE6:AE17">
    <cfRule type="cellIs" dxfId="243" priority="5" operator="equal">
      <formula>0</formula>
    </cfRule>
    <cfRule type="cellIs" dxfId="242" priority="4" operator="lessThan">
      <formula>$A$45</formula>
    </cfRule>
    <cfRule type="cellIs" dxfId="241" priority="6" operator="notEqual">
      <formula>0</formula>
    </cfRule>
  </conditionalFormatting>
  <conditionalFormatting sqref="AF6:AH17">
    <cfRule type="expression" dxfId="240" priority="34">
      <formula>$A6=0</formula>
    </cfRule>
  </conditionalFormatting>
  <conditionalFormatting sqref="AJ6:AJ17">
    <cfRule type="cellIs" dxfId="239" priority="3" operator="notEqual">
      <formula>0</formula>
    </cfRule>
    <cfRule type="cellIs" dxfId="238" priority="2" operator="equal">
      <formula>0</formula>
    </cfRule>
    <cfRule type="cellIs" dxfId="237" priority="1" operator="lessThan">
      <formula>$A$45</formula>
    </cfRule>
  </conditionalFormatting>
  <conditionalFormatting sqref="AK6:AK17">
    <cfRule type="expression" dxfId="236" priority="58">
      <formula>AND($H$70="ja",AK6&gt;$A$70)</formula>
    </cfRule>
    <cfRule type="cellIs" dxfId="235" priority="61" operator="greaterThanOrEqual">
      <formula>0</formula>
    </cfRule>
  </conditionalFormatting>
  <dataValidations count="2">
    <dataValidation type="list" showInputMessage="1" showErrorMessage="1" promptTitle="Velg Turnus startdag" prompt="Velg hvilken dag turnusen starte å telle ifra. (Typisk Mandag)" sqref="E1" xr:uid="{00000000-0002-0000-1500-000000000000}">
      <formula1>Ukedager</formula1>
    </dataValidation>
    <dataValidation type="list" allowBlank="1" showInputMessage="1" showErrorMessage="1" sqref="H67 H70" xr:uid="{00000000-0002-0000-1500-000001000000}">
      <formula1>Ja_og_nei</formula1>
    </dataValidation>
  </dataValidation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5"/>
  <dimension ref="A1:AQ106"/>
  <sheetViews>
    <sheetView zoomScale="85" zoomScaleNormal="85" workbookViewId="0">
      <pane ySplit="24" topLeftCell="A25" activePane="bottomLeft" state="frozen"/>
      <selection pane="bottomLeft" activeCell="D13" sqref="D13"/>
    </sheetView>
  </sheetViews>
  <sheetFormatPr defaultColWidth="9.08984375" defaultRowHeight="12.5" x14ac:dyDescent="0.25"/>
  <cols>
    <col min="1" max="1" width="10.7265625" style="3" customWidth="1"/>
    <col min="2" max="2" width="7.6328125" style="3" customWidth="1"/>
    <col min="3" max="3" width="7.81640625" style="3" customWidth="1"/>
    <col min="4" max="4" width="4.36328125" style="3" bestFit="1" customWidth="1"/>
    <col min="5" max="6" width="10" style="3" customWidth="1"/>
    <col min="7" max="7" width="7" style="3" customWidth="1"/>
    <col min="8" max="8" width="7.6328125" style="3" customWidth="1"/>
    <col min="9" max="9" width="4.36328125" style="3" bestFit="1" customWidth="1"/>
    <col min="10" max="11" width="10" style="3" customWidth="1"/>
    <col min="12" max="12" width="7.26953125" style="3" customWidth="1"/>
    <col min="13" max="13" width="7.7265625" style="3" customWidth="1"/>
    <col min="14" max="14" width="4.36328125" style="3" bestFit="1" customWidth="1"/>
    <col min="15" max="15" width="10.08984375" style="3" bestFit="1" customWidth="1"/>
    <col min="16" max="16" width="10.08984375" style="3" customWidth="1"/>
    <col min="17" max="17" width="7.6328125" style="3" customWidth="1"/>
    <col min="18" max="18" width="7.7265625" style="3" customWidth="1"/>
    <col min="19" max="19" width="4.36328125" style="3" bestFit="1" customWidth="1"/>
    <col min="20" max="20" width="10.08984375" style="3" bestFit="1" customWidth="1"/>
    <col min="21" max="21" width="10.08984375" style="3" customWidth="1"/>
    <col min="22" max="22" width="8.36328125" style="3" customWidth="1"/>
    <col min="23" max="23" width="8.81640625" style="3" customWidth="1"/>
    <col min="24" max="24" width="4.36328125" style="3" bestFit="1" customWidth="1"/>
    <col min="25" max="26" width="10" style="3" customWidth="1"/>
    <col min="27" max="28" width="7.81640625" style="3" customWidth="1"/>
    <col min="29" max="29" width="4.36328125" style="3" bestFit="1" customWidth="1"/>
    <col min="30" max="31" width="9.7265625" style="3" customWidth="1"/>
    <col min="32" max="32" width="6.81640625" style="3" customWidth="1"/>
    <col min="33" max="33" width="7.6328125" style="3" customWidth="1"/>
    <col min="34" max="34" width="4.36328125" style="3" bestFit="1" customWidth="1"/>
    <col min="35" max="36" width="9.6328125" style="3" customWidth="1"/>
    <col min="37" max="37" width="15.6328125" style="3" bestFit="1" customWidth="1"/>
    <col min="38" max="16384" width="9.08984375" style="3"/>
  </cols>
  <sheetData>
    <row r="1" spans="1:39" ht="13" x14ac:dyDescent="0.3">
      <c r="A1" s="98" t="s">
        <v>66</v>
      </c>
      <c r="B1" s="98"/>
      <c r="C1" s="98"/>
      <c r="D1" s="88"/>
      <c r="E1" s="5" t="str">
        <f>Vaktplan!G38</f>
        <v>mandag</v>
      </c>
      <c r="H1" s="98" t="s">
        <v>67</v>
      </c>
      <c r="I1" s="98"/>
      <c r="J1" s="98"/>
      <c r="K1" s="98"/>
      <c r="L1" s="98"/>
      <c r="M1" s="5">
        <f>Vaktplan!AJ61</f>
        <v>12</v>
      </c>
    </row>
    <row r="2" spans="1:39" ht="13" x14ac:dyDescent="0.3">
      <c r="A2" s="98" t="s">
        <v>36</v>
      </c>
      <c r="B2" s="98"/>
      <c r="C2" s="98"/>
      <c r="D2" s="88"/>
      <c r="E2" s="8">
        <f>Vaktplan!AM61</f>
        <v>0</v>
      </c>
      <c r="I2" s="106"/>
      <c r="J2" s="106"/>
    </row>
    <row r="3" spans="1:39" ht="13" x14ac:dyDescent="0.3">
      <c r="A3" s="98" t="s">
        <v>68</v>
      </c>
      <c r="B3" s="98"/>
      <c r="C3" s="98"/>
      <c r="D3" s="88"/>
      <c r="E3" s="5">
        <f>Vaktplan!AQ61</f>
        <v>0</v>
      </c>
      <c r="F3" s="4" t="s">
        <v>69</v>
      </c>
    </row>
    <row r="4" spans="1:39" ht="13" x14ac:dyDescent="0.3">
      <c r="A4" s="89" t="s">
        <v>70</v>
      </c>
      <c r="B4" s="103" t="str">
        <f>TEXT(AG39,"DDDD")</f>
        <v>Monday</v>
      </c>
      <c r="C4" s="104"/>
      <c r="D4" s="104"/>
      <c r="E4" s="104"/>
      <c r="F4" s="105"/>
      <c r="G4" s="102" t="str">
        <f>TEXT($AG$39+1,"DDDD")</f>
        <v>Tuesday</v>
      </c>
      <c r="H4" s="102"/>
      <c r="I4" s="102"/>
      <c r="J4" s="102"/>
      <c r="K4" s="89"/>
      <c r="L4" s="102" t="str">
        <f>TEXT($AG$39+2,"DDDD")</f>
        <v>Wednesday</v>
      </c>
      <c r="M4" s="102"/>
      <c r="N4" s="102"/>
      <c r="O4" s="102"/>
      <c r="P4" s="89"/>
      <c r="Q4" s="102" t="str">
        <f>TEXT($AG$39+3,"DDDD")</f>
        <v>Thursday</v>
      </c>
      <c r="R4" s="102"/>
      <c r="S4" s="102"/>
      <c r="T4" s="102"/>
      <c r="U4" s="89"/>
      <c r="V4" s="102" t="str">
        <f>TEXT($AG$39+4,"DDDD")</f>
        <v>Friday</v>
      </c>
      <c r="W4" s="102"/>
      <c r="X4" s="102"/>
      <c r="Y4" s="102"/>
      <c r="Z4" s="89"/>
      <c r="AA4" s="102" t="str">
        <f>TEXT($AG$39+5,"DDDD")</f>
        <v>Saturday</v>
      </c>
      <c r="AB4" s="102"/>
      <c r="AC4" s="102"/>
      <c r="AD4" s="102"/>
      <c r="AE4" s="89"/>
      <c r="AF4" s="102" t="str">
        <f>TEXT($AG$39+6,"DDDD")</f>
        <v>Sunday</v>
      </c>
      <c r="AG4" s="102"/>
      <c r="AH4" s="102"/>
      <c r="AI4" s="102"/>
      <c r="AJ4" s="89"/>
      <c r="AK4" s="7" t="s">
        <v>71</v>
      </c>
      <c r="AL4" s="91"/>
    </row>
    <row r="5" spans="1:39" x14ac:dyDescent="0.25">
      <c r="A5" s="6"/>
      <c r="B5" s="6" t="s">
        <v>72</v>
      </c>
      <c r="C5" s="6" t="s">
        <v>73</v>
      </c>
      <c r="D5" s="6" t="s">
        <v>55</v>
      </c>
      <c r="E5" s="6" t="s">
        <v>74</v>
      </c>
      <c r="F5" s="6" t="s">
        <v>75</v>
      </c>
      <c r="G5" s="6" t="s">
        <v>72</v>
      </c>
      <c r="H5" s="6" t="s">
        <v>73</v>
      </c>
      <c r="I5" s="6" t="s">
        <v>55</v>
      </c>
      <c r="J5" s="6" t="s">
        <v>74</v>
      </c>
      <c r="K5" s="6" t="s">
        <v>75</v>
      </c>
      <c r="L5" s="6" t="s">
        <v>72</v>
      </c>
      <c r="M5" s="6" t="s">
        <v>73</v>
      </c>
      <c r="N5" s="6" t="s">
        <v>55</v>
      </c>
      <c r="O5" s="6" t="s">
        <v>74</v>
      </c>
      <c r="P5" s="6" t="s">
        <v>75</v>
      </c>
      <c r="Q5" s="6" t="s">
        <v>72</v>
      </c>
      <c r="R5" s="6" t="s">
        <v>73</v>
      </c>
      <c r="S5" s="6" t="s">
        <v>55</v>
      </c>
      <c r="T5" s="6" t="s">
        <v>74</v>
      </c>
      <c r="U5" s="6" t="s">
        <v>75</v>
      </c>
      <c r="V5" s="6" t="s">
        <v>72</v>
      </c>
      <c r="W5" s="6" t="s">
        <v>73</v>
      </c>
      <c r="X5" s="6" t="s">
        <v>55</v>
      </c>
      <c r="Y5" s="6" t="s">
        <v>74</v>
      </c>
      <c r="Z5" s="6" t="s">
        <v>75</v>
      </c>
      <c r="AA5" s="6" t="s">
        <v>72</v>
      </c>
      <c r="AB5" s="6" t="s">
        <v>73</v>
      </c>
      <c r="AC5" s="6" t="s">
        <v>55</v>
      </c>
      <c r="AD5" s="6" t="s">
        <v>74</v>
      </c>
      <c r="AE5" s="6" t="s">
        <v>75</v>
      </c>
      <c r="AF5" s="6" t="s">
        <v>72</v>
      </c>
      <c r="AG5" s="6" t="s">
        <v>73</v>
      </c>
      <c r="AH5" s="6" t="s">
        <v>55</v>
      </c>
      <c r="AI5" s="6" t="s">
        <v>74</v>
      </c>
      <c r="AJ5" s="6" t="s">
        <v>75</v>
      </c>
      <c r="AK5" s="6"/>
      <c r="AL5" s="91"/>
    </row>
    <row r="6" spans="1:39" ht="13" x14ac:dyDescent="0.25">
      <c r="A6" s="7">
        <f>IF(M1&gt;=1,1,0)</f>
        <v>1</v>
      </c>
      <c r="B6" s="77">
        <f>IFERROR(VLOOKUP(Vaktplan!$A$61,Vaktplan!$A$4:$CL$35,87-AH59,FALSE),0)</f>
        <v>0</v>
      </c>
      <c r="C6" s="77">
        <f>IFERROR(VLOOKUP(Vaktplan!$A$61,Vaktplan!$A$4:$CL$35,87-AG59,FALSE),0)</f>
        <v>0</v>
      </c>
      <c r="D6" s="9">
        <f>IFERROR(VLOOKUP(Vaktplan!$A$61,Vaktplan!$A$4:$CL$35,89-AG59,FALSE),0)</f>
        <v>0</v>
      </c>
      <c r="E6" s="9">
        <f>IF(AND(B6=0,C6=0),0,IF(B6&lt;C6,((C6-B6)*24)-D6,(((1-B6)+C6)*24)-D6))</f>
        <v>0</v>
      </c>
      <c r="F6" s="9">
        <f>IF(AND(C6=0,G6=0),24,IF(C6=0,12+(G6*24),IF(C6&lt;G6,((G6-C6)*24),IF(G6=0,(1-C6+0.5)*24,((1-C6)+G6)*24))))</f>
        <v>24</v>
      </c>
      <c r="G6" s="77">
        <f>IFERROR(VLOOKUP(Vaktplan!$A$61,Vaktplan!$B$4:$CL$35,86-AH59,FALSE),0)</f>
        <v>0</v>
      </c>
      <c r="H6" s="77">
        <f>IFERROR(VLOOKUP(Vaktplan!$A$61,Vaktplan!$B$4:$CL$35,86-AG59,FALSE),0)</f>
        <v>0</v>
      </c>
      <c r="I6" s="9">
        <f>IFERROR(VLOOKUP(Vaktplan!$A$61,Vaktplan!$B$4:$CL$35,89-$AH59,FALSE),0)</f>
        <v>0</v>
      </c>
      <c r="J6" s="9">
        <f>IF(AND(G6=0,H6=0),0,IF(G6&lt;H6,((H6-G6)*24)-I6,(((1-G6)+H6)*24)-I6))</f>
        <v>0</v>
      </c>
      <c r="K6" s="9">
        <f>IF(AND(H6=0,L6=0),24,IF(H6=0,12+(L6*24),IF(H6&lt;L6,((L6-H6)*24),IF(L6=0,(1-H6+0.5)*24,((1-H6)+L6)*24))))</f>
        <v>24</v>
      </c>
      <c r="L6" s="77">
        <f>IFERROR(VLOOKUP(Vaktplan!$A$61,Vaktplan!$C$4:$CL$35,86-AI59,FALSE),0)</f>
        <v>0</v>
      </c>
      <c r="M6" s="77">
        <f>IFERROR(VLOOKUP(Vaktplan!$A$61,Vaktplan!$C$4:$CL$35,86-AH59,FALSE),0)</f>
        <v>0</v>
      </c>
      <c r="N6" s="9">
        <f>IFERROR(VLOOKUP(Vaktplan!$A$61,Vaktplan!$C$4:$CL$35,89-$AI59,FALSE),0)</f>
        <v>0</v>
      </c>
      <c r="O6" s="9">
        <f>IF(AND(L6=0,M6=0),0,IF(L6&lt;M6,((M6-L6)*24)-N6,(((1-L6)+M6)*24)-N6))</f>
        <v>0</v>
      </c>
      <c r="P6" s="9">
        <f>IF(AND(M6=0,Q6=0),24,IF(M6=0,12+(Q6*24),IF(M6&lt;Q6,((Q6-M6)*24),IF(Q6=0,(1-M6+0.5)*24,((1-M6)+Q6)*24))))</f>
        <v>24</v>
      </c>
      <c r="Q6" s="77">
        <f>IFERROR(VLOOKUP(Vaktplan!$A$61,Vaktplan!$D$4:$CL$35,86-AJ59,FALSE),0)</f>
        <v>0</v>
      </c>
      <c r="R6" s="77">
        <f>IFERROR(VLOOKUP(Vaktplan!$A$61,Vaktplan!$D$4:$CL$35,86-AI59,FALSE),0)</f>
        <v>0</v>
      </c>
      <c r="S6" s="9">
        <f>IFERROR(VLOOKUP(Vaktplan!$A$61,Vaktplan!$D$4:$CL$35,89-$AJ59,FALSE),0)</f>
        <v>0</v>
      </c>
      <c r="T6" s="9">
        <f t="shared" ref="T6:T17" si="0">IF(AND(Q6=0,R6=0),0,IF(Q6&lt;R6,((R6-Q6)*24)-S6,(((1-Q6)+R6)*24)-S6))</f>
        <v>0</v>
      </c>
      <c r="U6" s="9">
        <f>IF(AND(R6=0,V6=0),24,IF(R6=0,12+(V6*24),IF(R6&lt;V6,((V6-R6)*24),IF(V6=0,(1-R6+0.5)*24,((1-R6)+V6)*24))))</f>
        <v>24</v>
      </c>
      <c r="V6" s="77">
        <f>IFERROR(VLOOKUP(Vaktplan!$A$61,Vaktplan!$E$4:$CL$35,86-AK59,FALSE),0)</f>
        <v>0</v>
      </c>
      <c r="W6" s="77">
        <f>IFERROR(VLOOKUP(Vaktplan!$A$61,Vaktplan!$E$4:$CL$35,86-AJ59,FALSE),0)</f>
        <v>0</v>
      </c>
      <c r="X6" s="9">
        <f>IFERROR(VLOOKUP(Vaktplan!$A$61,Vaktplan!$E$4:$CL$35,89-$AK59,FALSE),0)</f>
        <v>0</v>
      </c>
      <c r="Y6" s="9">
        <f>IF(AND(V6=0,W6=0),0,IF(V6&lt;W6,((W6-V6)*24)-X6,(((1-V6)+W6)*24)-X6))</f>
        <v>0</v>
      </c>
      <c r="Z6" s="9">
        <f>IF(AND(W6=0,AA6=0),24,IF(W6=0,12+(AA6*24),IF(W6&lt;AA6,((AA6-W6)*24),IF(AA6=0,(1-W6+0.5)*24,((1-W6)+AA6)*24))))</f>
        <v>24</v>
      </c>
      <c r="AA6" s="77">
        <f>IFERROR(VLOOKUP(Vaktplan!$A$61,Vaktplan!$F$4:$CL$35,86-AL59,FALSE),0)</f>
        <v>0</v>
      </c>
      <c r="AB6" s="77">
        <f>IFERROR(VLOOKUP(Vaktplan!$A$61,Vaktplan!$F$4:$CL$35,86-AK59,FALSE),0)</f>
        <v>0</v>
      </c>
      <c r="AC6" s="9">
        <f>IFERROR(VLOOKUP(Vaktplan!$A$61,Vaktplan!$F$4:$CL$35,89-$AL59,FALSE),0)</f>
        <v>0</v>
      </c>
      <c r="AD6" s="9">
        <f>IF(AND(AA6=0,AB6=0),0,IF(AA6&lt;AB6,((AB6-AA6)*24)-AC6,(((1-AA6)+AB6)*24)-AC6))</f>
        <v>0</v>
      </c>
      <c r="AE6" s="9">
        <f>IF(AND(AB6=0,AF6=0),24,IF(AB6=0,12+(AF6*24),IF(AB6&lt;AF6,((AF6-AB6)*24),IF(AF6=0,(1-AB6+0.5)*24,((1-AB6)+AF6)*24))))</f>
        <v>24</v>
      </c>
      <c r="AF6" s="77">
        <f>IFERROR(VLOOKUP(Vaktplan!$A$61,Vaktplan!$G$4:$CL$35,86-AM59,FALSE),0)</f>
        <v>0</v>
      </c>
      <c r="AG6" s="77">
        <f>IFERROR(VLOOKUP(Vaktplan!$A$61,Vaktplan!$G$4:$CL$35,86-AL59,FALSE),0)</f>
        <v>0</v>
      </c>
      <c r="AH6" s="9">
        <f>IFERROR(VLOOKUP(Vaktplan!$A$61,Vaktplan!$G$4:$CL$35,89-$AM59,FALSE),0)</f>
        <v>0</v>
      </c>
      <c r="AI6" s="9">
        <f>IF(AND(AF6=0,AG6=0),0,IF(AF6&lt;AG6,((AG6-AF6)*24)-AH6,(((1-AF6)+AG6)*24)-AH6))</f>
        <v>0</v>
      </c>
      <c r="AJ6" s="9">
        <f>IF($M$1=AL28,IF(AND(AG6=0,B6=0),24,IF(AG6=0,12+($B$6*24),IF(AG6&lt;$B$6,(($B$6-AG6)*24),IF($B$6=0,(1-AG6+1)*24,((1-AG6)+$B$6)*24)))),IF(AND(AG6=0,B7=0),24,IF(AG6=0,12+(B7*24),IF(AG6&lt;B7,((B7-AG6)*24),IF(B7=0,(1-AG6+1)*24,((1-AG6)+B7)*24)))))</f>
        <v>24</v>
      </c>
      <c r="AK6" s="9">
        <f t="shared" ref="AK6:AK17" si="1">E6+J6+O6+T6+Y6+AD6+AI6</f>
        <v>0</v>
      </c>
      <c r="AL6" s="92">
        <f>AJ6</f>
        <v>24</v>
      </c>
      <c r="AM6" s="10">
        <f>AK6</f>
        <v>0</v>
      </c>
    </row>
    <row r="7" spans="1:39" ht="13" x14ac:dyDescent="0.25">
      <c r="A7" s="7">
        <f>IF($M$1&gt;=2,2,0)</f>
        <v>2</v>
      </c>
      <c r="B7" s="77">
        <f>IFERROR(VLOOKUP(Vaktplan!$A$61,Vaktplan!$H$4:$CL$35,87-AH60,FALSE),0)</f>
        <v>0</v>
      </c>
      <c r="C7" s="77">
        <f>IFERROR(VLOOKUP(Vaktplan!$A$61,Vaktplan!$H$4:$CL$35,87-AG60,FALSE),0)</f>
        <v>0</v>
      </c>
      <c r="D7" s="9">
        <f>IFERROR(VLOOKUP(Vaktplan!$A$61,Vaktplan!$H$4:$CL$35,89-AG60,FALSE),0)</f>
        <v>0</v>
      </c>
      <c r="E7" s="9">
        <f>IF(AND(B7=0,C7=0),0,IF(B7&lt;C7,((C7-B7)*24)-D7,(((1-B7)+C7)*24)-D7))</f>
        <v>0</v>
      </c>
      <c r="F7" s="9">
        <f t="shared" ref="F7:F17" si="2">IF(AND(C7=0,G7=0),24,IF(C7=0,12+(G7*24),IF(C7&lt;G7,((G7-C7)*24),IF(G7=0,(1-C7+0.5)*24,((1-C7)+G7)*24))))</f>
        <v>24</v>
      </c>
      <c r="G7" s="77">
        <f>IFERROR(VLOOKUP(Vaktplan!$A$61,Vaktplan!$I$4:$CL$35,86-AH60,FALSE),0)</f>
        <v>0</v>
      </c>
      <c r="H7" s="77">
        <f>IFERROR(VLOOKUP(Vaktplan!$A$61,Vaktplan!$I$4:$CL$35,86-AG60,FALSE),0)</f>
        <v>0</v>
      </c>
      <c r="I7" s="9">
        <f>IFERROR(VLOOKUP(Vaktplan!$A$61,Vaktplan!$I$4:$CL$35,89-$AH60,FALSE),0)</f>
        <v>0</v>
      </c>
      <c r="J7" s="9">
        <f t="shared" ref="J7:J17" si="3">IF(AND(G7=0,H7=0),0,IF(G7&lt;H7,((H7-G7)*24)-I7,(((1-G7)+H7)*24)-I7))</f>
        <v>0</v>
      </c>
      <c r="K7" s="9">
        <f t="shared" ref="K7:K17" si="4">IF(AND(H7=0,L7=0),24,IF(H7=0,12+(L7*24),IF(H7&lt;L7,((L7-H7)*24),IF(L7=0,(1-H7+0.5)*24,((1-H7)+L7)*24))))</f>
        <v>24</v>
      </c>
      <c r="L7" s="77">
        <f>IFERROR(VLOOKUP(Vaktplan!$A$61,Vaktplan!$J$4:$CL$35,86-AI60,FALSE),0)</f>
        <v>0</v>
      </c>
      <c r="M7" s="77">
        <f>IFERROR(VLOOKUP(Vaktplan!$A$61,Vaktplan!$J$4:$CL$35,86-AH60,FALSE),0)</f>
        <v>0</v>
      </c>
      <c r="N7" s="9">
        <f>IFERROR(VLOOKUP(Vaktplan!$A$61,Vaktplan!$J$4:$CL$35,89-$AI60,FALSE),0)</f>
        <v>0</v>
      </c>
      <c r="O7" s="9">
        <f t="shared" ref="O7:O17" si="5">IF(AND(L7=0,M7=0),0,IF(L7&lt;M7,((M7-L7)*24)-N7,(((1-L7)+M7)*24)-N7))</f>
        <v>0</v>
      </c>
      <c r="P7" s="9">
        <f t="shared" ref="P7:P17" si="6">IF(AND(M7=0,Q7=0),24,IF(M7=0,12+(Q7*24),IF(M7&lt;Q7,((Q7-M7)*24),IF(Q7=0,(1-M7+0.5)*24,((1-M7)+Q7)*24))))</f>
        <v>24</v>
      </c>
      <c r="Q7" s="77">
        <f>IFERROR(VLOOKUP(Vaktplan!$A$61,Vaktplan!$K$4:$CL$35,86-AJ60,FALSE),0)</f>
        <v>0</v>
      </c>
      <c r="R7" s="77">
        <f>IFERROR(VLOOKUP(Vaktplan!$A$61,Vaktplan!$K$4:$CL$35,86-AI60,FALSE),0)</f>
        <v>0</v>
      </c>
      <c r="S7" s="9">
        <f>IFERROR(VLOOKUP(Vaktplan!$A$61,Vaktplan!$K$4:$CL$35,89-$AJ60,FALSE),0)</f>
        <v>0</v>
      </c>
      <c r="T7" s="9">
        <f t="shared" si="0"/>
        <v>0</v>
      </c>
      <c r="U7" s="9">
        <f t="shared" ref="U7:U17" si="7">IF(AND(R7=0,V7=0),24,IF(R7=0,12+(V7*24),IF(R7&lt;V7,((V7-R7)*24),IF(V7=0,(1-R7+0.5)*24,((1-R7)+V7)*24))))</f>
        <v>24</v>
      </c>
      <c r="V7" s="77">
        <f>IFERROR(VLOOKUP(Vaktplan!$A$61,Vaktplan!$L$4:$CL$35,86-AK60,FALSE),0)</f>
        <v>0</v>
      </c>
      <c r="W7" s="77">
        <f>IFERROR(VLOOKUP(Vaktplan!$A$61,Vaktplan!$L$4:$CL$35,86-AJ60,FALSE),0)</f>
        <v>0</v>
      </c>
      <c r="X7" s="9">
        <f>IFERROR(VLOOKUP(Vaktplan!$A$61,Vaktplan!$L$4:$CL$35,89-$AK60,FALSE),0)</f>
        <v>0</v>
      </c>
      <c r="Y7" s="9">
        <f t="shared" ref="Y7:Y13" si="8">IF(AND(V7=0,W7=0),0,IF(V7&lt;W7,((W7-V7)*24)-X7,(((1-V7)+W7)*24)-X7))</f>
        <v>0</v>
      </c>
      <c r="Z7" s="9">
        <f t="shared" ref="Z7:Z17" si="9">IF(AND(W7=0,AA7=0),24,IF(W7=0,12+(AA7*24),IF(W7&lt;AA7,((AA7-W7)*24),IF(AA7=0,(1-W7+0.5)*24,((1-W7)+AA7)*24))))</f>
        <v>24</v>
      </c>
      <c r="AA7" s="77">
        <f>IFERROR(VLOOKUP(Vaktplan!$A$61,Vaktplan!$M$4:$CL$35,86-AL60,FALSE),0)</f>
        <v>0</v>
      </c>
      <c r="AB7" s="77">
        <f>IFERROR(VLOOKUP(Vaktplan!$A$61,Vaktplan!$M$4:$CL$35,86-AK60,FALSE),0)</f>
        <v>0</v>
      </c>
      <c r="AC7" s="9">
        <f>IFERROR(VLOOKUP(Vaktplan!$A$61,Vaktplan!$M$4:$CL$35,89-$AL60,FALSE),0)</f>
        <v>0</v>
      </c>
      <c r="AD7" s="9">
        <f t="shared" ref="AD7:AD13" si="10">IF(AND(AA7=0,AB7=0),0,IF(AA7&lt;AB7,((AB7-AA7)*24)-AC7,(((1-AA7)+AB7)*24)-AC7))</f>
        <v>0</v>
      </c>
      <c r="AE7" s="9">
        <f t="shared" ref="AE7:AE17" si="11">IF(AND(AB7=0,AF7=0),24,IF(AB7=0,12+(AF7*24),IF(AB7&lt;AF7,((AF7-AB7)*24),IF(AF7=0,(1-AB7+0.5)*24,((1-AB7)+AF7)*24))))</f>
        <v>24</v>
      </c>
      <c r="AF7" s="77">
        <f>IFERROR(VLOOKUP(Vaktplan!$A$61,Vaktplan!$N$4:$CL$35,86-AM60,FALSE),0)</f>
        <v>0</v>
      </c>
      <c r="AG7" s="77">
        <f>IFERROR(VLOOKUP(Vaktplan!$A$61,Vaktplan!$N$4:$CL$35,86-AL60,FALSE),0)</f>
        <v>0</v>
      </c>
      <c r="AH7" s="9">
        <f>IFERROR(VLOOKUP(Vaktplan!$A$61,Vaktplan!$N$4:$CL$35,89-$AM60,FALSE),0)</f>
        <v>0</v>
      </c>
      <c r="AI7" s="9">
        <f t="shared" ref="AI7:AI13" si="12">IF(AND(AF7=0,AG7=0),0,IF(AF7&lt;AG7,((AG7-AF7)*24)-AH7,(((1-AF7)+AG7)*24)-AH7))</f>
        <v>0</v>
      </c>
      <c r="AJ7" s="9">
        <f t="shared" ref="AJ7:AJ17" si="13">IF($M$1=AL29,IF(AND(AG7=0,B7=0),24,IF(AG7=0,12+($B$6*24),IF(AG7&lt;$B$6,(($B$6-AG7)*24),IF($B$6=0,(1-AG7+1)*24,((1-AG7)+$B$6)*24)))),IF(AND(AG7=0,B8=0),24,IF(AG7=0,12+(B8*24),IF(AG7&lt;B8,((B8-AG7)*24),IF(B8=0,(1-AG7+1)*24,((1-AG7)+B8)*24)))))</f>
        <v>24</v>
      </c>
      <c r="AK7" s="9">
        <f t="shared" si="1"/>
        <v>0</v>
      </c>
      <c r="AL7" s="92">
        <f t="shared" ref="AL7:AL13" si="14">AJ7</f>
        <v>24</v>
      </c>
      <c r="AM7" s="10">
        <f t="shared" ref="AM7:AM13" si="15">AK7</f>
        <v>0</v>
      </c>
    </row>
    <row r="8" spans="1:39" ht="13" x14ac:dyDescent="0.25">
      <c r="A8" s="7">
        <f>IF($M$1&gt;=3,3,0)</f>
        <v>3</v>
      </c>
      <c r="B8" s="77">
        <f>IFERROR(VLOOKUP(Vaktplan!$A$61,Vaktplan!$O$4:$CL$35,87-AH61,FALSE),0)</f>
        <v>0</v>
      </c>
      <c r="C8" s="77">
        <f>IFERROR(VLOOKUP(Vaktplan!$A$61,Vaktplan!$O$4:$CL$35,87-AG61,FALSE),0)</f>
        <v>0</v>
      </c>
      <c r="D8" s="9">
        <f>IFERROR(VLOOKUP(Vaktplan!$A$61,Vaktplan!$O$4:$CL$35,89-AG61,FALSE),0)</f>
        <v>0</v>
      </c>
      <c r="E8" s="9">
        <f t="shared" ref="E8:E17" si="16">IF(AND(B8=0,C8=0),0,IF(B8&lt;C8,((C8-B8)*24)-D8,(((1-B8)+C8)*24)-D8))</f>
        <v>0</v>
      </c>
      <c r="F8" s="9">
        <f t="shared" si="2"/>
        <v>24</v>
      </c>
      <c r="G8" s="77">
        <f>IFERROR(VLOOKUP(Vaktplan!$A$61,Vaktplan!$P$4:$CL$35,86-AH61,FALSE),0)</f>
        <v>0</v>
      </c>
      <c r="H8" s="77">
        <f>IFERROR(VLOOKUP(Vaktplan!$A$61,Vaktplan!$P$4:$CL$35,86-AG61,FALSE),0)</f>
        <v>0</v>
      </c>
      <c r="I8" s="9">
        <f>IFERROR(VLOOKUP(Vaktplan!$A$61,Vaktplan!$P$4:$CL$35,89-$AH61,FALSE),0)</f>
        <v>0</v>
      </c>
      <c r="J8" s="9">
        <f>IF(AND(G8=0,H8=0),0,IF(G8&lt;H8,((H8-G8)*24)-I8,(((1-G8)+H8)*24)-I8))</f>
        <v>0</v>
      </c>
      <c r="K8" s="9">
        <f t="shared" si="4"/>
        <v>24</v>
      </c>
      <c r="L8" s="77">
        <f>IFERROR(VLOOKUP(Vaktplan!$A$61,Vaktplan!$Q$4:$CL$35,86-AI61,FALSE),0)</f>
        <v>0</v>
      </c>
      <c r="M8" s="77">
        <f>IFERROR(VLOOKUP(Vaktplan!$A$61,Vaktplan!$Q$4:$CL$35,86-AH61,FALSE),0)</f>
        <v>0</v>
      </c>
      <c r="N8" s="9">
        <f>IFERROR(VLOOKUP(Vaktplan!$A$61,Vaktplan!$Q$4:$CL$35,89-$AI61,FALSE),0)</f>
        <v>0</v>
      </c>
      <c r="O8" s="9">
        <f t="shared" si="5"/>
        <v>0</v>
      </c>
      <c r="P8" s="9">
        <f t="shared" si="6"/>
        <v>24</v>
      </c>
      <c r="Q8" s="77">
        <f>IFERROR(VLOOKUP(Vaktplan!$A$61,Vaktplan!$R$4:$CL$35,86-AJ61,FALSE),0)</f>
        <v>0</v>
      </c>
      <c r="R8" s="77">
        <f>IFERROR(VLOOKUP(Vaktplan!$A$61,Vaktplan!$R$4:$CL$35,86-AI61,FALSE),0)</f>
        <v>0</v>
      </c>
      <c r="S8" s="9">
        <f>IFERROR(VLOOKUP(Vaktplan!$A$61,Vaktplan!$R$4:$CL$35,89-$AJ61,FALSE),0)</f>
        <v>0</v>
      </c>
      <c r="T8" s="9">
        <f t="shared" si="0"/>
        <v>0</v>
      </c>
      <c r="U8" s="9">
        <f t="shared" si="7"/>
        <v>24</v>
      </c>
      <c r="V8" s="77">
        <f>IFERROR(VLOOKUP(Vaktplan!$A$61,Vaktplan!$S$4:$CL$35,86-AK61,FALSE),0)</f>
        <v>0</v>
      </c>
      <c r="W8" s="77">
        <f>IFERROR(VLOOKUP(Vaktplan!$A$61,Vaktplan!$S$4:$CL$35,86-AJ61,FALSE),0)</f>
        <v>0</v>
      </c>
      <c r="X8" s="9">
        <f>IFERROR(VLOOKUP(Vaktplan!$A$61,Vaktplan!$S$4:$CL$35,89-$AK61,FALSE),0)</f>
        <v>0</v>
      </c>
      <c r="Y8" s="9">
        <f t="shared" si="8"/>
        <v>0</v>
      </c>
      <c r="Z8" s="9">
        <f t="shared" si="9"/>
        <v>24</v>
      </c>
      <c r="AA8" s="77">
        <f>IFERROR(VLOOKUP(Vaktplan!$A$61,Vaktplan!$T$4:$CL$35,86-AL61,FALSE),0)</f>
        <v>0</v>
      </c>
      <c r="AB8" s="77">
        <f>IFERROR(VLOOKUP(Vaktplan!$A$61,Vaktplan!$T$4:$CL$35,86-AK61,FALSE),0)</f>
        <v>0</v>
      </c>
      <c r="AC8" s="9">
        <f>IFERROR(VLOOKUP(Vaktplan!$A$61,Vaktplan!$T$4:$CL$35,89-$AL61,FALSE),0)</f>
        <v>0</v>
      </c>
      <c r="AD8" s="9">
        <f t="shared" si="10"/>
        <v>0</v>
      </c>
      <c r="AE8" s="9">
        <f t="shared" si="11"/>
        <v>24</v>
      </c>
      <c r="AF8" s="77">
        <f>IFERROR(VLOOKUP(Vaktplan!$A$61,Vaktplan!$U$4:$CL$35,86-AM61,FALSE),0)</f>
        <v>0</v>
      </c>
      <c r="AG8" s="77">
        <f>IFERROR(VLOOKUP(Vaktplan!$A$61,Vaktplan!$U$4:$CL$35,86-AL61,FALSE),0)</f>
        <v>0</v>
      </c>
      <c r="AH8" s="9">
        <f>IFERROR(VLOOKUP(Vaktplan!$A$61,Vaktplan!$U$4:$CL$35,89-$AM61,FALSE),0)</f>
        <v>0</v>
      </c>
      <c r="AI8" s="9">
        <f t="shared" si="12"/>
        <v>0</v>
      </c>
      <c r="AJ8" s="9">
        <f t="shared" si="13"/>
        <v>24</v>
      </c>
      <c r="AK8" s="9">
        <f t="shared" si="1"/>
        <v>0</v>
      </c>
      <c r="AL8" s="92">
        <f t="shared" si="14"/>
        <v>24</v>
      </c>
      <c r="AM8" s="10">
        <f t="shared" si="15"/>
        <v>0</v>
      </c>
    </row>
    <row r="9" spans="1:39" ht="13" x14ac:dyDescent="0.25">
      <c r="A9" s="7">
        <f>IF($M$1&gt;=4,4,0)</f>
        <v>4</v>
      </c>
      <c r="B9" s="77">
        <f>IFERROR(VLOOKUP(Vaktplan!$A$61,Vaktplan!$V$4:$CL$35,87-AH62,FALSE),0)</f>
        <v>0</v>
      </c>
      <c r="C9" s="77">
        <f>IFERROR(VLOOKUP(Vaktplan!$A$61,Vaktplan!$V$4:$CL$35,87-AG62,FALSE),0)</f>
        <v>0</v>
      </c>
      <c r="D9" s="9">
        <f>IFERROR(VLOOKUP(Vaktplan!$A$61,Vaktplan!$V$4:$CL$35,89-AG62,FALSE),0)</f>
        <v>0</v>
      </c>
      <c r="E9" s="9">
        <f t="shared" si="16"/>
        <v>0</v>
      </c>
      <c r="F9" s="9">
        <f t="shared" si="2"/>
        <v>24</v>
      </c>
      <c r="G9" s="77">
        <f>IFERROR(VLOOKUP(Vaktplan!$A$61,Vaktplan!$W$4:$CL$35,86-AH62,FALSE),0)</f>
        <v>0</v>
      </c>
      <c r="H9" s="77">
        <f>IFERROR(VLOOKUP(Vaktplan!$A$61,Vaktplan!$W$4:$CL$35,86-AG62,FALSE),0)</f>
        <v>0</v>
      </c>
      <c r="I9" s="9">
        <f>IFERROR(VLOOKUP(Vaktplan!$A$61,Vaktplan!$W$4:$CL$35,89-$AH62,FALSE),0)</f>
        <v>0</v>
      </c>
      <c r="J9" s="9">
        <f t="shared" si="3"/>
        <v>0</v>
      </c>
      <c r="K9" s="9">
        <f t="shared" si="4"/>
        <v>24</v>
      </c>
      <c r="L9" s="77">
        <f>IFERROR(VLOOKUP(Vaktplan!$A$61,Vaktplan!$X$4:$CL$35,86-AI62,FALSE),0)</f>
        <v>0</v>
      </c>
      <c r="M9" s="77">
        <f>IFERROR(VLOOKUP(Vaktplan!$A$61,Vaktplan!$X$4:$CL$35,86-AH62,FALSE),0)</f>
        <v>0</v>
      </c>
      <c r="N9" s="9">
        <f>IFERROR(VLOOKUP(Vaktplan!$A$61,Vaktplan!$X$4:$CL$35,89-$AI62,FALSE),0)</f>
        <v>0</v>
      </c>
      <c r="O9" s="9">
        <f t="shared" si="5"/>
        <v>0</v>
      </c>
      <c r="P9" s="9">
        <f t="shared" si="6"/>
        <v>24</v>
      </c>
      <c r="Q9" s="77">
        <f>IFERROR(VLOOKUP(Vaktplan!$A$61,Vaktplan!$Y$4:$CL$35,86-AJ62,FALSE),0)</f>
        <v>0</v>
      </c>
      <c r="R9" s="77">
        <f>IFERROR(VLOOKUP(Vaktplan!$A$61,Vaktplan!$Y$4:$CL$35,86-AI62,FALSE),0)</f>
        <v>0</v>
      </c>
      <c r="S9" s="9">
        <f>IFERROR(VLOOKUP(Vaktplan!$A$61,Vaktplan!$Y$4:$CL$35,89-$AJ62,FALSE),0)</f>
        <v>0</v>
      </c>
      <c r="T9" s="9">
        <f t="shared" si="0"/>
        <v>0</v>
      </c>
      <c r="U9" s="9">
        <f t="shared" si="7"/>
        <v>24</v>
      </c>
      <c r="V9" s="77">
        <f>IFERROR(VLOOKUP(Vaktplan!$A$61,Vaktplan!$Z$4:$CL$35,86-AK62,FALSE),0)</f>
        <v>0</v>
      </c>
      <c r="W9" s="77">
        <f>IFERROR(VLOOKUP(Vaktplan!$A$61,Vaktplan!$Z$4:$CL$35,86-AJ62,FALSE),0)</f>
        <v>0</v>
      </c>
      <c r="X9" s="9">
        <f>IFERROR(VLOOKUP(Vaktplan!$A$61,Vaktplan!$Z$4:$CL$35,89-$AK62,FALSE),0)</f>
        <v>0</v>
      </c>
      <c r="Y9" s="9">
        <f t="shared" si="8"/>
        <v>0</v>
      </c>
      <c r="Z9" s="9">
        <f t="shared" si="9"/>
        <v>24</v>
      </c>
      <c r="AA9" s="77">
        <f>IFERROR(VLOOKUP(Vaktplan!$A$61,Vaktplan!$AA$4:$CL$35,86-AL62,FALSE),0)</f>
        <v>0</v>
      </c>
      <c r="AB9" s="77">
        <f>IFERROR(VLOOKUP(Vaktplan!$A$61,Vaktplan!$AA$4:$CL$35,86-AK62,FALSE),0)</f>
        <v>0</v>
      </c>
      <c r="AC9" s="9">
        <f>IFERROR(VLOOKUP(Vaktplan!$A$61,Vaktplan!$AA$4:$CL$35,89-$AL62,FALSE),0)</f>
        <v>0</v>
      </c>
      <c r="AD9" s="9">
        <f t="shared" si="10"/>
        <v>0</v>
      </c>
      <c r="AE9" s="9">
        <f t="shared" si="11"/>
        <v>24</v>
      </c>
      <c r="AF9" s="77">
        <f>IFERROR(VLOOKUP(Vaktplan!$A$61,Vaktplan!$AB$4:$CL$35,86-AM62,FALSE),0)</f>
        <v>0</v>
      </c>
      <c r="AG9" s="77">
        <f>IFERROR(VLOOKUP(Vaktplan!$A$61,Vaktplan!$AB$4:$CL$35,86-AL62,FALSE),0)</f>
        <v>0</v>
      </c>
      <c r="AH9" s="9">
        <f>IFERROR(VLOOKUP(Vaktplan!$A$61,Vaktplan!$AB$4:$CL$35,89-$AM62,FALSE),0)</f>
        <v>0</v>
      </c>
      <c r="AI9" s="9">
        <f t="shared" si="12"/>
        <v>0</v>
      </c>
      <c r="AJ9" s="9">
        <f t="shared" si="13"/>
        <v>24</v>
      </c>
      <c r="AK9" s="9">
        <f t="shared" si="1"/>
        <v>0</v>
      </c>
      <c r="AL9" s="92">
        <f t="shared" si="14"/>
        <v>24</v>
      </c>
      <c r="AM9" s="10">
        <f t="shared" si="15"/>
        <v>0</v>
      </c>
    </row>
    <row r="10" spans="1:39" ht="13" x14ac:dyDescent="0.25">
      <c r="A10" s="7">
        <f>IF($M$1&gt;=5,5,0)</f>
        <v>5</v>
      </c>
      <c r="B10" s="77">
        <f>IFERROR(VLOOKUP(Vaktplan!$A$61,Vaktplan!$AC$4:$CL$35,87-AH63,FALSE),0)</f>
        <v>0</v>
      </c>
      <c r="C10" s="77">
        <f>IFERROR(VLOOKUP(Vaktplan!$A$61,Vaktplan!$AC$4:$CL$35,87-AG63,FALSE),0)</f>
        <v>0</v>
      </c>
      <c r="D10" s="9">
        <f>IFERROR(VLOOKUP(Vaktplan!$A$61,Vaktplan!$AC$4:$CL$35,89-AG63,FALSE),0)</f>
        <v>0</v>
      </c>
      <c r="E10" s="9">
        <f t="shared" si="16"/>
        <v>0</v>
      </c>
      <c r="F10" s="9">
        <f t="shared" si="2"/>
        <v>24</v>
      </c>
      <c r="G10" s="77">
        <f>IFERROR(VLOOKUP(Vaktplan!$A$61,Vaktplan!$AD$4:$CL$35,86-AH63,FALSE),0)</f>
        <v>0</v>
      </c>
      <c r="H10" s="77">
        <f>IFERROR(VLOOKUP(Vaktplan!$A$61,Vaktplan!$AD$4:$CL$35,86-AG63,FALSE),0)</f>
        <v>0</v>
      </c>
      <c r="I10" s="9">
        <f>IFERROR(VLOOKUP(Vaktplan!$A$61,Vaktplan!$AD$4:$CL$35,89-$AH63,FALSE),0)</f>
        <v>0</v>
      </c>
      <c r="J10" s="9">
        <f t="shared" si="3"/>
        <v>0</v>
      </c>
      <c r="K10" s="9">
        <f t="shared" si="4"/>
        <v>24</v>
      </c>
      <c r="L10" s="77">
        <f>IFERROR(VLOOKUP(Vaktplan!$A$61,Vaktplan!$AE$4:$CL$35,86-AI63,FALSE),0)</f>
        <v>0</v>
      </c>
      <c r="M10" s="77">
        <f>IFERROR(VLOOKUP(Vaktplan!$A$61,Vaktplan!$AE$4:$CL$35,86-AH63,FALSE),0)</f>
        <v>0</v>
      </c>
      <c r="N10" s="9">
        <f>IFERROR(VLOOKUP(Vaktplan!$A$61,Vaktplan!$AE$4:$CL$35,89-$AI63,FALSE),0)</f>
        <v>0</v>
      </c>
      <c r="O10" s="9">
        <f t="shared" si="5"/>
        <v>0</v>
      </c>
      <c r="P10" s="9">
        <f t="shared" si="6"/>
        <v>24</v>
      </c>
      <c r="Q10" s="77">
        <f>IFERROR(VLOOKUP(Vaktplan!$A$61,Vaktplan!$AF$4:$CL$35,86-AJ63,FALSE),0)</f>
        <v>0</v>
      </c>
      <c r="R10" s="77">
        <f>IFERROR(VLOOKUP(Vaktplan!$A$61,Vaktplan!$AF$4:$CL$35,86-AI63,FALSE),0)</f>
        <v>0</v>
      </c>
      <c r="S10" s="9">
        <f>IFERROR(VLOOKUP(Vaktplan!$A$61,Vaktplan!$AF$4:$CL$35,89-$AJ63,FALSE),0)</f>
        <v>0</v>
      </c>
      <c r="T10" s="9">
        <f t="shared" si="0"/>
        <v>0</v>
      </c>
      <c r="U10" s="9">
        <f t="shared" si="7"/>
        <v>24</v>
      </c>
      <c r="V10" s="77">
        <f>IFERROR(VLOOKUP(Vaktplan!$A$61,Vaktplan!$AG$4:$CL$35,86-AK63,FALSE),0)</f>
        <v>0</v>
      </c>
      <c r="W10" s="77">
        <f>IFERROR(VLOOKUP(Vaktplan!$A$61,Vaktplan!$AG$4:$CL$35,86-AJ63,FALSE),0)</f>
        <v>0</v>
      </c>
      <c r="X10" s="9">
        <f>IFERROR(VLOOKUP(Vaktplan!$A$61,Vaktplan!$AG$4:$CL$35,89-$AK63,FALSE),0)</f>
        <v>0</v>
      </c>
      <c r="Y10" s="9">
        <f t="shared" si="8"/>
        <v>0</v>
      </c>
      <c r="Z10" s="9">
        <f t="shared" si="9"/>
        <v>24</v>
      </c>
      <c r="AA10" s="77">
        <f>IFERROR(VLOOKUP(Vaktplan!$A$61,Vaktplan!$AH$4:$CL$35,86-AL63,FALSE),0)</f>
        <v>0</v>
      </c>
      <c r="AB10" s="77">
        <f>IFERROR(VLOOKUP(Vaktplan!$A$61,Vaktplan!$AH$4:$CL$35,86-AK63,FALSE),0)</f>
        <v>0</v>
      </c>
      <c r="AC10" s="9">
        <f>IFERROR(VLOOKUP(Vaktplan!$A$61,Vaktplan!$AH$4:$CL$35,89-$AL63,FALSE),0)</f>
        <v>0</v>
      </c>
      <c r="AD10" s="9">
        <f t="shared" si="10"/>
        <v>0</v>
      </c>
      <c r="AE10" s="9">
        <f t="shared" si="11"/>
        <v>24</v>
      </c>
      <c r="AF10" s="77">
        <f>IFERROR(VLOOKUP(Vaktplan!$A$61,Vaktplan!$AI$4:$CL$35,86-AM63,FALSE),0)</f>
        <v>0</v>
      </c>
      <c r="AG10" s="77">
        <f>IFERROR(VLOOKUP(Vaktplan!$A$61,Vaktplan!$AI$4:$CL$35,86-AL63,FALSE),0)</f>
        <v>0</v>
      </c>
      <c r="AH10" s="9">
        <f>IFERROR(VLOOKUP(Vaktplan!$A$61,Vaktplan!$AI$4:$CL$35,89-$AM63,FALSE),0)</f>
        <v>0</v>
      </c>
      <c r="AI10" s="9">
        <f t="shared" si="12"/>
        <v>0</v>
      </c>
      <c r="AJ10" s="9">
        <f t="shared" si="13"/>
        <v>24</v>
      </c>
      <c r="AK10" s="9">
        <f t="shared" si="1"/>
        <v>0</v>
      </c>
      <c r="AL10" s="92">
        <f t="shared" si="14"/>
        <v>24</v>
      </c>
      <c r="AM10" s="10">
        <f t="shared" si="15"/>
        <v>0</v>
      </c>
    </row>
    <row r="11" spans="1:39" ht="13" x14ac:dyDescent="0.25">
      <c r="A11" s="7">
        <f>IF($M$1&gt;=6,6,0)</f>
        <v>6</v>
      </c>
      <c r="B11" s="77">
        <f>IFERROR(VLOOKUP(Vaktplan!$A$61,Vaktplan!$AJ$4:$CL$35,87-AH64,FALSE),0)</f>
        <v>0</v>
      </c>
      <c r="C11" s="77">
        <f>IFERROR(VLOOKUP(Vaktplan!$A$61,Vaktplan!$AJ$4:$CL$35,87-AG64,FALSE),0)</f>
        <v>0</v>
      </c>
      <c r="D11" s="9">
        <f>IFERROR(VLOOKUP(Vaktplan!$A$61,Vaktplan!$AJ$4:$CL$35,89-AG64,FALSE),0)</f>
        <v>0</v>
      </c>
      <c r="E11" s="9">
        <f t="shared" si="16"/>
        <v>0</v>
      </c>
      <c r="F11" s="9">
        <f t="shared" si="2"/>
        <v>24</v>
      </c>
      <c r="G11" s="77">
        <f>IFERROR(VLOOKUP(Vaktplan!$A$61,Vaktplan!$AK$4:$CL$35,86-AH64,FALSE),0)</f>
        <v>0</v>
      </c>
      <c r="H11" s="77">
        <f>IFERROR(VLOOKUP(Vaktplan!$A$61,Vaktplan!$AK$4:$CL$35,86-AG64,FALSE),0)</f>
        <v>0</v>
      </c>
      <c r="I11" s="9">
        <f>IFERROR(VLOOKUP(Vaktplan!$A$61,Vaktplan!$AK$4:$CL$35,89-$AH64,FALSE),0)</f>
        <v>0</v>
      </c>
      <c r="J11" s="9">
        <f t="shared" si="3"/>
        <v>0</v>
      </c>
      <c r="K11" s="9">
        <f t="shared" si="4"/>
        <v>24</v>
      </c>
      <c r="L11" s="77">
        <f>IFERROR(VLOOKUP(Vaktplan!$A$61,Vaktplan!$AL$4:$CL$35,86-AI64,FALSE),0)</f>
        <v>0</v>
      </c>
      <c r="M11" s="77">
        <f>IFERROR(VLOOKUP(Vaktplan!$A$61,Vaktplan!$AL$4:$CL$35,86-AH64,FALSE),0)</f>
        <v>0</v>
      </c>
      <c r="N11" s="9">
        <f>IFERROR(VLOOKUP(Vaktplan!$A$61,Vaktplan!$AL$4:$CL$35,89-$AI64,FALSE),0)</f>
        <v>0</v>
      </c>
      <c r="O11" s="9">
        <f t="shared" si="5"/>
        <v>0</v>
      </c>
      <c r="P11" s="9">
        <f t="shared" si="6"/>
        <v>24</v>
      </c>
      <c r="Q11" s="77">
        <f>IFERROR(VLOOKUP(Vaktplan!$A$61,Vaktplan!$AM$4:$CL$35,86-AJ64,FALSE),0)</f>
        <v>0</v>
      </c>
      <c r="R11" s="77">
        <f>IFERROR(VLOOKUP(Vaktplan!$A$61,Vaktplan!$AM$4:$CL$35,86-AI64,FALSE),0)</f>
        <v>0</v>
      </c>
      <c r="S11" s="9">
        <f>IFERROR(VLOOKUP(Vaktplan!$A$61,Vaktplan!$AM$4:$CL$35,89-$AJ64,FALSE),0)</f>
        <v>0</v>
      </c>
      <c r="T11" s="9">
        <f t="shared" si="0"/>
        <v>0</v>
      </c>
      <c r="U11" s="9">
        <f t="shared" si="7"/>
        <v>24</v>
      </c>
      <c r="V11" s="77">
        <f>IFERROR(VLOOKUP(Vaktplan!$A$61,Vaktplan!$AN$4:$CL$35,86-AK64,FALSE),0)</f>
        <v>0</v>
      </c>
      <c r="W11" s="77">
        <f>IFERROR(VLOOKUP(Vaktplan!$A$61,Vaktplan!$AN$4:$CL$35,86-AJ64,FALSE),0)</f>
        <v>0</v>
      </c>
      <c r="X11" s="9">
        <f>IFERROR(VLOOKUP(Vaktplan!$A$61,Vaktplan!$AN$4:$CL$35,89-$AK64,FALSE),0)</f>
        <v>0</v>
      </c>
      <c r="Y11" s="9">
        <f t="shared" si="8"/>
        <v>0</v>
      </c>
      <c r="Z11" s="9">
        <f t="shared" si="9"/>
        <v>24</v>
      </c>
      <c r="AA11" s="77">
        <f>IFERROR(VLOOKUP(Vaktplan!$A$61,Vaktplan!$AO$4:$CL$35,86-AL64,FALSE),0)</f>
        <v>0</v>
      </c>
      <c r="AB11" s="77">
        <f>IFERROR(VLOOKUP(Vaktplan!$A$61,Vaktplan!$AO$4:$CL$35,86-AK64,FALSE),0)</f>
        <v>0</v>
      </c>
      <c r="AC11" s="9">
        <f>IFERROR(VLOOKUP(Vaktplan!$A$61,Vaktplan!$AO$4:$CL$35,89-$AL64,FALSE),0)</f>
        <v>0</v>
      </c>
      <c r="AD11" s="9">
        <f t="shared" si="10"/>
        <v>0</v>
      </c>
      <c r="AE11" s="9">
        <f t="shared" si="11"/>
        <v>24</v>
      </c>
      <c r="AF11" s="77">
        <f>IFERROR(VLOOKUP(Vaktplan!$A$61,Vaktplan!$AP$4:$CL$35,86-AM64,FALSE),0)</f>
        <v>0</v>
      </c>
      <c r="AG11" s="77">
        <f>IFERROR(VLOOKUP(Vaktplan!$A$61,Vaktplan!$AP$4:$CL$35,86-AL64,FALSE),0)</f>
        <v>0</v>
      </c>
      <c r="AH11" s="9">
        <f>IFERROR(VLOOKUP(Vaktplan!$A$61,Vaktplan!$AP$4:$CL$35,89-$AM64,FALSE),0)</f>
        <v>0</v>
      </c>
      <c r="AI11" s="9">
        <f t="shared" si="12"/>
        <v>0</v>
      </c>
      <c r="AJ11" s="9">
        <f t="shared" si="13"/>
        <v>24</v>
      </c>
      <c r="AK11" s="9">
        <f t="shared" si="1"/>
        <v>0</v>
      </c>
      <c r="AL11" s="92">
        <f t="shared" si="14"/>
        <v>24</v>
      </c>
      <c r="AM11" s="10">
        <f t="shared" si="15"/>
        <v>0</v>
      </c>
    </row>
    <row r="12" spans="1:39" ht="13" x14ac:dyDescent="0.25">
      <c r="A12" s="7">
        <f>IF($M$1&gt;=7,7,0)</f>
        <v>7</v>
      </c>
      <c r="B12" s="77">
        <f>IFERROR(VLOOKUP(Vaktplan!$A$61,Vaktplan!$AQ$4:$CL$35,87-AH65,FALSE),0)</f>
        <v>0</v>
      </c>
      <c r="C12" s="77">
        <f>IFERROR(VLOOKUP(Vaktplan!$A$61,Vaktplan!$AQ$4:$CL$35,87-AG65,FALSE),0)</f>
        <v>0</v>
      </c>
      <c r="D12" s="9">
        <f>IFERROR(VLOOKUP(Vaktplan!$A$61,Vaktplan!$AQ$4:$CL$35,89-AG65,FALSE),0)</f>
        <v>0</v>
      </c>
      <c r="E12" s="9">
        <f t="shared" si="16"/>
        <v>0</v>
      </c>
      <c r="F12" s="9">
        <f t="shared" si="2"/>
        <v>24</v>
      </c>
      <c r="G12" s="77">
        <f>IFERROR(VLOOKUP(Vaktplan!$A$61,Vaktplan!$AR$4:$CL$35,86-AH65,FALSE),0)</f>
        <v>0</v>
      </c>
      <c r="H12" s="77">
        <f>IFERROR(VLOOKUP(Vaktplan!$A$61,Vaktplan!$AR$4:$CL$35,86-AG65,FALSE),0)</f>
        <v>0</v>
      </c>
      <c r="I12" s="9">
        <f>IFERROR(VLOOKUP(Vaktplan!$A$61,Vaktplan!$AR$4:$CL$35,89-$AH65,FALSE),0)</f>
        <v>0</v>
      </c>
      <c r="J12" s="9">
        <f t="shared" si="3"/>
        <v>0</v>
      </c>
      <c r="K12" s="9">
        <f t="shared" si="4"/>
        <v>24</v>
      </c>
      <c r="L12" s="77">
        <f>IFERROR(VLOOKUP(Vaktplan!$A$61,Vaktplan!$AS$4:$CL$35,86-AI65,FALSE),0)</f>
        <v>0</v>
      </c>
      <c r="M12" s="77">
        <f>IFERROR(VLOOKUP(Vaktplan!$A$61,Vaktplan!$AS$4:$CL$35,86-AH65,FALSE),0)</f>
        <v>0</v>
      </c>
      <c r="N12" s="9">
        <f>IFERROR(VLOOKUP(Vaktplan!$A$61,Vaktplan!$AS$4:$CL$35,89-$AI65,FALSE),0)</f>
        <v>0</v>
      </c>
      <c r="O12" s="9">
        <f t="shared" si="5"/>
        <v>0</v>
      </c>
      <c r="P12" s="9">
        <f t="shared" si="6"/>
        <v>24</v>
      </c>
      <c r="Q12" s="77">
        <f>IFERROR(VLOOKUP(Vaktplan!$A$61,Vaktplan!$AT$4:$CL$35,86-AJ65,FALSE),0)</f>
        <v>0</v>
      </c>
      <c r="R12" s="77">
        <f>IFERROR(VLOOKUP(Vaktplan!$A$61,Vaktplan!$AT$4:$CL$35,86-AI65,FALSE),0)</f>
        <v>0</v>
      </c>
      <c r="S12" s="9">
        <f>IFERROR(VLOOKUP(Vaktplan!$A$61,Vaktplan!$AT$4:$CL$35,89-$AJ65,FALSE),0)</f>
        <v>0</v>
      </c>
      <c r="T12" s="9">
        <f t="shared" si="0"/>
        <v>0</v>
      </c>
      <c r="U12" s="9">
        <f t="shared" si="7"/>
        <v>24</v>
      </c>
      <c r="V12" s="77">
        <f>IFERROR(VLOOKUP(Vaktplan!$A$61,Vaktplan!$AU$4:$CL$35,86-AK65,FALSE),0)</f>
        <v>0</v>
      </c>
      <c r="W12" s="77">
        <f>IFERROR(VLOOKUP(Vaktplan!$A$61,Vaktplan!$AU$4:$CL$35,86-AJ65,FALSE),0)</f>
        <v>0</v>
      </c>
      <c r="X12" s="9">
        <f>IFERROR(VLOOKUP(Vaktplan!$A$61,Vaktplan!$AU$4:$CL$35,89-$AK65,FALSE),0)</f>
        <v>0</v>
      </c>
      <c r="Y12" s="9">
        <f t="shared" si="8"/>
        <v>0</v>
      </c>
      <c r="Z12" s="9">
        <f t="shared" si="9"/>
        <v>24</v>
      </c>
      <c r="AA12" s="77">
        <f>IFERROR(VLOOKUP(Vaktplan!$A$61,Vaktplan!$AV$4:$CL$35,86-AL65,FALSE),0)</f>
        <v>0</v>
      </c>
      <c r="AB12" s="77">
        <f>IFERROR(VLOOKUP(Vaktplan!$A$61,Vaktplan!$AV$4:$CL$35,86-AK65,FALSE),0)</f>
        <v>0</v>
      </c>
      <c r="AC12" s="9">
        <f>IFERROR(VLOOKUP(Vaktplan!$A$61,Vaktplan!$AV$4:$CL$35,89-$AL65,FALSE),0)</f>
        <v>0</v>
      </c>
      <c r="AD12" s="9">
        <f t="shared" si="10"/>
        <v>0</v>
      </c>
      <c r="AE12" s="9">
        <f t="shared" si="11"/>
        <v>24</v>
      </c>
      <c r="AF12" s="77">
        <f>IFERROR(VLOOKUP(Vaktplan!$A$61,Vaktplan!$AW$4:$CL$35,86-AM65,FALSE),0)</f>
        <v>0</v>
      </c>
      <c r="AG12" s="77">
        <f>IFERROR(VLOOKUP(Vaktplan!$A$61,Vaktplan!$AW$4:$CL$35,86-AL65,FALSE),0)</f>
        <v>0</v>
      </c>
      <c r="AH12" s="9">
        <f>IFERROR(VLOOKUP(Vaktplan!$A$61,Vaktplan!$AW$4:$CL$35,89-$AM65,FALSE),0)</f>
        <v>0</v>
      </c>
      <c r="AI12" s="9">
        <f t="shared" si="12"/>
        <v>0</v>
      </c>
      <c r="AJ12" s="9">
        <f t="shared" si="13"/>
        <v>24</v>
      </c>
      <c r="AK12" s="9">
        <f t="shared" si="1"/>
        <v>0</v>
      </c>
      <c r="AL12" s="92">
        <f t="shared" si="14"/>
        <v>24</v>
      </c>
      <c r="AM12" s="10">
        <f t="shared" si="15"/>
        <v>0</v>
      </c>
    </row>
    <row r="13" spans="1:39" ht="13" x14ac:dyDescent="0.25">
      <c r="A13" s="7">
        <f>IF($M$1&gt;=8,8,0)</f>
        <v>8</v>
      </c>
      <c r="B13" s="77">
        <f>IFERROR(VLOOKUP(Vaktplan!$A$61,Vaktplan!$AX$4:$CL$35,87-AH66,FALSE),0)</f>
        <v>0</v>
      </c>
      <c r="C13" s="77">
        <f>IFERROR(VLOOKUP(Vaktplan!$A$61,Vaktplan!$AX$4:$CL$35,87-AG66,FALSE),0)</f>
        <v>0</v>
      </c>
      <c r="D13" s="9">
        <f>IFERROR(VLOOKUP(Vaktplan!$A$61,Vaktplan!$AX$4:$CL$35,89-AG66,FALSE),0)</f>
        <v>0</v>
      </c>
      <c r="E13" s="9">
        <f t="shared" si="16"/>
        <v>0</v>
      </c>
      <c r="F13" s="9">
        <f t="shared" si="2"/>
        <v>24</v>
      </c>
      <c r="G13" s="77">
        <f>IFERROR(VLOOKUP(Vaktplan!$A$61,Vaktplan!$AY$4:$CL$35,86-AH66,FALSE),0)</f>
        <v>0</v>
      </c>
      <c r="H13" s="77">
        <f>IFERROR(VLOOKUP(Vaktplan!$A$61,Vaktplan!$AY$4:$CL$35,86-AG66,FALSE),0)</f>
        <v>0</v>
      </c>
      <c r="I13" s="9">
        <f>IFERROR(VLOOKUP(Vaktplan!$A$61,Vaktplan!$AY$4:$CL$35,89-$AH66,FALSE),0)</f>
        <v>0</v>
      </c>
      <c r="J13" s="9">
        <f t="shared" si="3"/>
        <v>0</v>
      </c>
      <c r="K13" s="9">
        <f t="shared" si="4"/>
        <v>24</v>
      </c>
      <c r="L13" s="77">
        <f>IFERROR(VLOOKUP(Vaktplan!$A$61,Vaktplan!$AZ$4:$CL$35,86-AI66,FALSE),0)</f>
        <v>0</v>
      </c>
      <c r="M13" s="77">
        <f>IFERROR(VLOOKUP(Vaktplan!$A$61,Vaktplan!$AZ$4:$CL$35,86-AH66,FALSE),0)</f>
        <v>0</v>
      </c>
      <c r="N13" s="9">
        <f>IFERROR(VLOOKUP(Vaktplan!$A$61,Vaktplan!$AZ$4:$CL$35,89-$AI66,FALSE),0)</f>
        <v>0</v>
      </c>
      <c r="O13" s="9">
        <f t="shared" si="5"/>
        <v>0</v>
      </c>
      <c r="P13" s="9">
        <f t="shared" si="6"/>
        <v>24</v>
      </c>
      <c r="Q13" s="77">
        <f>IFERROR(VLOOKUP(Vaktplan!$A$61,Vaktplan!$BA$4:$CL$35,86-AJ66,FALSE),0)</f>
        <v>0</v>
      </c>
      <c r="R13" s="77">
        <f>IFERROR(VLOOKUP(Vaktplan!$A$61,Vaktplan!$BA$4:$CL$35,86-AI66,FALSE),0)</f>
        <v>0</v>
      </c>
      <c r="S13" s="9">
        <f>IFERROR(VLOOKUP(Vaktplan!$A$61,Vaktplan!$BA$4:$CL$35,89-$AJ66,FALSE),0)</f>
        <v>0</v>
      </c>
      <c r="T13" s="9">
        <f t="shared" si="0"/>
        <v>0</v>
      </c>
      <c r="U13" s="9">
        <f t="shared" si="7"/>
        <v>24</v>
      </c>
      <c r="V13" s="77">
        <f>IFERROR(VLOOKUP(Vaktplan!$A$61,Vaktplan!$BB$4:$CL$35,86-AK66,FALSE),0)</f>
        <v>0</v>
      </c>
      <c r="W13" s="77">
        <f>IFERROR(VLOOKUP(Vaktplan!$A$61,Vaktplan!$BB$4:$CL$35,86-AJ66,FALSE),0)</f>
        <v>0</v>
      </c>
      <c r="X13" s="9">
        <f>IFERROR(VLOOKUP(Vaktplan!$A$61,Vaktplan!$BB$4:$CL$35,89-$AK66,FALSE),0)</f>
        <v>0</v>
      </c>
      <c r="Y13" s="9">
        <f t="shared" si="8"/>
        <v>0</v>
      </c>
      <c r="Z13" s="9">
        <f t="shared" si="9"/>
        <v>24</v>
      </c>
      <c r="AA13" s="77">
        <f>IFERROR(VLOOKUP(Vaktplan!$A$61,Vaktplan!$BC$4:$CL$35,86-AL66,FALSE),0)</f>
        <v>0</v>
      </c>
      <c r="AB13" s="77">
        <f>IFERROR(VLOOKUP(Vaktplan!$A$61,Vaktplan!$BC$4:$CL$35,86-AK66,FALSE),0)</f>
        <v>0</v>
      </c>
      <c r="AC13" s="9">
        <f>IFERROR(VLOOKUP(Vaktplan!$A$61,Vaktplan!$BC$4:$CL$35,89-$AL66,FALSE),0)</f>
        <v>0</v>
      </c>
      <c r="AD13" s="9">
        <f t="shared" si="10"/>
        <v>0</v>
      </c>
      <c r="AE13" s="9">
        <f t="shared" si="11"/>
        <v>24</v>
      </c>
      <c r="AF13" s="77">
        <f>IFERROR(VLOOKUP(Vaktplan!$A$61,Vaktplan!$BD$4:$CL$35,86-AM66,FALSE),0)</f>
        <v>0</v>
      </c>
      <c r="AG13" s="77">
        <f>IFERROR(VLOOKUP(Vaktplan!$A$61,Vaktplan!$BD$4:$CL$35,86-AL66,FALSE),0)</f>
        <v>0</v>
      </c>
      <c r="AH13" s="9">
        <f>IFERROR(VLOOKUP(Vaktplan!$A$61,Vaktplan!$BD$4:$CL$35,89-$AM66,FALSE),0)</f>
        <v>0</v>
      </c>
      <c r="AI13" s="9">
        <f t="shared" si="12"/>
        <v>0</v>
      </c>
      <c r="AJ13" s="9">
        <f t="shared" si="13"/>
        <v>24</v>
      </c>
      <c r="AK13" s="9">
        <f t="shared" si="1"/>
        <v>0</v>
      </c>
      <c r="AL13" s="92">
        <f t="shared" si="14"/>
        <v>24</v>
      </c>
      <c r="AM13" s="10">
        <f t="shared" si="15"/>
        <v>0</v>
      </c>
    </row>
    <row r="14" spans="1:39" ht="13" x14ac:dyDescent="0.25">
      <c r="A14" s="7">
        <v>9</v>
      </c>
      <c r="B14" s="77">
        <f>IFERROR(VLOOKUP(Vaktplan!$A$61,Vaktplan!$BE$4:$CL$35,87-AH67,FALSE),0)</f>
        <v>0</v>
      </c>
      <c r="C14" s="77">
        <f>IFERROR(VLOOKUP(Vaktplan!$A$61,Vaktplan!$BE$4:$CL$35,87-AG67,FALSE),0)</f>
        <v>0</v>
      </c>
      <c r="D14" s="9">
        <f>IFERROR(VLOOKUP(Vaktplan!$A$61,Vaktplan!$BE$4:$CL$35,89-AG67,FALSE),0)</f>
        <v>0</v>
      </c>
      <c r="E14" s="9">
        <f t="shared" si="16"/>
        <v>0</v>
      </c>
      <c r="F14" s="9">
        <f t="shared" si="2"/>
        <v>24</v>
      </c>
      <c r="G14" s="77">
        <f>IFERROR(VLOOKUP(Vaktplan!$A$61,Vaktplan!$BF$4:$CL$35,86-AH67,FALSE),0)</f>
        <v>0</v>
      </c>
      <c r="H14" s="77">
        <f>IFERROR(VLOOKUP(Vaktplan!$A$61,Vaktplan!$BF$4:$CL$35,86-AG67,FALSE),0)</f>
        <v>0</v>
      </c>
      <c r="I14" s="9">
        <f>IFERROR(VLOOKUP(Vaktplan!$A$61,Vaktplan!$BF$4:$CL$35,89-$AH67,FALSE),0)</f>
        <v>0</v>
      </c>
      <c r="J14" s="9">
        <f t="shared" si="3"/>
        <v>0</v>
      </c>
      <c r="K14" s="9">
        <f t="shared" si="4"/>
        <v>24</v>
      </c>
      <c r="L14" s="77">
        <f>IFERROR(VLOOKUP(Vaktplan!$A$61,Vaktplan!$BG$4:$CL$35,86-AI67,FALSE),0)</f>
        <v>0</v>
      </c>
      <c r="M14" s="77">
        <f>IFERROR(VLOOKUP(Vaktplan!$A$61,Vaktplan!$BG$4:$CL$35,86-AH67,FALSE),0)</f>
        <v>0</v>
      </c>
      <c r="N14" s="9">
        <f>IFERROR(VLOOKUP(Vaktplan!$A$61,Vaktplan!$BG$4:$CL$35,89-$AI67,FALSE),0)</f>
        <v>0</v>
      </c>
      <c r="O14" s="9">
        <f t="shared" si="5"/>
        <v>0</v>
      </c>
      <c r="P14" s="9">
        <f t="shared" si="6"/>
        <v>24</v>
      </c>
      <c r="Q14" s="77">
        <f>IFERROR(VLOOKUP(Vaktplan!$A$61,Vaktplan!$BH$4:$CL$35,86-AJ67,FALSE),0)</f>
        <v>0</v>
      </c>
      <c r="R14" s="77">
        <f>IFERROR(VLOOKUP(Vaktplan!$A$61,Vaktplan!$BH$4:$CL$35,86-AI67,FALSE),0)</f>
        <v>0</v>
      </c>
      <c r="S14" s="9">
        <f>IFERROR(VLOOKUP(Vaktplan!$A$61,Vaktplan!$BH$4:$CL$35,89-$AJ67,FALSE),0)</f>
        <v>0</v>
      </c>
      <c r="T14" s="9">
        <f t="shared" si="0"/>
        <v>0</v>
      </c>
      <c r="U14" s="9">
        <f t="shared" si="7"/>
        <v>24</v>
      </c>
      <c r="V14" s="77">
        <f>IFERROR(VLOOKUP(Vaktplan!$A$61,Vaktplan!$BI$4:$CL$35,86-AK67,FALSE),0)</f>
        <v>0</v>
      </c>
      <c r="W14" s="77">
        <f>IFERROR(VLOOKUP(Vaktplan!$A$61,Vaktplan!$BI$4:$CL$35,86-AJ67,FALSE),0)</f>
        <v>0</v>
      </c>
      <c r="X14" s="9">
        <f>IFERROR(VLOOKUP(Vaktplan!$A$61,Vaktplan!$BI$4:$CL$35,89-$AK67,FALSE),0)</f>
        <v>0</v>
      </c>
      <c r="Y14" s="9">
        <f>IF(AND(V14=0,W14=0),0,IF(V14&lt;W14,((W14-V14)*24)-X14,(((1-V14)+W14)*24)-X14))</f>
        <v>0</v>
      </c>
      <c r="Z14" s="9">
        <f t="shared" si="9"/>
        <v>24</v>
      </c>
      <c r="AA14" s="77">
        <f>IFERROR(VLOOKUP(Vaktplan!$A$61,Vaktplan!$BJ$4:$CL$35,86-AL67,FALSE),0)</f>
        <v>0</v>
      </c>
      <c r="AB14" s="77">
        <f>IFERROR(VLOOKUP(Vaktplan!$A$61,Vaktplan!$BJ$4:$CL$35,86-AK67,FALSE),0)</f>
        <v>0</v>
      </c>
      <c r="AC14" s="9">
        <f>IFERROR(VLOOKUP(Vaktplan!$A$61,Vaktplan!$BJ$4:$CL$35,89-$AL67,FALSE),0)</f>
        <v>0</v>
      </c>
      <c r="AD14" s="9">
        <f>IF(AND(AA14=0,AB14=0),0,IF(AA14&lt;AB14,((AB14-AA14)*24)-AC14,(((1-AA14)+AB14)*24)-AC14))</f>
        <v>0</v>
      </c>
      <c r="AE14" s="9">
        <f t="shared" si="11"/>
        <v>24</v>
      </c>
      <c r="AF14" s="77">
        <f>IFERROR(VLOOKUP(Vaktplan!$A$61,Vaktplan!$BK$4:$CL$35,86-AM67,FALSE),0)</f>
        <v>0</v>
      </c>
      <c r="AG14" s="77">
        <f>IFERROR(VLOOKUP(Vaktplan!$A$61,Vaktplan!$BK$4:$CL$35,86-AL67,FALSE),0)</f>
        <v>0</v>
      </c>
      <c r="AH14" s="9">
        <f>IFERROR(VLOOKUP(Vaktplan!$A$61,Vaktplan!$BK$4:$CL$35,89-$AM67,FALSE),0)</f>
        <v>0</v>
      </c>
      <c r="AI14" s="9">
        <f>IF(AND(AF14=0,AG14=0),0,IF(AF14&lt;AG14,((AG14-AF14)*24)-AH14,(((1-AF14)+AG14)*24)-AH14))</f>
        <v>0</v>
      </c>
      <c r="AJ14" s="9">
        <f t="shared" si="13"/>
        <v>24</v>
      </c>
      <c r="AK14" s="9">
        <f t="shared" si="1"/>
        <v>0</v>
      </c>
      <c r="AL14" s="92"/>
      <c r="AM14" s="10"/>
    </row>
    <row r="15" spans="1:39" ht="13" x14ac:dyDescent="0.25">
      <c r="A15" s="7">
        <v>10</v>
      </c>
      <c r="B15" s="77">
        <f>IFERROR(VLOOKUP(Vaktplan!$A$61,Vaktplan!$BL$4:$CL$35,87-AH68,FALSE),0)</f>
        <v>0</v>
      </c>
      <c r="C15" s="77">
        <f>IFERROR(VLOOKUP(Vaktplan!$A$61,Vaktplan!$BL$4:$CL$35,87-AG68,FALSE),0)</f>
        <v>0</v>
      </c>
      <c r="D15" s="9">
        <f>IFERROR(VLOOKUP(Vaktplan!$A$61,Vaktplan!$BL$4:$CL$35,89-AG68,FALSE),0)</f>
        <v>0</v>
      </c>
      <c r="E15" s="9">
        <f t="shared" si="16"/>
        <v>0</v>
      </c>
      <c r="F15" s="9">
        <f t="shared" si="2"/>
        <v>24</v>
      </c>
      <c r="G15" s="77">
        <f>IFERROR(VLOOKUP(Vaktplan!$A$61,Vaktplan!$BM$4:$CL$35,86-AH68,FALSE),0)</f>
        <v>0</v>
      </c>
      <c r="H15" s="77">
        <f>IFERROR(VLOOKUP(Vaktplan!$A$61,Vaktplan!$BM$4:$CL$35,86-AG68,FALSE),0)</f>
        <v>0</v>
      </c>
      <c r="I15" s="9">
        <f>IFERROR(VLOOKUP(Vaktplan!$A$61,Vaktplan!$BM$4:$CL$35,89-$AH68,FALSE),0)</f>
        <v>0</v>
      </c>
      <c r="J15" s="9">
        <f t="shared" si="3"/>
        <v>0</v>
      </c>
      <c r="K15" s="9">
        <f t="shared" si="4"/>
        <v>24</v>
      </c>
      <c r="L15" s="77">
        <f>IFERROR(VLOOKUP(Vaktplan!$A$61,Vaktplan!$BN$4:$CL$35,86-AI68,FALSE),0)</f>
        <v>0</v>
      </c>
      <c r="M15" s="77">
        <f>IFERROR(VLOOKUP(Vaktplan!$A$61,Vaktplan!$BN$4:$CL$35,86-AH68,FALSE),0)</f>
        <v>0</v>
      </c>
      <c r="N15" s="9">
        <f>IFERROR(VLOOKUP(Vaktplan!$A$61,Vaktplan!$BN$4:$CL$35,89-$AI68,FALSE),0)</f>
        <v>0</v>
      </c>
      <c r="O15" s="9">
        <f t="shared" si="5"/>
        <v>0</v>
      </c>
      <c r="P15" s="9">
        <f t="shared" si="6"/>
        <v>24</v>
      </c>
      <c r="Q15" s="77">
        <f>IFERROR(VLOOKUP(Vaktplan!$A$61,Vaktplan!$BO$4:$CL$35,86-AJ68,FALSE),0)</f>
        <v>0</v>
      </c>
      <c r="R15" s="77">
        <f>IFERROR(VLOOKUP(Vaktplan!$A$61,Vaktplan!$BO$4:$CL$35,86-AI68,FALSE),0)</f>
        <v>0</v>
      </c>
      <c r="S15" s="9">
        <f>IFERROR(VLOOKUP(Vaktplan!$A$61,Vaktplan!$BO$4:$CL$35,89-$AJ68,FALSE),0)</f>
        <v>0</v>
      </c>
      <c r="T15" s="9">
        <f t="shared" si="0"/>
        <v>0</v>
      </c>
      <c r="U15" s="9">
        <f t="shared" si="7"/>
        <v>24</v>
      </c>
      <c r="V15" s="77">
        <f>IFERROR(VLOOKUP(Vaktplan!$A$61,Vaktplan!$BP$4:$CL$35,86-AK68,FALSE),0)</f>
        <v>0</v>
      </c>
      <c r="W15" s="77">
        <f>IFERROR(VLOOKUP(Vaktplan!$A$61,Vaktplan!$BP$4:$CL$35,86-AJ68,FALSE),0)</f>
        <v>0</v>
      </c>
      <c r="X15" s="9">
        <f>IFERROR(VLOOKUP(Vaktplan!$A$61,Vaktplan!$BP$4:$CL$35,89-$AK68,FALSE),0)</f>
        <v>0</v>
      </c>
      <c r="Y15" s="9">
        <f>IF(AND(V15=0,W15=0),0,IF(V15&lt;W15,((W15-V15)*24)-X15,(((1-V15)+W15)*24)-X15))</f>
        <v>0</v>
      </c>
      <c r="Z15" s="9">
        <f t="shared" si="9"/>
        <v>24</v>
      </c>
      <c r="AA15" s="77">
        <f>IFERROR(VLOOKUP(Vaktplan!$A$61,Vaktplan!$BQ$4:$CL$35,86-AL68,FALSE),0)</f>
        <v>0</v>
      </c>
      <c r="AB15" s="77">
        <f>IFERROR(VLOOKUP(Vaktplan!$A$61,Vaktplan!$BQ$4:$CL$35,86-AK68,FALSE),0)</f>
        <v>0</v>
      </c>
      <c r="AC15" s="9">
        <f>IFERROR(VLOOKUP(Vaktplan!$A$61,Vaktplan!$BQ$4:$CL$35,89-$AL68,FALSE),0)</f>
        <v>0</v>
      </c>
      <c r="AD15" s="9">
        <f>IF(AND(AA15=0,AB15=0),0,IF(AA15&lt;AB15,((AB15-AA15)*24)-AC15,(((1-AA15)+AB15)*24)-AC15))</f>
        <v>0</v>
      </c>
      <c r="AE15" s="9">
        <f t="shared" si="11"/>
        <v>24</v>
      </c>
      <c r="AF15" s="77">
        <f>IFERROR(VLOOKUP(Vaktplan!$A$61,Vaktplan!$BR$4:$CL$35,86-AM68,FALSE),0)</f>
        <v>0</v>
      </c>
      <c r="AG15" s="77">
        <f>IFERROR(VLOOKUP(Vaktplan!$A$61,Vaktplan!$BR$4:$CL$35,86-AL68,FALSE),0)</f>
        <v>0</v>
      </c>
      <c r="AH15" s="9">
        <f>IFERROR(VLOOKUP(Vaktplan!$A$61,Vaktplan!$BR$4:$CL$35,89-$AM68,FALSE),0)</f>
        <v>0</v>
      </c>
      <c r="AI15" s="9">
        <f>IF(AND(AF15=0,AG15=0),0,IF(AF15&lt;AG15,((AG15-AF15)*24)-AH15,(((1-AF15)+AG15)*24)-AH15))</f>
        <v>0</v>
      </c>
      <c r="AJ15" s="9">
        <f t="shared" si="13"/>
        <v>24</v>
      </c>
      <c r="AK15" s="9">
        <f t="shared" si="1"/>
        <v>0</v>
      </c>
      <c r="AL15" s="92"/>
      <c r="AM15" s="10"/>
    </row>
    <row r="16" spans="1:39" ht="13" x14ac:dyDescent="0.25">
      <c r="A16" s="7">
        <v>11</v>
      </c>
      <c r="B16" s="77">
        <f>IFERROR(VLOOKUP(Vaktplan!$A$61,Vaktplan!$BS$4:$CL$35,87-AH69,FALSE),0)</f>
        <v>0</v>
      </c>
      <c r="C16" s="77">
        <f>IFERROR(VLOOKUP(Vaktplan!$A$61,Vaktplan!$BS$4:$CL$35,87-AG69,FALSE),0)</f>
        <v>0</v>
      </c>
      <c r="D16" s="9">
        <f>IFERROR(VLOOKUP(Vaktplan!$A$61,Vaktplan!$BS$4:$CL$35,89-AG69,FALSE),0)</f>
        <v>0</v>
      </c>
      <c r="E16" s="9">
        <f t="shared" si="16"/>
        <v>0</v>
      </c>
      <c r="F16" s="9">
        <f t="shared" si="2"/>
        <v>24</v>
      </c>
      <c r="G16" s="77">
        <f>IFERROR(VLOOKUP(Vaktplan!$A$61,Vaktplan!$BT$4:$CL$35,86-AH69,FALSE),0)</f>
        <v>0</v>
      </c>
      <c r="H16" s="77">
        <f>IFERROR(VLOOKUP(Vaktplan!$A$61,Vaktplan!$BT$4:$CL$35,86-AG69,FALSE),0)</f>
        <v>0</v>
      </c>
      <c r="I16" s="9">
        <f>IFERROR(VLOOKUP(Vaktplan!$A$61,Vaktplan!$BT$4:$CL$35,89-$AH69,FALSE),0)</f>
        <v>0</v>
      </c>
      <c r="J16" s="9">
        <f t="shared" si="3"/>
        <v>0</v>
      </c>
      <c r="K16" s="9">
        <f t="shared" si="4"/>
        <v>24</v>
      </c>
      <c r="L16" s="77">
        <f>IFERROR(VLOOKUP(Vaktplan!$A$61,Vaktplan!$BU$4:$CL$35,86-AI69,FALSE),0)</f>
        <v>0</v>
      </c>
      <c r="M16" s="77">
        <f>IFERROR(VLOOKUP(Vaktplan!$A$61,Vaktplan!$BU$4:$CL$35,86-AH69,FALSE),0)</f>
        <v>0</v>
      </c>
      <c r="N16" s="9">
        <f>IFERROR(VLOOKUP(Vaktplan!$A$61,Vaktplan!$BU$4:$CL$35,89-$AI69,FALSE),0)</f>
        <v>0</v>
      </c>
      <c r="O16" s="9">
        <f t="shared" si="5"/>
        <v>0</v>
      </c>
      <c r="P16" s="9">
        <f t="shared" si="6"/>
        <v>24</v>
      </c>
      <c r="Q16" s="77">
        <f>IFERROR(VLOOKUP(Vaktplan!$A$61,Vaktplan!$BV$4:$CL$35,86-AJ69,FALSE),0)</f>
        <v>0</v>
      </c>
      <c r="R16" s="77">
        <f>IFERROR(VLOOKUP(Vaktplan!$A$61,Vaktplan!$BV$4:$CL$35,86-AI69,FALSE),0)</f>
        <v>0</v>
      </c>
      <c r="S16" s="9">
        <f>IFERROR(VLOOKUP(Vaktplan!$A$61,Vaktplan!$BV$4:$CL$35,89-$AJ69,FALSE),0)</f>
        <v>0</v>
      </c>
      <c r="T16" s="9">
        <f t="shared" si="0"/>
        <v>0</v>
      </c>
      <c r="U16" s="9">
        <f t="shared" si="7"/>
        <v>24</v>
      </c>
      <c r="V16" s="77">
        <f>IFERROR(VLOOKUP(Vaktplan!$A$61,Vaktplan!$BW$4:$CL$35,86-AK69,FALSE),0)</f>
        <v>0</v>
      </c>
      <c r="W16" s="77">
        <f>IFERROR(VLOOKUP(Vaktplan!$A$61,Vaktplan!$BW$4:$CL$35,86-AJ69,FALSE),0)</f>
        <v>0</v>
      </c>
      <c r="X16" s="9">
        <f>IFERROR(VLOOKUP(Vaktplan!$A$61,Vaktplan!$BW$4:$CL$35,89-$AK69,FALSE),0)</f>
        <v>0</v>
      </c>
      <c r="Y16" s="9">
        <f>IF(AND(V16=0,W16=0),0,IF(V16&lt;W16,((W16-V16)*24)-X16,(((1-V16)+W16)*24)-X16))</f>
        <v>0</v>
      </c>
      <c r="Z16" s="9">
        <f t="shared" si="9"/>
        <v>24</v>
      </c>
      <c r="AA16" s="77">
        <f>IFERROR(VLOOKUP(Vaktplan!$A$61,Vaktplan!$BX$4:$CL$35,86-AL69,FALSE),0)</f>
        <v>0</v>
      </c>
      <c r="AB16" s="77">
        <f>IFERROR(VLOOKUP(Vaktplan!$A$61,Vaktplan!$BX$4:$CL$35,86-AK69,FALSE),0)</f>
        <v>0</v>
      </c>
      <c r="AC16" s="9">
        <f>IFERROR(VLOOKUP(Vaktplan!$A$61,Vaktplan!$BX$4:$CL$35,89-$AL69,FALSE),0)</f>
        <v>0</v>
      </c>
      <c r="AD16" s="9">
        <f>IF(AND(AA16=0,AB16=0),0,IF(AA16&lt;AB16,((AB16-AA16)*24)-AC16,(((1-AA16)+AB16)*24)-AC16))</f>
        <v>0</v>
      </c>
      <c r="AE16" s="9">
        <f t="shared" si="11"/>
        <v>24</v>
      </c>
      <c r="AF16" s="77">
        <f>IFERROR(VLOOKUP(Vaktplan!$A$61,Vaktplan!$BY$4:$CL$35,86-AM69,FALSE),0)</f>
        <v>0</v>
      </c>
      <c r="AG16" s="77">
        <f>IFERROR(VLOOKUP(Vaktplan!$A$61,Vaktplan!$BY$4:$CL$35,86-AL69,FALSE),0)</f>
        <v>0</v>
      </c>
      <c r="AH16" s="9">
        <f>IFERROR(VLOOKUP(Vaktplan!$A$61,Vaktplan!$BY$4:$CL$35,89-$AM69,FALSE),0)</f>
        <v>0</v>
      </c>
      <c r="AI16" s="9">
        <f>IF(AND(AF16=0,AG16=0),0,IF(AF16&lt;AG16,((AG16-AF16)*24)-AH16,(((1-AF16)+AG16)*24)-AH16))</f>
        <v>0</v>
      </c>
      <c r="AJ16" s="9">
        <f t="shared" si="13"/>
        <v>24</v>
      </c>
      <c r="AK16" s="9">
        <f t="shared" si="1"/>
        <v>0</v>
      </c>
      <c r="AL16" s="92"/>
      <c r="AM16" s="10"/>
    </row>
    <row r="17" spans="1:43" ht="13" x14ac:dyDescent="0.25">
      <c r="A17" s="7">
        <v>12</v>
      </c>
      <c r="B17" s="77">
        <f>IFERROR(VLOOKUP(Vaktplan!$A$61,Vaktplan!$BZ$4:$CL$35,87-AH70,FALSE),0)</f>
        <v>0</v>
      </c>
      <c r="C17" s="77">
        <f>IFERROR(VLOOKUP(Vaktplan!$A$61,Vaktplan!$BZ$4:$CL$35,87-AG70,FALSE),0)</f>
        <v>0</v>
      </c>
      <c r="D17" s="9">
        <f>IFERROR(VLOOKUP(Vaktplan!$A$61,Vaktplan!$BZ$4:$CL$35,89-AG70,FALSE),0)</f>
        <v>0</v>
      </c>
      <c r="E17" s="9">
        <f t="shared" si="16"/>
        <v>0</v>
      </c>
      <c r="F17" s="9">
        <f t="shared" si="2"/>
        <v>24</v>
      </c>
      <c r="G17" s="77">
        <f>IFERROR(VLOOKUP(Vaktplan!$A$61,Vaktplan!$CA$4:$CL$35,86-AH70,FALSE),0)</f>
        <v>0</v>
      </c>
      <c r="H17" s="77">
        <f>IFERROR(VLOOKUP(Vaktplan!$A$61,Vaktplan!$CA$4:$CL$35,86-AG70,FALSE),0)</f>
        <v>0</v>
      </c>
      <c r="I17" s="9">
        <f>IFERROR(VLOOKUP(Vaktplan!$A$61,Vaktplan!$CA$4:$CL$35,89-$AH70,FALSE),0)</f>
        <v>0</v>
      </c>
      <c r="J17" s="9">
        <f t="shared" si="3"/>
        <v>0</v>
      </c>
      <c r="K17" s="9">
        <f t="shared" si="4"/>
        <v>24</v>
      </c>
      <c r="L17" s="77">
        <f>IFERROR(VLOOKUP(Vaktplan!$A$61,Vaktplan!$CB$4:$CL$35,86-AI70,FALSE),0)</f>
        <v>0</v>
      </c>
      <c r="M17" s="77">
        <f>IFERROR(VLOOKUP(Vaktplan!$A$61,Vaktplan!$CB$4:$CL$35,86-AH70,FALSE),0)</f>
        <v>0</v>
      </c>
      <c r="N17" s="9">
        <f>IFERROR(VLOOKUP(Vaktplan!$A$61,Vaktplan!$CB$4:$CL$35,89-$AI70,FALSE),0)</f>
        <v>0</v>
      </c>
      <c r="O17" s="9">
        <f t="shared" si="5"/>
        <v>0</v>
      </c>
      <c r="P17" s="9">
        <f t="shared" si="6"/>
        <v>24</v>
      </c>
      <c r="Q17" s="77">
        <f>IFERROR(VLOOKUP(Vaktplan!$A$61,Vaktplan!$CC$4:$CL$35,86-AJ70,FALSE),0)</f>
        <v>0</v>
      </c>
      <c r="R17" s="77">
        <f>IFERROR(VLOOKUP(Vaktplan!$A$61,Vaktplan!$CC$4:$CL$35,86-AI70,FALSE),0)</f>
        <v>0</v>
      </c>
      <c r="S17" s="9">
        <f>IFERROR(VLOOKUP(Vaktplan!$A$61,Vaktplan!$CC$4:$CL$35,89-$AJ70,FALSE),0)</f>
        <v>0</v>
      </c>
      <c r="T17" s="9">
        <f t="shared" si="0"/>
        <v>0</v>
      </c>
      <c r="U17" s="9">
        <f t="shared" si="7"/>
        <v>24</v>
      </c>
      <c r="V17" s="77">
        <f>IFERROR(VLOOKUP(Vaktplan!$A$61,Vaktplan!$CD$4:$CL$35,86-AK70,FALSE),0)</f>
        <v>0</v>
      </c>
      <c r="W17" s="77">
        <f>IFERROR(VLOOKUP(Vaktplan!$A$61,Vaktplan!$CD$4:$CL$35,86-AJ70,FALSE),0)</f>
        <v>0</v>
      </c>
      <c r="X17" s="9">
        <f>IFERROR(VLOOKUP(Vaktplan!$A$61,Vaktplan!$CD$4:$CL$35,89-$AK70,FALSE),0)</f>
        <v>0</v>
      </c>
      <c r="Y17" s="9">
        <f>IF(AND(V17=0,W17=0),0,IF(V17&lt;W17,((W17-V17)*24)-X17,(((1-V17)+W17)*24)-X17))</f>
        <v>0</v>
      </c>
      <c r="Z17" s="9">
        <f t="shared" si="9"/>
        <v>24</v>
      </c>
      <c r="AA17" s="77">
        <f>IFERROR(VLOOKUP(Vaktplan!$A$61,Vaktplan!$CE$4:$CL$35,86-AL70,FALSE),0)</f>
        <v>0</v>
      </c>
      <c r="AB17" s="77">
        <f>IFERROR(VLOOKUP(Vaktplan!$A$61,Vaktplan!$CE$4:$CL$35,86-AK70,FALSE),0)</f>
        <v>0</v>
      </c>
      <c r="AC17" s="9">
        <f>IFERROR(VLOOKUP(Vaktplan!$A$61,Vaktplan!$CE$4:$FCE$35,89-$AL70,FALSE),0)</f>
        <v>0</v>
      </c>
      <c r="AD17" s="9">
        <f>IF(AND(AA17=0,AB17=0),0,IF(AA17&lt;AB17,((AB17-AA17)*24)-AC17,(((1-AA17)+AB17)*24)-AC17))</f>
        <v>0</v>
      </c>
      <c r="AE17" s="9">
        <f t="shared" si="11"/>
        <v>24</v>
      </c>
      <c r="AF17" s="77">
        <f>IFERROR(VLOOKUP(Vaktplan!$A$61,Vaktplan!$CF$4:$CL$35,86-AM70,FALSE),0)</f>
        <v>0</v>
      </c>
      <c r="AG17" s="77">
        <f>IFERROR(VLOOKUP(Vaktplan!$A$61,Vaktplan!$CF$4:$CL$35,86-AL70,FALSE),0)</f>
        <v>0</v>
      </c>
      <c r="AH17" s="9">
        <f>IFERROR(VLOOKUP(Vaktplan!$A$61,Vaktplan!$CF$4:$CL$35,89-$AM70,FALSE),0)</f>
        <v>0</v>
      </c>
      <c r="AI17" s="9">
        <f>IF(AND(AF17=0,AG17=0),0,IF(AF17&lt;AG17,((AG17-AF17)*24)-AH17,(((1-AF17)+AG17)*24)-AH17))</f>
        <v>0</v>
      </c>
      <c r="AJ17" s="9">
        <f t="shared" si="13"/>
        <v>24</v>
      </c>
      <c r="AK17" s="9">
        <f t="shared" si="1"/>
        <v>0</v>
      </c>
      <c r="AL17" s="92"/>
      <c r="AM17" s="10"/>
    </row>
    <row r="19" spans="1:43" ht="13" x14ac:dyDescent="0.3">
      <c r="A19" s="4" t="s">
        <v>76</v>
      </c>
    </row>
    <row r="20" spans="1:43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3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3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3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3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6" spans="1:43" ht="13" x14ac:dyDescent="0.3">
      <c r="A26" s="4" t="s">
        <v>77</v>
      </c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</row>
    <row r="27" spans="1:43" ht="13" x14ac:dyDescent="0.3">
      <c r="A27" s="3" t="s">
        <v>78</v>
      </c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80" t="s">
        <v>79</v>
      </c>
      <c r="AM27" s="78"/>
      <c r="AN27" s="78"/>
      <c r="AO27" s="78"/>
    </row>
    <row r="28" spans="1:43" ht="13" x14ac:dyDescent="0.3">
      <c r="A28" s="98" t="s">
        <v>36</v>
      </c>
      <c r="B28" s="98"/>
      <c r="C28" s="98"/>
      <c r="D28" s="88"/>
      <c r="E28" s="8">
        <f>E2</f>
        <v>0</v>
      </c>
      <c r="F28" s="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>
        <v>1</v>
      </c>
      <c r="AM28" s="78"/>
      <c r="AN28" s="78"/>
      <c r="AO28" s="78"/>
    </row>
    <row r="29" spans="1:43" ht="13" x14ac:dyDescent="0.3">
      <c r="A29" s="98" t="s">
        <v>80</v>
      </c>
      <c r="B29" s="98"/>
      <c r="C29" s="98"/>
      <c r="D29" s="88"/>
      <c r="E29" s="5">
        <f>E3</f>
        <v>0</v>
      </c>
      <c r="F29" s="5"/>
      <c r="T29" s="10"/>
      <c r="U29" s="10"/>
      <c r="V29" s="10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80" t="s">
        <v>81</v>
      </c>
      <c r="AH29" s="80"/>
      <c r="AI29" s="78"/>
      <c r="AJ29" s="78"/>
      <c r="AK29" s="78"/>
      <c r="AL29" s="78">
        <v>2</v>
      </c>
      <c r="AM29" s="78"/>
      <c r="AN29" s="78"/>
      <c r="AO29" s="78"/>
      <c r="AP29" s="10"/>
      <c r="AQ29" s="10"/>
    </row>
    <row r="30" spans="1:43" ht="13" x14ac:dyDescent="0.3">
      <c r="A30" s="98" t="s">
        <v>82</v>
      </c>
      <c r="B30" s="98"/>
      <c r="C30" s="98"/>
      <c r="D30" s="88"/>
      <c r="T30" s="10"/>
      <c r="U30" s="10"/>
      <c r="V30" s="10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>
        <v>3</v>
      </c>
      <c r="AM30" s="78"/>
      <c r="AN30" s="78"/>
      <c r="AO30" s="78"/>
      <c r="AP30" s="10"/>
      <c r="AQ30" s="10"/>
    </row>
    <row r="31" spans="1:43" ht="13" x14ac:dyDescent="0.3">
      <c r="A31" s="4" t="s">
        <v>83</v>
      </c>
      <c r="B31" s="4" t="s">
        <v>84</v>
      </c>
      <c r="C31" s="4" t="s">
        <v>85</v>
      </c>
      <c r="D31" s="98" t="s">
        <v>86</v>
      </c>
      <c r="E31" s="98"/>
      <c r="F31" s="4" t="s">
        <v>87</v>
      </c>
      <c r="G31" s="4" t="s">
        <v>88</v>
      </c>
      <c r="H31" s="98" t="s">
        <v>27</v>
      </c>
      <c r="I31" s="98"/>
      <c r="J31" s="4" t="s">
        <v>28</v>
      </c>
      <c r="K31" s="4" t="s">
        <v>29</v>
      </c>
      <c r="L31" s="4" t="s">
        <v>30</v>
      </c>
      <c r="M31" s="4" t="s">
        <v>31</v>
      </c>
      <c r="N31" s="98" t="s">
        <v>32</v>
      </c>
      <c r="O31" s="98"/>
      <c r="T31" s="10"/>
      <c r="U31" s="10"/>
      <c r="V31" s="10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80" t="s">
        <v>9</v>
      </c>
      <c r="AH31" s="80"/>
      <c r="AI31" s="78"/>
      <c r="AJ31" s="78"/>
      <c r="AK31" s="78"/>
      <c r="AL31" s="78">
        <v>4</v>
      </c>
      <c r="AM31" s="78"/>
      <c r="AN31" s="78"/>
      <c r="AO31" s="78"/>
      <c r="AP31" s="10"/>
      <c r="AQ31" s="10"/>
    </row>
    <row r="32" spans="1:43" ht="13" x14ac:dyDescent="0.3">
      <c r="A32" s="3">
        <f>AK6</f>
        <v>0</v>
      </c>
      <c r="B32" s="3">
        <f>AK7</f>
        <v>0</v>
      </c>
      <c r="C32" s="3">
        <f>AK8</f>
        <v>0</v>
      </c>
      <c r="D32" s="101">
        <f>AK9</f>
        <v>0</v>
      </c>
      <c r="E32" s="101"/>
      <c r="F32" s="3">
        <f>AK10</f>
        <v>0</v>
      </c>
      <c r="G32" s="3">
        <f>AK11</f>
        <v>0</v>
      </c>
      <c r="H32" s="101">
        <f>AK12</f>
        <v>0</v>
      </c>
      <c r="I32" s="101"/>
      <c r="J32" s="3">
        <f>AK13</f>
        <v>0</v>
      </c>
      <c r="K32" s="3">
        <f>AK14</f>
        <v>0</v>
      </c>
      <c r="L32" s="3">
        <f>AK15</f>
        <v>0</v>
      </c>
      <c r="M32" s="3">
        <f>AK16</f>
        <v>0</v>
      </c>
      <c r="N32" s="101">
        <f>AK17</f>
        <v>0</v>
      </c>
      <c r="O32" s="101"/>
      <c r="T32" s="11" t="s">
        <v>70</v>
      </c>
      <c r="U32" s="10" t="s">
        <v>89</v>
      </c>
      <c r="V32" s="10" t="s">
        <v>90</v>
      </c>
      <c r="W32" s="78" t="s">
        <v>91</v>
      </c>
      <c r="X32" s="78" t="s">
        <v>92</v>
      </c>
      <c r="Y32" s="78" t="s">
        <v>93</v>
      </c>
      <c r="Z32" s="78" t="s">
        <v>94</v>
      </c>
      <c r="AA32" s="78"/>
      <c r="AB32" s="78"/>
      <c r="AC32" s="78"/>
      <c r="AD32" s="78"/>
      <c r="AE32" s="78"/>
      <c r="AF32" s="78"/>
      <c r="AG32" s="78" t="s">
        <v>10</v>
      </c>
      <c r="AH32" s="78"/>
      <c r="AI32" s="79">
        <v>42177</v>
      </c>
      <c r="AJ32" s="79"/>
      <c r="AK32" s="78"/>
      <c r="AL32" s="78">
        <v>5</v>
      </c>
      <c r="AM32" s="78"/>
      <c r="AN32" s="78"/>
      <c r="AO32" s="78"/>
      <c r="AP32" s="10"/>
      <c r="AQ32" s="10"/>
    </row>
    <row r="33" spans="1:43" ht="13" x14ac:dyDescent="0.3">
      <c r="A33" s="98" t="s">
        <v>95</v>
      </c>
      <c r="B33" s="98"/>
      <c r="C33" s="98"/>
      <c r="D33" s="88"/>
      <c r="G33" s="101"/>
      <c r="H33" s="101"/>
      <c r="I33" s="90"/>
      <c r="T33" s="10">
        <v>1</v>
      </c>
      <c r="U33" s="10">
        <f>IF(AND(B6&gt;0,G6&gt;0),0,IF(AND(G6&gt;0),0,F6+K6))</f>
        <v>48</v>
      </c>
      <c r="V33" s="10">
        <f>IF(AND(G6&gt;0,L6&gt;0),0,IF(AND(L6&gt;0),0,K6+P6))</f>
        <v>48</v>
      </c>
      <c r="W33" s="78">
        <f>IF(AND(L6&gt;0,Q6&gt;0),0,IF(AND(Q6&gt;0),0,P6+U6))</f>
        <v>48</v>
      </c>
      <c r="X33" s="78">
        <f>IF(AND(Q6&gt;0,V6&gt;0),0,IF(AND(V6&gt;0),0,U6+Z6))</f>
        <v>48</v>
      </c>
      <c r="Y33" s="78">
        <f>IF(AND(V6&gt;0,AA6&gt;0),0,IF(AND(AA6&gt;0),0,Z6+AE6))</f>
        <v>48</v>
      </c>
      <c r="Z33" s="78">
        <f>IF(AND(AA6&gt;0,AF6&gt;0),0,IF(AND(AF6&gt;0),0,AE6+AJ6))</f>
        <v>48</v>
      </c>
      <c r="AA33" s="78"/>
      <c r="AB33" s="78"/>
      <c r="AC33" s="78"/>
      <c r="AD33" s="78"/>
      <c r="AE33" s="78"/>
      <c r="AF33" s="78"/>
      <c r="AG33" s="78" t="s">
        <v>11</v>
      </c>
      <c r="AH33" s="78"/>
      <c r="AI33" s="79">
        <v>42178</v>
      </c>
      <c r="AJ33" s="79"/>
      <c r="AK33" s="78"/>
      <c r="AL33" s="78">
        <v>6</v>
      </c>
      <c r="AM33" s="78"/>
      <c r="AN33" s="78"/>
      <c r="AO33" s="78"/>
      <c r="AP33" s="10"/>
      <c r="AQ33" s="10"/>
    </row>
    <row r="34" spans="1:43" x14ac:dyDescent="0.25">
      <c r="A34" s="101" t="s">
        <v>96</v>
      </c>
      <c r="B34" s="101"/>
      <c r="C34" s="3">
        <f>(AK6+AK7+AK8+AK9+AK10+AK11+AK12+AK13+AK14+AK15+AK16+AK17)/M1</f>
        <v>0</v>
      </c>
      <c r="T34" s="10">
        <v>2</v>
      </c>
      <c r="U34" s="10">
        <f t="shared" ref="U34:U40" si="17">IF(AND(B7&gt;0,G7&gt;0),0,IF(AND(G7&gt;0),0,F7+K7))</f>
        <v>48</v>
      </c>
      <c r="V34" s="10">
        <f t="shared" ref="V34:V40" si="18">IF(AND(G7&gt;0,L7&gt;0),0,IF(AND(L7&gt;0),0,K7+P7))</f>
        <v>48</v>
      </c>
      <c r="W34" s="78">
        <f t="shared" ref="W34:W44" si="19">IF(AND(L7&gt;0,Q7&gt;0),0,IF(AND(Q7&gt;0),0,P7+U7))</f>
        <v>48</v>
      </c>
      <c r="X34" s="78">
        <f t="shared" ref="X34:X44" si="20">IF(AND(Q7&gt;0,V7&gt;0),0,IF(AND(V7&gt;0),0,U7+Z7))</f>
        <v>48</v>
      </c>
      <c r="Y34" s="78">
        <f t="shared" ref="Y34:Y44" si="21">IF(AND(V7&gt;0,AA7&gt;0),0,IF(AND(AA7&gt;0),0,Z7+AE7))</f>
        <v>48</v>
      </c>
      <c r="Z34" s="78">
        <f t="shared" ref="Z34:Z44" si="22">IF(AND(AA7&gt;0,AF7&gt;0),0,IF(AND(AF7&gt;0),0,AE7+AJ7))</f>
        <v>48</v>
      </c>
      <c r="AA34" s="78"/>
      <c r="AB34" s="78"/>
      <c r="AC34" s="78"/>
      <c r="AD34" s="78"/>
      <c r="AE34" s="78"/>
      <c r="AF34" s="78"/>
      <c r="AG34" s="78" t="s">
        <v>12</v>
      </c>
      <c r="AH34" s="78"/>
      <c r="AI34" s="79">
        <v>42179</v>
      </c>
      <c r="AJ34" s="79"/>
      <c r="AK34" s="78"/>
      <c r="AL34" s="78">
        <v>7</v>
      </c>
      <c r="AM34" s="78"/>
      <c r="AN34" s="78"/>
      <c r="AO34" s="78"/>
      <c r="AP34" s="10"/>
      <c r="AQ34" s="10"/>
    </row>
    <row r="35" spans="1:43" x14ac:dyDescent="0.25">
      <c r="T35" s="10">
        <v>3</v>
      </c>
      <c r="U35" s="10">
        <f t="shared" si="17"/>
        <v>48</v>
      </c>
      <c r="V35" s="10">
        <f t="shared" si="18"/>
        <v>48</v>
      </c>
      <c r="W35" s="78">
        <f t="shared" si="19"/>
        <v>48</v>
      </c>
      <c r="X35" s="78">
        <f t="shared" si="20"/>
        <v>48</v>
      </c>
      <c r="Y35" s="78">
        <f t="shared" si="21"/>
        <v>48</v>
      </c>
      <c r="Z35" s="78">
        <f t="shared" si="22"/>
        <v>48</v>
      </c>
      <c r="AA35" s="78"/>
      <c r="AB35" s="78"/>
      <c r="AC35" s="78"/>
      <c r="AD35" s="78"/>
      <c r="AE35" s="78"/>
      <c r="AF35" s="78"/>
      <c r="AG35" s="78" t="s">
        <v>13</v>
      </c>
      <c r="AH35" s="78"/>
      <c r="AI35" s="79">
        <v>42180</v>
      </c>
      <c r="AJ35" s="79"/>
      <c r="AK35" s="78"/>
      <c r="AL35" s="78">
        <v>8</v>
      </c>
      <c r="AM35" s="78"/>
      <c r="AN35" s="78"/>
      <c r="AO35" s="78"/>
      <c r="AP35" s="78"/>
      <c r="AQ35" s="10"/>
    </row>
    <row r="36" spans="1:43" ht="13" x14ac:dyDescent="0.3">
      <c r="A36" s="98" t="s">
        <v>97</v>
      </c>
      <c r="B36" s="98"/>
      <c r="C36" s="98"/>
      <c r="D36" s="98"/>
      <c r="E36" s="98"/>
      <c r="F36" s="88"/>
      <c r="T36" s="10">
        <v>4</v>
      </c>
      <c r="U36" s="10">
        <f t="shared" si="17"/>
        <v>48</v>
      </c>
      <c r="V36" s="10">
        <f t="shared" si="18"/>
        <v>48</v>
      </c>
      <c r="W36" s="78">
        <f t="shared" si="19"/>
        <v>48</v>
      </c>
      <c r="X36" s="78">
        <f t="shared" si="20"/>
        <v>48</v>
      </c>
      <c r="Y36" s="78">
        <f t="shared" si="21"/>
        <v>48</v>
      </c>
      <c r="Z36" s="78">
        <f t="shared" si="22"/>
        <v>48</v>
      </c>
      <c r="AA36" s="78"/>
      <c r="AB36" s="78"/>
      <c r="AC36" s="78"/>
      <c r="AD36" s="78"/>
      <c r="AE36" s="78"/>
      <c r="AF36" s="78"/>
      <c r="AG36" s="78" t="s">
        <v>14</v>
      </c>
      <c r="AH36" s="78"/>
      <c r="AI36" s="79">
        <v>42181</v>
      </c>
      <c r="AJ36" s="79"/>
      <c r="AK36" s="78"/>
      <c r="AL36" s="3">
        <v>9</v>
      </c>
      <c r="AM36" s="78"/>
      <c r="AN36" s="78"/>
      <c r="AO36" s="78"/>
      <c r="AP36" s="78"/>
      <c r="AQ36" s="10"/>
    </row>
    <row r="37" spans="1:43" x14ac:dyDescent="0.25">
      <c r="A37" s="99" t="e">
        <f>C34/E3</f>
        <v>#DIV/0!</v>
      </c>
      <c r="B37" s="99"/>
      <c r="C37" s="99"/>
      <c r="T37" s="10">
        <v>5</v>
      </c>
      <c r="U37" s="10">
        <f t="shared" si="17"/>
        <v>48</v>
      </c>
      <c r="V37" s="10">
        <f t="shared" si="18"/>
        <v>48</v>
      </c>
      <c r="W37" s="78">
        <f t="shared" si="19"/>
        <v>48</v>
      </c>
      <c r="X37" s="78">
        <f t="shared" si="20"/>
        <v>48</v>
      </c>
      <c r="Y37" s="78">
        <f t="shared" si="21"/>
        <v>48</v>
      </c>
      <c r="Z37" s="78">
        <f t="shared" si="22"/>
        <v>48</v>
      </c>
      <c r="AA37" s="78"/>
      <c r="AB37" s="78"/>
      <c r="AC37" s="78"/>
      <c r="AD37" s="78"/>
      <c r="AE37" s="78"/>
      <c r="AF37" s="78"/>
      <c r="AG37" s="78" t="s">
        <v>15</v>
      </c>
      <c r="AH37" s="78"/>
      <c r="AI37" s="79">
        <v>42182</v>
      </c>
      <c r="AJ37" s="79"/>
      <c r="AK37" s="78"/>
      <c r="AL37" s="3">
        <v>10</v>
      </c>
      <c r="AM37" s="78"/>
      <c r="AN37" s="78"/>
      <c r="AO37" s="78"/>
      <c r="AP37" s="78"/>
      <c r="AQ37" s="10"/>
    </row>
    <row r="38" spans="1:43" x14ac:dyDescent="0.25">
      <c r="T38" s="10">
        <v>6</v>
      </c>
      <c r="U38" s="10">
        <f t="shared" si="17"/>
        <v>48</v>
      </c>
      <c r="V38" s="10">
        <f t="shared" si="18"/>
        <v>48</v>
      </c>
      <c r="W38" s="78">
        <f t="shared" si="19"/>
        <v>48</v>
      </c>
      <c r="X38" s="78">
        <f t="shared" si="20"/>
        <v>48</v>
      </c>
      <c r="Y38" s="78">
        <f t="shared" si="21"/>
        <v>48</v>
      </c>
      <c r="Z38" s="78">
        <f t="shared" si="22"/>
        <v>48</v>
      </c>
      <c r="AA38" s="78"/>
      <c r="AB38" s="78"/>
      <c r="AC38" s="78"/>
      <c r="AD38" s="78"/>
      <c r="AE38" s="78"/>
      <c r="AF38" s="78"/>
      <c r="AG38" s="78" t="s">
        <v>16</v>
      </c>
      <c r="AH38" s="78"/>
      <c r="AI38" s="79">
        <v>42183</v>
      </c>
      <c r="AJ38" s="79"/>
      <c r="AK38" s="78"/>
      <c r="AL38" s="3">
        <v>11</v>
      </c>
      <c r="AM38" s="78"/>
      <c r="AN38" s="78"/>
      <c r="AO38" s="78"/>
      <c r="AP38" s="78"/>
      <c r="AQ38" s="10"/>
    </row>
    <row r="39" spans="1:43" x14ac:dyDescent="0.25">
      <c r="T39" s="10">
        <v>7</v>
      </c>
      <c r="U39" s="10">
        <f t="shared" si="17"/>
        <v>48</v>
      </c>
      <c r="V39" s="10">
        <f t="shared" si="18"/>
        <v>48</v>
      </c>
      <c r="W39" s="78">
        <f t="shared" si="19"/>
        <v>48</v>
      </c>
      <c r="X39" s="78">
        <f t="shared" si="20"/>
        <v>48</v>
      </c>
      <c r="Y39" s="78">
        <f t="shared" si="21"/>
        <v>48</v>
      </c>
      <c r="Z39" s="78">
        <f t="shared" si="22"/>
        <v>48</v>
      </c>
      <c r="AA39" s="78"/>
      <c r="AB39" s="78"/>
      <c r="AC39" s="78"/>
      <c r="AD39" s="78"/>
      <c r="AE39" s="78"/>
      <c r="AF39" s="78"/>
      <c r="AG39" s="100">
        <f>IF(E1=AG32,AI32,IF(E1=AG33,AI33,IF(E1=AG34,AI34,IF(E1=AG35,AI35,IF(E1=AG36,AI36,IF(E1=AG37,AI37,IF(E1=AG38,AI38,AI32)))))))</f>
        <v>42177</v>
      </c>
      <c r="AH39" s="100"/>
      <c r="AI39" s="100"/>
      <c r="AJ39" s="100"/>
      <c r="AK39" s="100"/>
      <c r="AL39" s="3">
        <v>12</v>
      </c>
      <c r="AM39" s="78"/>
      <c r="AN39" s="78"/>
      <c r="AO39" s="78"/>
      <c r="AP39" s="78"/>
      <c r="AQ39" s="10"/>
    </row>
    <row r="40" spans="1:43" ht="13" x14ac:dyDescent="0.3">
      <c r="A40" s="4" t="s">
        <v>98</v>
      </c>
      <c r="T40" s="10">
        <v>8</v>
      </c>
      <c r="U40" s="10">
        <f t="shared" si="17"/>
        <v>48</v>
      </c>
      <c r="V40" s="10">
        <f t="shared" si="18"/>
        <v>48</v>
      </c>
      <c r="W40" s="78">
        <f t="shared" si="19"/>
        <v>48</v>
      </c>
      <c r="X40" s="78">
        <f t="shared" si="20"/>
        <v>48</v>
      </c>
      <c r="Y40" s="78">
        <f t="shared" si="21"/>
        <v>48</v>
      </c>
      <c r="Z40" s="78">
        <f t="shared" si="22"/>
        <v>48</v>
      </c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10"/>
    </row>
    <row r="41" spans="1:43" x14ac:dyDescent="0.25">
      <c r="A41" s="3" t="s">
        <v>99</v>
      </c>
      <c r="T41" s="10"/>
      <c r="U41" s="10"/>
      <c r="V41" s="10"/>
      <c r="W41" s="78">
        <f t="shared" si="19"/>
        <v>48</v>
      </c>
      <c r="X41" s="78">
        <f t="shared" si="20"/>
        <v>48</v>
      </c>
      <c r="Y41" s="78">
        <f t="shared" si="21"/>
        <v>48</v>
      </c>
      <c r="Z41" s="78">
        <f t="shared" si="22"/>
        <v>48</v>
      </c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10"/>
    </row>
    <row r="42" spans="1:43" ht="13" x14ac:dyDescent="0.3">
      <c r="A42" s="3" t="s">
        <v>100</v>
      </c>
      <c r="O42" s="81">
        <v>0.29166666666666669</v>
      </c>
      <c r="P42" s="81">
        <v>0.33333333333333331</v>
      </c>
      <c r="Q42" s="3">
        <f>(P42-O42)*24</f>
        <v>0.99999999999999911</v>
      </c>
      <c r="T42" s="10"/>
      <c r="U42" s="10"/>
      <c r="V42" s="10"/>
      <c r="W42" s="78">
        <f t="shared" si="19"/>
        <v>48</v>
      </c>
      <c r="X42" s="78">
        <f t="shared" si="20"/>
        <v>48</v>
      </c>
      <c r="Y42" s="78">
        <f t="shared" si="21"/>
        <v>48</v>
      </c>
      <c r="Z42" s="78">
        <f t="shared" si="22"/>
        <v>48</v>
      </c>
      <c r="AA42" s="78"/>
      <c r="AB42" s="78"/>
      <c r="AC42" s="78"/>
      <c r="AD42" s="78"/>
      <c r="AE42" s="78"/>
      <c r="AF42" s="78"/>
      <c r="AG42" s="80" t="s">
        <v>101</v>
      </c>
      <c r="AH42" s="80"/>
      <c r="AI42" s="78"/>
      <c r="AJ42" s="78"/>
      <c r="AK42" s="78"/>
      <c r="AL42" s="80" t="s">
        <v>102</v>
      </c>
      <c r="AM42" s="78"/>
      <c r="AN42" s="78"/>
      <c r="AO42" s="78"/>
      <c r="AP42" s="78"/>
      <c r="AQ42" s="10"/>
    </row>
    <row r="43" spans="1:43" x14ac:dyDescent="0.25">
      <c r="T43" s="10"/>
      <c r="U43" s="10"/>
      <c r="V43" s="10"/>
      <c r="W43" s="78">
        <f t="shared" si="19"/>
        <v>48</v>
      </c>
      <c r="X43" s="78">
        <f t="shared" si="20"/>
        <v>48</v>
      </c>
      <c r="Y43" s="78">
        <f t="shared" si="21"/>
        <v>48</v>
      </c>
      <c r="Z43" s="78">
        <f t="shared" si="22"/>
        <v>48</v>
      </c>
      <c r="AA43" s="78"/>
      <c r="AB43" s="78"/>
      <c r="AC43" s="78"/>
      <c r="AD43" s="78"/>
      <c r="AE43" s="78"/>
      <c r="AF43" s="78"/>
      <c r="AG43" s="78">
        <v>33.6</v>
      </c>
      <c r="AH43" s="78"/>
      <c r="AI43" s="78"/>
      <c r="AJ43" s="78"/>
      <c r="AK43" s="78"/>
      <c r="AL43" s="78" t="s">
        <v>103</v>
      </c>
      <c r="AM43" s="78"/>
      <c r="AN43" s="78"/>
      <c r="AO43" s="78"/>
      <c r="AP43" s="78"/>
      <c r="AQ43" s="10"/>
    </row>
    <row r="44" spans="1:43" x14ac:dyDescent="0.25">
      <c r="A44" s="3" t="s">
        <v>104</v>
      </c>
      <c r="T44" s="10"/>
      <c r="U44" s="10"/>
      <c r="V44" s="10"/>
      <c r="W44" s="78">
        <f t="shared" si="19"/>
        <v>48</v>
      </c>
      <c r="X44" s="78">
        <f t="shared" si="20"/>
        <v>48</v>
      </c>
      <c r="Y44" s="78">
        <f t="shared" si="21"/>
        <v>48</v>
      </c>
      <c r="Z44" s="78">
        <f t="shared" si="22"/>
        <v>48</v>
      </c>
      <c r="AA44" s="78"/>
      <c r="AB44" s="78"/>
      <c r="AC44" s="78"/>
      <c r="AD44" s="78"/>
      <c r="AE44" s="78"/>
      <c r="AF44" s="78"/>
      <c r="AG44" s="78">
        <v>35.5</v>
      </c>
      <c r="AH44" s="78"/>
      <c r="AI44" s="78"/>
      <c r="AJ44" s="78"/>
      <c r="AK44" s="78"/>
      <c r="AL44" s="78" t="s">
        <v>105</v>
      </c>
      <c r="AM44" s="78"/>
      <c r="AN44" s="78"/>
      <c r="AO44" s="78"/>
      <c r="AP44" s="78"/>
      <c r="AQ44" s="10"/>
    </row>
    <row r="45" spans="1:43" x14ac:dyDescent="0.25">
      <c r="A45" s="1">
        <v>11</v>
      </c>
      <c r="B45" s="5">
        <f>COUNTIF($F$6:$F$13,"&lt;" &amp; A45)+COUNTIF($K$6:$K$13,"&lt;" &amp; A45)+COUNTIF($P$6:$P$13,"&lt;" &amp; A45)+COUNTIF($U$6:$U$13,"&lt;" &amp; A45)+COUNTIF($Z$6:$Z$13,"&lt;" &amp; A45)+COUNTIF($AE$6:$AE$13,"&lt;" &amp; A45)+COUNTIF($AJ$6:$AJ$13,"&lt;" &amp; A45)</f>
        <v>0</v>
      </c>
      <c r="T45" s="10"/>
      <c r="U45" s="10"/>
      <c r="V45" s="10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>
        <v>37.5</v>
      </c>
      <c r="AH45" s="78"/>
      <c r="AI45" s="78"/>
      <c r="AJ45" s="78"/>
      <c r="AK45" s="78"/>
      <c r="AL45" s="78"/>
      <c r="AM45" s="78"/>
      <c r="AN45" s="78"/>
      <c r="AO45" s="78"/>
      <c r="AP45" s="78"/>
      <c r="AQ45" s="10"/>
    </row>
    <row r="46" spans="1:43" x14ac:dyDescent="0.25">
      <c r="T46" s="10"/>
      <c r="U46" s="10"/>
      <c r="V46" s="10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78"/>
      <c r="AQ46" s="10"/>
    </row>
    <row r="47" spans="1:43" x14ac:dyDescent="0.25">
      <c r="T47" s="10"/>
      <c r="U47" s="10"/>
      <c r="V47" s="10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10"/>
    </row>
    <row r="48" spans="1:43" x14ac:dyDescent="0.25">
      <c r="T48" s="10"/>
      <c r="U48" s="10"/>
      <c r="V48" s="10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78"/>
      <c r="AO48" s="78"/>
      <c r="AP48" s="78"/>
      <c r="AQ48" s="10"/>
    </row>
    <row r="49" spans="1:43" ht="13" x14ac:dyDescent="0.3">
      <c r="A49" s="4" t="s">
        <v>106</v>
      </c>
      <c r="T49" s="10"/>
      <c r="U49" s="10"/>
      <c r="V49" s="10"/>
      <c r="W49" s="78"/>
      <c r="X49" s="78"/>
      <c r="Y49" s="78"/>
      <c r="Z49" s="78"/>
      <c r="AA49" s="78"/>
      <c r="AB49" s="80" t="s">
        <v>107</v>
      </c>
      <c r="AC49" s="80"/>
      <c r="AD49" s="78"/>
      <c r="AE49" s="78"/>
      <c r="AF49" s="78"/>
      <c r="AG49" s="78"/>
      <c r="AH49" s="78"/>
      <c r="AI49" s="78"/>
      <c r="AJ49" s="78"/>
      <c r="AK49" s="78"/>
      <c r="AL49" s="78"/>
      <c r="AM49" s="78"/>
      <c r="AN49" s="78"/>
      <c r="AO49" s="78"/>
      <c r="AP49" s="78"/>
      <c r="AQ49" s="10"/>
    </row>
    <row r="50" spans="1:43" x14ac:dyDescent="0.25">
      <c r="A50" s="3" t="s">
        <v>108</v>
      </c>
      <c r="T50" s="10"/>
      <c r="U50" s="10"/>
      <c r="V50" s="10"/>
      <c r="W50" s="78"/>
      <c r="X50" s="78"/>
      <c r="Y50" s="78"/>
      <c r="Z50" s="78"/>
      <c r="AA50" s="78"/>
      <c r="AB50" s="78" t="s">
        <v>109</v>
      </c>
      <c r="AC50" s="78"/>
      <c r="AD50" s="78"/>
      <c r="AE50" s="78"/>
      <c r="AF50" s="78"/>
      <c r="AG50" s="78"/>
      <c r="AH50" s="78"/>
      <c r="AI50" s="78"/>
      <c r="AJ50" s="78"/>
      <c r="AK50" s="78"/>
      <c r="AL50" s="78"/>
      <c r="AM50" s="78"/>
      <c r="AN50" s="78"/>
      <c r="AO50" s="78"/>
      <c r="AP50" s="78"/>
      <c r="AQ50" s="10"/>
    </row>
    <row r="51" spans="1:43" ht="13" x14ac:dyDescent="0.3">
      <c r="A51" s="4" t="s">
        <v>110</v>
      </c>
      <c r="T51" s="10"/>
      <c r="U51" s="10"/>
      <c r="V51" s="10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  <c r="AN51" s="78"/>
      <c r="AO51" s="78"/>
      <c r="AP51" s="78"/>
      <c r="AQ51" s="10"/>
    </row>
    <row r="52" spans="1:43" x14ac:dyDescent="0.25">
      <c r="A52" s="3" t="s">
        <v>111</v>
      </c>
      <c r="T52" s="10"/>
      <c r="U52" s="10"/>
      <c r="V52" s="10"/>
      <c r="W52" s="78"/>
      <c r="X52" s="78"/>
      <c r="Y52" s="78"/>
      <c r="Z52" s="78"/>
      <c r="AA52" s="78"/>
      <c r="AB52" s="78" t="s">
        <v>112</v>
      </c>
      <c r="AC52" s="78"/>
      <c r="AD52" s="78"/>
      <c r="AE52" s="78"/>
      <c r="AF52" s="78"/>
      <c r="AG52" s="78"/>
      <c r="AH52" s="78"/>
      <c r="AI52" s="78"/>
      <c r="AJ52" s="78"/>
      <c r="AK52" s="78"/>
      <c r="AL52" s="78"/>
      <c r="AM52" s="78"/>
      <c r="AN52" s="78"/>
      <c r="AO52" s="78"/>
      <c r="AP52" s="78"/>
      <c r="AQ52" s="10"/>
    </row>
    <row r="53" spans="1:43" x14ac:dyDescent="0.25">
      <c r="A53" s="3" t="s">
        <v>113</v>
      </c>
      <c r="T53" s="10"/>
      <c r="U53" s="10"/>
      <c r="V53" s="10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78"/>
      <c r="AO53" s="78"/>
      <c r="AP53" s="78"/>
      <c r="AQ53" s="10"/>
    </row>
    <row r="54" spans="1:43" x14ac:dyDescent="0.25">
      <c r="A54" s="3" t="s">
        <v>114</v>
      </c>
      <c r="T54" s="10"/>
      <c r="U54" s="10"/>
      <c r="V54" s="10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78"/>
      <c r="AL54" s="78"/>
      <c r="AM54" s="78"/>
      <c r="AN54" s="78"/>
      <c r="AO54" s="78"/>
      <c r="AP54" s="78"/>
      <c r="AQ54" s="10"/>
    </row>
    <row r="55" spans="1:43" x14ac:dyDescent="0.25">
      <c r="T55" s="10"/>
      <c r="U55" s="10"/>
      <c r="V55" s="10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10"/>
    </row>
    <row r="56" spans="1:43" ht="13" x14ac:dyDescent="0.3">
      <c r="A56" s="4" t="s">
        <v>115</v>
      </c>
      <c r="T56" s="10"/>
      <c r="U56" s="10"/>
      <c r="V56" s="10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78"/>
      <c r="AO56" s="78"/>
      <c r="AP56" s="78"/>
      <c r="AQ56" s="10"/>
    </row>
    <row r="57" spans="1:43" x14ac:dyDescent="0.25">
      <c r="A57" s="3" t="s">
        <v>116</v>
      </c>
      <c r="T57" s="10"/>
      <c r="U57" s="10"/>
      <c r="V57" s="10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/>
      <c r="AO57" s="78"/>
      <c r="AP57" s="78"/>
      <c r="AQ57" s="10"/>
    </row>
    <row r="58" spans="1:43" ht="13" x14ac:dyDescent="0.3">
      <c r="A58" s="4" t="s">
        <v>110</v>
      </c>
      <c r="T58" s="10"/>
      <c r="U58" s="10"/>
      <c r="V58" s="10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 t="s">
        <v>117</v>
      </c>
      <c r="AH58" s="78"/>
      <c r="AI58" s="78"/>
      <c r="AJ58" s="78"/>
      <c r="AK58" s="78"/>
      <c r="AL58" s="78"/>
      <c r="AM58" s="78"/>
      <c r="AN58" s="78"/>
      <c r="AO58" s="78"/>
      <c r="AP58" s="78"/>
      <c r="AQ58" s="10"/>
    </row>
    <row r="59" spans="1:43" x14ac:dyDescent="0.25">
      <c r="A59" s="3" t="s">
        <v>111</v>
      </c>
      <c r="T59" s="10"/>
      <c r="U59" s="10"/>
      <c r="V59" s="10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>
        <v>0</v>
      </c>
      <c r="AH59" s="78">
        <v>1</v>
      </c>
      <c r="AI59" s="78">
        <v>2</v>
      </c>
      <c r="AJ59" s="78">
        <v>3</v>
      </c>
      <c r="AK59" s="78">
        <v>4</v>
      </c>
      <c r="AL59" s="78">
        <v>5</v>
      </c>
      <c r="AM59" s="78">
        <v>6</v>
      </c>
      <c r="AN59" s="78"/>
      <c r="AO59" s="78"/>
      <c r="AP59" s="78"/>
      <c r="AQ59" s="10"/>
    </row>
    <row r="60" spans="1:43" x14ac:dyDescent="0.25">
      <c r="A60" s="3" t="s">
        <v>113</v>
      </c>
      <c r="T60" s="10"/>
      <c r="U60" s="10"/>
      <c r="V60" s="10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>
        <v>7</v>
      </c>
      <c r="AH60" s="78">
        <v>8</v>
      </c>
      <c r="AI60" s="78">
        <v>9</v>
      </c>
      <c r="AJ60" s="78">
        <v>10</v>
      </c>
      <c r="AK60" s="78">
        <v>11</v>
      </c>
      <c r="AL60" s="78">
        <v>12</v>
      </c>
      <c r="AM60" s="78">
        <v>13</v>
      </c>
      <c r="AN60" s="78"/>
      <c r="AO60" s="78"/>
      <c r="AP60" s="78"/>
      <c r="AQ60" s="10"/>
    </row>
    <row r="61" spans="1:43" x14ac:dyDescent="0.25">
      <c r="T61" s="10"/>
      <c r="U61" s="10"/>
      <c r="V61" s="10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>
        <v>14</v>
      </c>
      <c r="AH61" s="78">
        <v>15</v>
      </c>
      <c r="AI61" s="78">
        <v>16</v>
      </c>
      <c r="AJ61" s="78">
        <v>17</v>
      </c>
      <c r="AK61" s="78">
        <v>18</v>
      </c>
      <c r="AL61" s="78">
        <v>19</v>
      </c>
      <c r="AM61" s="78">
        <v>20</v>
      </c>
      <c r="AN61" s="78"/>
      <c r="AO61" s="78"/>
      <c r="AP61" s="78"/>
      <c r="AQ61" s="10"/>
    </row>
    <row r="62" spans="1:43" ht="13" x14ac:dyDescent="0.3">
      <c r="A62" s="4" t="s">
        <v>118</v>
      </c>
      <c r="T62" s="10"/>
      <c r="U62" s="10"/>
      <c r="V62" s="10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>
        <v>21</v>
      </c>
      <c r="AH62" s="78">
        <v>22</v>
      </c>
      <c r="AI62" s="78">
        <v>23</v>
      </c>
      <c r="AJ62" s="78">
        <v>24</v>
      </c>
      <c r="AK62" s="78">
        <v>25</v>
      </c>
      <c r="AL62" s="78">
        <v>26</v>
      </c>
      <c r="AM62" s="78">
        <v>27</v>
      </c>
      <c r="AN62" s="78"/>
      <c r="AO62" s="78"/>
      <c r="AP62" s="78"/>
      <c r="AQ62" s="10"/>
    </row>
    <row r="63" spans="1:43" x14ac:dyDescent="0.25">
      <c r="A63" s="3" t="s">
        <v>119</v>
      </c>
      <c r="T63" s="10"/>
      <c r="U63" s="10"/>
      <c r="V63" s="10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>
        <v>28</v>
      </c>
      <c r="AH63" s="78">
        <v>29</v>
      </c>
      <c r="AI63" s="78">
        <v>30</v>
      </c>
      <c r="AJ63" s="78">
        <v>31</v>
      </c>
      <c r="AK63" s="78">
        <v>32</v>
      </c>
      <c r="AL63" s="78">
        <v>33</v>
      </c>
      <c r="AM63" s="78">
        <v>34</v>
      </c>
      <c r="AN63" s="78"/>
      <c r="AO63" s="78"/>
      <c r="AP63" s="78"/>
      <c r="AQ63" s="10"/>
    </row>
    <row r="64" spans="1:43" x14ac:dyDescent="0.25">
      <c r="A64" s="3" t="s">
        <v>120</v>
      </c>
      <c r="T64" s="10"/>
      <c r="U64" s="10"/>
      <c r="V64" s="10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>
        <v>35</v>
      </c>
      <c r="AH64" s="78">
        <v>36</v>
      </c>
      <c r="AI64" s="78">
        <v>37</v>
      </c>
      <c r="AJ64" s="78">
        <v>38</v>
      </c>
      <c r="AK64" s="78">
        <v>39</v>
      </c>
      <c r="AL64" s="78">
        <v>40</v>
      </c>
      <c r="AM64" s="78">
        <v>41</v>
      </c>
      <c r="AN64" s="78"/>
      <c r="AO64" s="78"/>
      <c r="AP64" s="78"/>
      <c r="AQ64" s="10"/>
    </row>
    <row r="65" spans="1:43" x14ac:dyDescent="0.25">
      <c r="T65" s="10"/>
      <c r="U65" s="10"/>
      <c r="V65" s="10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>
        <v>42</v>
      </c>
      <c r="AH65" s="78">
        <v>43</v>
      </c>
      <c r="AI65" s="78">
        <v>44</v>
      </c>
      <c r="AJ65" s="78">
        <v>45</v>
      </c>
      <c r="AK65" s="78">
        <v>46</v>
      </c>
      <c r="AL65" s="78">
        <v>47</v>
      </c>
      <c r="AM65" s="78">
        <v>48</v>
      </c>
      <c r="AN65" s="78"/>
      <c r="AO65" s="78"/>
      <c r="AP65" s="78"/>
      <c r="AQ65" s="10"/>
    </row>
    <row r="66" spans="1:43" ht="13" x14ac:dyDescent="0.3">
      <c r="A66" s="3" t="s">
        <v>121</v>
      </c>
      <c r="B66" s="4"/>
      <c r="T66" s="10"/>
      <c r="U66" s="10"/>
      <c r="V66" s="10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>
        <v>49</v>
      </c>
      <c r="AH66" s="78">
        <v>50</v>
      </c>
      <c r="AI66" s="78">
        <v>51</v>
      </c>
      <c r="AJ66" s="78">
        <v>52</v>
      </c>
      <c r="AK66" s="78">
        <v>53</v>
      </c>
      <c r="AL66" s="78">
        <v>54</v>
      </c>
      <c r="AM66" s="78">
        <v>55</v>
      </c>
      <c r="AN66" s="78"/>
      <c r="AO66" s="78"/>
      <c r="AP66" s="78"/>
      <c r="AQ66" s="10"/>
    </row>
    <row r="67" spans="1:43" ht="13" x14ac:dyDescent="0.3">
      <c r="A67" s="1">
        <v>9</v>
      </c>
      <c r="B67" s="5">
        <f>COUNTIF($E$6:$E$13,"&gt;" &amp; A67)+COUNTIF($J$6:$J$13,"&gt;" &amp; A67)+COUNTIF($O$6:$O$13,"&gt;" &amp; A67)+COUNTIF($T$6:$T$13,"&gt;" &amp; A67)+COUNTIF($Y$6:$Y$13,"&gt;" &amp; A67)+COUNTIF($AD$6:$AD$13,"&gt;" &amp; A67)+COUNTIF($AI$6:$AI$13,"&gt;" &amp; A67)</f>
        <v>0</v>
      </c>
      <c r="C67" s="3" t="s">
        <v>122</v>
      </c>
      <c r="E67" s="3" t="s">
        <v>123</v>
      </c>
      <c r="H67" s="1" t="s">
        <v>124</v>
      </c>
      <c r="L67" s="3" t="s">
        <v>125</v>
      </c>
      <c r="T67" s="10"/>
      <c r="U67" s="10"/>
      <c r="V67" s="10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>
        <v>56</v>
      </c>
      <c r="AH67" s="78">
        <v>57</v>
      </c>
      <c r="AI67" s="78">
        <v>58</v>
      </c>
      <c r="AJ67" s="78">
        <v>59</v>
      </c>
      <c r="AK67" s="78">
        <v>60</v>
      </c>
      <c r="AL67" s="78">
        <v>61</v>
      </c>
      <c r="AM67" s="78">
        <v>62</v>
      </c>
      <c r="AN67" s="78"/>
      <c r="AO67" s="78"/>
      <c r="AP67" s="78"/>
      <c r="AQ67" s="10"/>
    </row>
    <row r="68" spans="1:43" x14ac:dyDescent="0.25">
      <c r="T68" s="10"/>
      <c r="U68" s="10"/>
      <c r="V68" s="10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>
        <v>63</v>
      </c>
      <c r="AH68" s="78">
        <v>64</v>
      </c>
      <c r="AI68" s="78">
        <v>65</v>
      </c>
      <c r="AJ68" s="78">
        <v>66</v>
      </c>
      <c r="AK68" s="78">
        <v>67</v>
      </c>
      <c r="AL68" s="78">
        <v>68</v>
      </c>
      <c r="AM68" s="78">
        <v>69</v>
      </c>
      <c r="AN68" s="78"/>
      <c r="AO68" s="78"/>
      <c r="AP68" s="78"/>
      <c r="AQ68" s="10"/>
    </row>
    <row r="69" spans="1:43" x14ac:dyDescent="0.25">
      <c r="A69" s="3" t="s">
        <v>126</v>
      </c>
      <c r="T69" s="10"/>
      <c r="U69" s="10"/>
      <c r="V69" s="10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>
        <v>70</v>
      </c>
      <c r="AH69" s="78">
        <v>71</v>
      </c>
      <c r="AI69" s="78">
        <v>72</v>
      </c>
      <c r="AJ69" s="78">
        <v>73</v>
      </c>
      <c r="AK69" s="78">
        <v>74</v>
      </c>
      <c r="AL69" s="78">
        <v>75</v>
      </c>
      <c r="AM69" s="78">
        <v>76</v>
      </c>
      <c r="AN69" s="78"/>
      <c r="AO69" s="78"/>
      <c r="AP69" s="78"/>
      <c r="AQ69" s="10"/>
    </row>
    <row r="70" spans="1:43" x14ac:dyDescent="0.25">
      <c r="A70" s="1">
        <v>20</v>
      </c>
      <c r="B70" s="5">
        <f>COUNTIF($AK$6:$AK$13,"&gt;" &amp; A70)</f>
        <v>0</v>
      </c>
      <c r="C70" s="3" t="s">
        <v>127</v>
      </c>
      <c r="E70" s="3" t="s">
        <v>128</v>
      </c>
      <c r="H70" s="1" t="s">
        <v>124</v>
      </c>
      <c r="T70" s="10"/>
      <c r="U70" s="10"/>
      <c r="V70" s="10"/>
      <c r="W70" s="78"/>
      <c r="X70" s="78"/>
      <c r="Y70" s="78"/>
      <c r="Z70" s="78"/>
      <c r="AA70" s="78"/>
      <c r="AB70" s="78"/>
      <c r="AC70" s="78"/>
      <c r="AD70" s="78"/>
      <c r="AE70" s="78"/>
      <c r="AF70" s="78"/>
      <c r="AG70" s="78">
        <v>77</v>
      </c>
      <c r="AH70" s="78">
        <v>78</v>
      </c>
      <c r="AI70" s="78">
        <v>79</v>
      </c>
      <c r="AJ70" s="78">
        <v>80</v>
      </c>
      <c r="AK70" s="78">
        <v>81</v>
      </c>
      <c r="AL70" s="78">
        <v>82</v>
      </c>
      <c r="AM70" s="78">
        <v>83</v>
      </c>
      <c r="AN70" s="78"/>
      <c r="AO70" s="78"/>
      <c r="AP70" s="78"/>
      <c r="AQ70" s="10"/>
    </row>
    <row r="71" spans="1:43" x14ac:dyDescent="0.25">
      <c r="W71" s="78"/>
      <c r="X71" s="78"/>
      <c r="Y71" s="78"/>
      <c r="Z71" s="78"/>
      <c r="AA71" s="78"/>
      <c r="AB71" s="78"/>
      <c r="AC71" s="78"/>
      <c r="AD71" s="78"/>
      <c r="AE71" s="78"/>
      <c r="AF71" s="78"/>
      <c r="AG71" s="78">
        <v>84</v>
      </c>
      <c r="AH71" s="78">
        <v>85</v>
      </c>
      <c r="AI71" s="78">
        <v>86</v>
      </c>
      <c r="AJ71" s="78">
        <v>87</v>
      </c>
      <c r="AK71" s="78">
        <v>88</v>
      </c>
      <c r="AL71" s="78">
        <v>89</v>
      </c>
      <c r="AM71" s="78">
        <v>90</v>
      </c>
      <c r="AN71" s="78"/>
      <c r="AO71" s="78"/>
      <c r="AP71" s="78"/>
    </row>
    <row r="72" spans="1:43" x14ac:dyDescent="0.25"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  <c r="AL72" s="78"/>
      <c r="AM72" s="78"/>
      <c r="AN72" s="78"/>
      <c r="AO72" s="78"/>
      <c r="AP72" s="78"/>
    </row>
    <row r="73" spans="1:43" x14ac:dyDescent="0.25">
      <c r="W73" s="78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8"/>
      <c r="AK73" s="78"/>
      <c r="AL73" s="78"/>
      <c r="AM73" s="78"/>
      <c r="AN73" s="78"/>
      <c r="AO73" s="78"/>
      <c r="AP73" s="78"/>
    </row>
    <row r="74" spans="1:43" x14ac:dyDescent="0.25"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78"/>
      <c r="AO74" s="78"/>
      <c r="AP74" s="78"/>
    </row>
    <row r="75" spans="1:43" x14ac:dyDescent="0.25"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  <c r="AK75" s="78"/>
      <c r="AL75" s="78"/>
      <c r="AM75" s="78"/>
      <c r="AN75" s="78"/>
      <c r="AO75" s="78"/>
      <c r="AP75" s="78"/>
    </row>
    <row r="76" spans="1:43" x14ac:dyDescent="0.25">
      <c r="W76" s="78"/>
      <c r="X76" s="78"/>
      <c r="Y76" s="78"/>
      <c r="Z76" s="78"/>
      <c r="AA76" s="78"/>
      <c r="AB76" s="78"/>
      <c r="AC76" s="78"/>
      <c r="AD76" s="78"/>
      <c r="AE76" s="78"/>
      <c r="AF76" s="78"/>
      <c r="AG76" s="78"/>
      <c r="AH76" s="78"/>
      <c r="AI76" s="78"/>
      <c r="AJ76" s="78"/>
      <c r="AK76" s="78"/>
      <c r="AL76" s="78"/>
      <c r="AM76" s="78"/>
      <c r="AN76" s="78"/>
      <c r="AO76" s="78"/>
      <c r="AP76" s="78"/>
    </row>
    <row r="77" spans="1:43" x14ac:dyDescent="0.25"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78"/>
      <c r="AK77" s="78"/>
      <c r="AL77" s="78"/>
      <c r="AM77" s="78"/>
      <c r="AN77" s="78"/>
      <c r="AO77" s="78"/>
      <c r="AP77" s="78"/>
    </row>
    <row r="78" spans="1:43" x14ac:dyDescent="0.25">
      <c r="W78" s="78"/>
      <c r="X78" s="78"/>
      <c r="Y78" s="78"/>
      <c r="Z78" s="78"/>
      <c r="AA78" s="78"/>
      <c r="AB78" s="78"/>
      <c r="AC78" s="78"/>
      <c r="AD78" s="78"/>
      <c r="AE78" s="78"/>
      <c r="AF78" s="78"/>
      <c r="AG78" s="78"/>
      <c r="AH78" s="78"/>
      <c r="AI78" s="78"/>
      <c r="AJ78" s="78"/>
      <c r="AK78" s="78"/>
      <c r="AL78" s="78"/>
      <c r="AM78" s="78"/>
      <c r="AN78" s="78"/>
      <c r="AO78" s="78"/>
      <c r="AP78" s="78"/>
    </row>
    <row r="79" spans="1:43" x14ac:dyDescent="0.25">
      <c r="W79" s="78"/>
      <c r="X79" s="78"/>
      <c r="Y79" s="78"/>
      <c r="Z79" s="78"/>
      <c r="AA79" s="78"/>
      <c r="AB79" s="78"/>
      <c r="AC79" s="78"/>
      <c r="AD79" s="78"/>
      <c r="AE79" s="78"/>
      <c r="AF79" s="78"/>
      <c r="AG79" s="78"/>
      <c r="AH79" s="78"/>
      <c r="AI79" s="78"/>
      <c r="AJ79" s="78"/>
      <c r="AK79" s="78"/>
      <c r="AL79" s="78"/>
      <c r="AM79" s="78"/>
      <c r="AN79" s="78"/>
      <c r="AO79" s="78"/>
      <c r="AP79" s="78"/>
    </row>
    <row r="80" spans="1:43" x14ac:dyDescent="0.25">
      <c r="W80" s="78"/>
      <c r="X80" s="78"/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  <c r="AJ80" s="78"/>
      <c r="AK80" s="78"/>
      <c r="AL80" s="78"/>
      <c r="AM80" s="78"/>
      <c r="AN80" s="78"/>
      <c r="AO80" s="78"/>
      <c r="AP80" s="78"/>
    </row>
    <row r="81" spans="1:42" x14ac:dyDescent="0.25"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  <c r="AJ81" s="78"/>
      <c r="AK81" s="78"/>
      <c r="AL81" s="78"/>
      <c r="AM81" s="78"/>
      <c r="AN81" s="78"/>
      <c r="AO81" s="78"/>
      <c r="AP81" s="78"/>
    </row>
    <row r="82" spans="1:42" x14ac:dyDescent="0.25"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8"/>
      <c r="AH82" s="78"/>
      <c r="AI82" s="78"/>
      <c r="AJ82" s="78"/>
      <c r="AK82" s="78"/>
      <c r="AL82" s="78"/>
      <c r="AM82" s="78"/>
      <c r="AN82" s="78"/>
      <c r="AO82" s="78"/>
      <c r="AP82" s="78"/>
    </row>
    <row r="83" spans="1:42" x14ac:dyDescent="0.25"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</row>
    <row r="84" spans="1:42" x14ac:dyDescent="0.25"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</row>
    <row r="85" spans="1:42" x14ac:dyDescent="0.25"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</row>
    <row r="86" spans="1:42" x14ac:dyDescent="0.25"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8"/>
      <c r="AO86" s="78"/>
      <c r="AP86" s="78"/>
    </row>
    <row r="87" spans="1:42" x14ac:dyDescent="0.25"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  <c r="AN87" s="78"/>
      <c r="AO87" s="78"/>
      <c r="AP87" s="78"/>
    </row>
    <row r="95" spans="1:42" ht="13" x14ac:dyDescent="0.3">
      <c r="A95" s="4"/>
    </row>
    <row r="106" spans="1:1" ht="13" x14ac:dyDescent="0.3">
      <c r="A106" s="4"/>
    </row>
  </sheetData>
  <sheetProtection algorithmName="SHA-512" hashValue="No6kaP85OIwe2GdxLQ9jS5KfAHara3fZbzhrd2LXrVGZRuVcIoBbZdrZoQ9BxC27Ri1fK0idFf5YY+NoyYNCNg==" saltValue="brOh1iC9PMJTlfnVuSUngA==" spinCount="100000" sheet="1" objects="1" scenarios="1"/>
  <mergeCells count="27">
    <mergeCell ref="A1:C1"/>
    <mergeCell ref="H1:L1"/>
    <mergeCell ref="A2:C2"/>
    <mergeCell ref="A3:C3"/>
    <mergeCell ref="B4:F4"/>
    <mergeCell ref="G4:J4"/>
    <mergeCell ref="L4:O4"/>
    <mergeCell ref="I2:J2"/>
    <mergeCell ref="Q4:T4"/>
    <mergeCell ref="V4:Y4"/>
    <mergeCell ref="AA4:AD4"/>
    <mergeCell ref="AF4:AI4"/>
    <mergeCell ref="AG39:AK39"/>
    <mergeCell ref="A28:C28"/>
    <mergeCell ref="A29:C29"/>
    <mergeCell ref="A30:C30"/>
    <mergeCell ref="D32:E32"/>
    <mergeCell ref="H32:I32"/>
    <mergeCell ref="A37:C37"/>
    <mergeCell ref="D31:E31"/>
    <mergeCell ref="H31:I31"/>
    <mergeCell ref="A36:E36"/>
    <mergeCell ref="N32:O32"/>
    <mergeCell ref="A33:C33"/>
    <mergeCell ref="G33:H33"/>
    <mergeCell ref="A34:B34"/>
    <mergeCell ref="N31:O31"/>
  </mergeCells>
  <conditionalFormatting sqref="A6:A17">
    <cfRule type="cellIs" dxfId="234" priority="363" operator="equal">
      <formula>0</formula>
    </cfRule>
  </conditionalFormatting>
  <conditionalFormatting sqref="A37">
    <cfRule type="cellIs" dxfId="233" priority="243" operator="notEqual">
      <formula>$E$2</formula>
    </cfRule>
    <cfRule type="cellIs" dxfId="232" priority="244" operator="equal">
      <formula>$E$2</formula>
    </cfRule>
  </conditionalFormatting>
  <conditionalFormatting sqref="A32:D32 F32:H32 C34">
    <cfRule type="cellIs" dxfId="231" priority="241" operator="notEqual">
      <formula>$E$3</formula>
    </cfRule>
    <cfRule type="cellIs" dxfId="230" priority="242" operator="equal">
      <formula>$E$3</formula>
    </cfRule>
  </conditionalFormatting>
  <conditionalFormatting sqref="B6:D17">
    <cfRule type="expression" dxfId="229" priority="112">
      <formula>$A6=0</formula>
    </cfRule>
  </conditionalFormatting>
  <conditionalFormatting sqref="E6:E17">
    <cfRule type="expression" dxfId="228" priority="116">
      <formula>AND($H$67="ja",E6&gt;$A$67)</formula>
    </cfRule>
    <cfRule type="cellIs" dxfId="227" priority="117" operator="greaterThanOrEqual">
      <formula>0</formula>
    </cfRule>
  </conditionalFormatting>
  <conditionalFormatting sqref="F6:F17">
    <cfRule type="cellIs" dxfId="226" priority="31" operator="lessThan">
      <formula>$A$45</formula>
    </cfRule>
    <cfRule type="cellIs" dxfId="225" priority="32" operator="equal">
      <formula>0</formula>
    </cfRule>
    <cfRule type="cellIs" dxfId="224" priority="33" operator="notEqual">
      <formula>0</formula>
    </cfRule>
  </conditionalFormatting>
  <conditionalFormatting sqref="G6:I17">
    <cfRule type="expression" dxfId="223" priority="52">
      <formula>$A6=0</formula>
    </cfRule>
  </conditionalFormatting>
  <conditionalFormatting sqref="J6:J17">
    <cfRule type="expression" dxfId="222" priority="104">
      <formula>AND($H$67="ja",J6&gt;$A$67)</formula>
    </cfRule>
    <cfRule type="cellIs" dxfId="221" priority="105" operator="greaterThanOrEqual">
      <formula>0</formula>
    </cfRule>
  </conditionalFormatting>
  <conditionalFormatting sqref="J32:N32">
    <cfRule type="cellIs" dxfId="220" priority="239" operator="notEqual">
      <formula>$E$3</formula>
    </cfRule>
    <cfRule type="cellIs" dxfId="219" priority="240" operator="equal">
      <formula>$E$3</formula>
    </cfRule>
  </conditionalFormatting>
  <conditionalFormatting sqref="K6:K17">
    <cfRule type="cellIs" dxfId="218" priority="28" operator="lessThan">
      <formula>$A$45</formula>
    </cfRule>
    <cfRule type="cellIs" dxfId="217" priority="29" operator="equal">
      <formula>0</formula>
    </cfRule>
    <cfRule type="cellIs" dxfId="216" priority="30" operator="notEqual">
      <formula>0</formula>
    </cfRule>
  </conditionalFormatting>
  <conditionalFormatting sqref="L6:N17">
    <cfRule type="expression" dxfId="215" priority="48">
      <formula>$A6=0</formula>
    </cfRule>
  </conditionalFormatting>
  <conditionalFormatting sqref="O6:O17">
    <cfRule type="cellIs" dxfId="214" priority="97" operator="greaterThanOrEqual">
      <formula>0</formula>
    </cfRule>
    <cfRule type="expression" dxfId="213" priority="96">
      <formula>AND($H$67="ja",O6&gt;$A$67)</formula>
    </cfRule>
  </conditionalFormatting>
  <conditionalFormatting sqref="P6:P17">
    <cfRule type="cellIs" dxfId="212" priority="22" operator="lessThan">
      <formula>$A$45</formula>
    </cfRule>
    <cfRule type="cellIs" dxfId="211" priority="23" operator="equal">
      <formula>0</formula>
    </cfRule>
    <cfRule type="cellIs" dxfId="210" priority="24" operator="notEqual">
      <formula>0</formula>
    </cfRule>
  </conditionalFormatting>
  <conditionalFormatting sqref="Q6:S17">
    <cfRule type="expression" dxfId="209" priority="47">
      <formula>$A6=0</formula>
    </cfRule>
  </conditionalFormatting>
  <conditionalFormatting sqref="T6:T17">
    <cfRule type="cellIs" dxfId="208" priority="89" operator="greaterThanOrEqual">
      <formula>0</formula>
    </cfRule>
    <cfRule type="expression" dxfId="207" priority="88">
      <formula>AND($H$67="ja",T6&gt;$A$67)</formula>
    </cfRule>
  </conditionalFormatting>
  <conditionalFormatting sqref="U6:U17">
    <cfRule type="cellIs" dxfId="206" priority="17" operator="equal">
      <formula>0</formula>
    </cfRule>
    <cfRule type="cellIs" dxfId="205" priority="16" operator="lessThan">
      <formula>$A$45</formula>
    </cfRule>
    <cfRule type="cellIs" dxfId="204" priority="18" operator="notEqual">
      <formula>0</formula>
    </cfRule>
  </conditionalFormatting>
  <conditionalFormatting sqref="V6:X17">
    <cfRule type="expression" dxfId="203" priority="46">
      <formula>$A6=0</formula>
    </cfRule>
  </conditionalFormatting>
  <conditionalFormatting sqref="Y6:Y17 AD6:AD17 AI6:AI17">
    <cfRule type="expression" dxfId="202" priority="59">
      <formula>AND($H$67="ja",Y6&gt;$A$67)</formula>
    </cfRule>
    <cfRule type="cellIs" dxfId="201" priority="60" operator="greaterThanOrEqual">
      <formula>0</formula>
    </cfRule>
  </conditionalFormatting>
  <conditionalFormatting sqref="Z6:Z17">
    <cfRule type="cellIs" dxfId="200" priority="11" operator="equal">
      <formula>0</formula>
    </cfRule>
    <cfRule type="cellIs" dxfId="199" priority="10" operator="lessThan">
      <formula>$A$45</formula>
    </cfRule>
    <cfRule type="cellIs" dxfId="198" priority="12" operator="notEqual">
      <formula>0</formula>
    </cfRule>
  </conditionalFormatting>
  <conditionalFormatting sqref="AA6:AC17">
    <cfRule type="expression" dxfId="197" priority="43">
      <formula>$A6=0</formula>
    </cfRule>
  </conditionalFormatting>
  <conditionalFormatting sqref="AE6:AE17">
    <cfRule type="cellIs" dxfId="196" priority="5" operator="equal">
      <formula>0</formula>
    </cfRule>
    <cfRule type="cellIs" dxfId="195" priority="4" operator="lessThan">
      <formula>$A$45</formula>
    </cfRule>
    <cfRule type="cellIs" dxfId="194" priority="6" operator="notEqual">
      <formula>0</formula>
    </cfRule>
  </conditionalFormatting>
  <conditionalFormatting sqref="AF6:AH17">
    <cfRule type="expression" dxfId="193" priority="34">
      <formula>$A6=0</formula>
    </cfRule>
  </conditionalFormatting>
  <conditionalFormatting sqref="AJ6:AJ17">
    <cfRule type="cellIs" dxfId="192" priority="3" operator="notEqual">
      <formula>0</formula>
    </cfRule>
    <cfRule type="cellIs" dxfId="191" priority="2" operator="equal">
      <formula>0</formula>
    </cfRule>
    <cfRule type="cellIs" dxfId="190" priority="1" operator="lessThan">
      <formula>$A$45</formula>
    </cfRule>
  </conditionalFormatting>
  <conditionalFormatting sqref="AK6:AK17">
    <cfRule type="expression" dxfId="189" priority="58">
      <formula>AND($H$70="ja",AK6&gt;$A$70)</formula>
    </cfRule>
    <cfRule type="cellIs" dxfId="188" priority="61" operator="greaterThanOrEqual">
      <formula>0</formula>
    </cfRule>
  </conditionalFormatting>
  <dataValidations count="2">
    <dataValidation type="list" showInputMessage="1" showErrorMessage="1" promptTitle="Velg Turnus startdag" prompt="Velg hvilken dag turnusen starte å telle ifra. (Typisk Mandag)" sqref="E1" xr:uid="{00000000-0002-0000-1600-000000000000}">
      <formula1>Ukedager</formula1>
    </dataValidation>
    <dataValidation type="list" allowBlank="1" showInputMessage="1" showErrorMessage="1" sqref="H67 H70" xr:uid="{00000000-0002-0000-1600-000001000000}">
      <formula1>Ja_og_nei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6"/>
  <dimension ref="A1:AQ95"/>
  <sheetViews>
    <sheetView zoomScale="85" zoomScaleNormal="85" workbookViewId="0">
      <pane ySplit="24" topLeftCell="A25" activePane="bottomLeft" state="frozen"/>
      <selection pane="bottomLeft" activeCell="C14" sqref="C14"/>
    </sheetView>
  </sheetViews>
  <sheetFormatPr defaultColWidth="9.08984375" defaultRowHeight="12.5" x14ac:dyDescent="0.25"/>
  <cols>
    <col min="1" max="1" width="10.7265625" style="3" customWidth="1"/>
    <col min="2" max="2" width="7.6328125" style="3" customWidth="1"/>
    <col min="3" max="3" width="7.81640625" style="3" customWidth="1"/>
    <col min="4" max="4" width="4.36328125" style="3" bestFit="1" customWidth="1"/>
    <col min="5" max="6" width="10" style="3" customWidth="1"/>
    <col min="7" max="7" width="7" style="3" customWidth="1"/>
    <col min="8" max="8" width="7.6328125" style="3" customWidth="1"/>
    <col min="9" max="9" width="4.36328125" style="3" bestFit="1" customWidth="1"/>
    <col min="10" max="11" width="10" style="3" customWidth="1"/>
    <col min="12" max="12" width="7.26953125" style="3" customWidth="1"/>
    <col min="13" max="13" width="7.7265625" style="3" customWidth="1"/>
    <col min="14" max="14" width="4.36328125" style="3" bestFit="1" customWidth="1"/>
    <col min="15" max="15" width="10.08984375" style="3" bestFit="1" customWidth="1"/>
    <col min="16" max="16" width="10.08984375" style="3" customWidth="1"/>
    <col min="17" max="17" width="7.6328125" style="3" customWidth="1"/>
    <col min="18" max="18" width="7.7265625" style="3" customWidth="1"/>
    <col min="19" max="19" width="4.36328125" style="3" bestFit="1" customWidth="1"/>
    <col min="20" max="20" width="10.08984375" style="3" bestFit="1" customWidth="1"/>
    <col min="21" max="21" width="10.08984375" style="3" customWidth="1"/>
    <col min="22" max="22" width="8.36328125" style="3" customWidth="1"/>
    <col min="23" max="23" width="8.81640625" style="3" customWidth="1"/>
    <col min="24" max="24" width="4.36328125" style="3" bestFit="1" customWidth="1"/>
    <col min="25" max="26" width="10" style="3" customWidth="1"/>
    <col min="27" max="28" width="7.81640625" style="3" customWidth="1"/>
    <col min="29" max="29" width="4.36328125" style="3" bestFit="1" customWidth="1"/>
    <col min="30" max="31" width="9.7265625" style="3" customWidth="1"/>
    <col min="32" max="32" width="6.81640625" style="3" customWidth="1"/>
    <col min="33" max="33" width="7.6328125" style="3" customWidth="1"/>
    <col min="34" max="34" width="4.36328125" style="3" bestFit="1" customWidth="1"/>
    <col min="35" max="36" width="9.6328125" style="3" customWidth="1"/>
    <col min="37" max="37" width="15.6328125" style="3" bestFit="1" customWidth="1"/>
    <col min="38" max="16384" width="9.08984375" style="3"/>
  </cols>
  <sheetData>
    <row r="1" spans="1:39" ht="13" x14ac:dyDescent="0.3">
      <c r="A1" s="98" t="s">
        <v>66</v>
      </c>
      <c r="B1" s="98"/>
      <c r="C1" s="98"/>
      <c r="D1" s="88"/>
      <c r="E1" s="5" t="str">
        <f>Vaktplan!G38</f>
        <v>mandag</v>
      </c>
      <c r="H1" s="98" t="s">
        <v>67</v>
      </c>
      <c r="I1" s="98"/>
      <c r="J1" s="98"/>
      <c r="K1" s="98"/>
      <c r="L1" s="98"/>
      <c r="M1" s="5">
        <f>Vaktplan!AJ62</f>
        <v>12</v>
      </c>
    </row>
    <row r="2" spans="1:39" ht="13" x14ac:dyDescent="0.3">
      <c r="A2" s="98" t="s">
        <v>36</v>
      </c>
      <c r="B2" s="98"/>
      <c r="C2" s="98"/>
      <c r="D2" s="88"/>
      <c r="E2" s="8">
        <f>Vaktplan!AM62</f>
        <v>0</v>
      </c>
      <c r="I2" s="106"/>
      <c r="J2" s="106"/>
    </row>
    <row r="3" spans="1:39" ht="13" x14ac:dyDescent="0.3">
      <c r="A3" s="98" t="s">
        <v>68</v>
      </c>
      <c r="B3" s="98"/>
      <c r="C3" s="98"/>
      <c r="D3" s="88"/>
      <c r="E3" s="5">
        <f>Vaktplan!AQ62</f>
        <v>0</v>
      </c>
      <c r="F3" s="4" t="s">
        <v>69</v>
      </c>
    </row>
    <row r="4" spans="1:39" ht="13" x14ac:dyDescent="0.3">
      <c r="A4" s="89" t="s">
        <v>70</v>
      </c>
      <c r="B4" s="103" t="str">
        <f>TEXT(AG39,"DDDD")</f>
        <v>Monday</v>
      </c>
      <c r="C4" s="104"/>
      <c r="D4" s="104"/>
      <c r="E4" s="104"/>
      <c r="F4" s="105"/>
      <c r="G4" s="102" t="str">
        <f>TEXT($AG$39+1,"DDDD")</f>
        <v>Tuesday</v>
      </c>
      <c r="H4" s="102"/>
      <c r="I4" s="102"/>
      <c r="J4" s="102"/>
      <c r="K4" s="89"/>
      <c r="L4" s="102" t="str">
        <f>TEXT($AG$39+2,"DDDD")</f>
        <v>Wednesday</v>
      </c>
      <c r="M4" s="102"/>
      <c r="N4" s="102"/>
      <c r="O4" s="102"/>
      <c r="P4" s="89"/>
      <c r="Q4" s="102" t="str">
        <f>TEXT($AG$39+3,"DDDD")</f>
        <v>Thursday</v>
      </c>
      <c r="R4" s="102"/>
      <c r="S4" s="102"/>
      <c r="T4" s="102"/>
      <c r="U4" s="89"/>
      <c r="V4" s="102" t="str">
        <f>TEXT($AG$39+4,"DDDD")</f>
        <v>Friday</v>
      </c>
      <c r="W4" s="102"/>
      <c r="X4" s="102"/>
      <c r="Y4" s="102"/>
      <c r="Z4" s="89"/>
      <c r="AA4" s="102" t="str">
        <f>TEXT($AG$39+5,"DDDD")</f>
        <v>Saturday</v>
      </c>
      <c r="AB4" s="102"/>
      <c r="AC4" s="102"/>
      <c r="AD4" s="102"/>
      <c r="AE4" s="89"/>
      <c r="AF4" s="102" t="str">
        <f>TEXT($AG$39+6,"DDDD")</f>
        <v>Sunday</v>
      </c>
      <c r="AG4" s="102"/>
      <c r="AH4" s="102"/>
      <c r="AI4" s="102"/>
      <c r="AJ4" s="89"/>
      <c r="AK4" s="7" t="s">
        <v>71</v>
      </c>
      <c r="AL4" s="91"/>
    </row>
    <row r="5" spans="1:39" x14ac:dyDescent="0.25">
      <c r="A5" s="6"/>
      <c r="B5" s="6" t="s">
        <v>72</v>
      </c>
      <c r="C5" s="6" t="s">
        <v>73</v>
      </c>
      <c r="D5" s="6" t="s">
        <v>55</v>
      </c>
      <c r="E5" s="6" t="s">
        <v>74</v>
      </c>
      <c r="F5" s="6" t="s">
        <v>75</v>
      </c>
      <c r="G5" s="6" t="s">
        <v>72</v>
      </c>
      <c r="H5" s="6" t="s">
        <v>73</v>
      </c>
      <c r="I5" s="6" t="s">
        <v>55</v>
      </c>
      <c r="J5" s="6" t="s">
        <v>74</v>
      </c>
      <c r="K5" s="6" t="s">
        <v>75</v>
      </c>
      <c r="L5" s="6" t="s">
        <v>72</v>
      </c>
      <c r="M5" s="6" t="s">
        <v>73</v>
      </c>
      <c r="N5" s="6" t="s">
        <v>55</v>
      </c>
      <c r="O5" s="6" t="s">
        <v>74</v>
      </c>
      <c r="P5" s="6" t="s">
        <v>75</v>
      </c>
      <c r="Q5" s="6" t="s">
        <v>72</v>
      </c>
      <c r="R5" s="6" t="s">
        <v>73</v>
      </c>
      <c r="S5" s="6" t="s">
        <v>55</v>
      </c>
      <c r="T5" s="6" t="s">
        <v>74</v>
      </c>
      <c r="U5" s="6" t="s">
        <v>75</v>
      </c>
      <c r="V5" s="6" t="s">
        <v>72</v>
      </c>
      <c r="W5" s="6" t="s">
        <v>73</v>
      </c>
      <c r="X5" s="6" t="s">
        <v>55</v>
      </c>
      <c r="Y5" s="6" t="s">
        <v>74</v>
      </c>
      <c r="Z5" s="6" t="s">
        <v>75</v>
      </c>
      <c r="AA5" s="6" t="s">
        <v>72</v>
      </c>
      <c r="AB5" s="6" t="s">
        <v>73</v>
      </c>
      <c r="AC5" s="6" t="s">
        <v>55</v>
      </c>
      <c r="AD5" s="6" t="s">
        <v>74</v>
      </c>
      <c r="AE5" s="6" t="s">
        <v>75</v>
      </c>
      <c r="AF5" s="6" t="s">
        <v>72</v>
      </c>
      <c r="AG5" s="6" t="s">
        <v>73</v>
      </c>
      <c r="AH5" s="6" t="s">
        <v>55</v>
      </c>
      <c r="AI5" s="6" t="s">
        <v>74</v>
      </c>
      <c r="AJ5" s="6" t="s">
        <v>75</v>
      </c>
      <c r="AK5" s="6"/>
      <c r="AL5" s="91"/>
    </row>
    <row r="6" spans="1:39" ht="13" x14ac:dyDescent="0.25">
      <c r="A6" s="7">
        <f>IF(M1&gt;=1,1,0)</f>
        <v>1</v>
      </c>
      <c r="B6" s="77">
        <f>IFERROR(VLOOKUP(Vaktplan!$A$62,Vaktplan!$A$4:$CL$35,87-AH59,FALSE),0)</f>
        <v>0</v>
      </c>
      <c r="C6" s="77">
        <f>IFERROR(VLOOKUP(Vaktplan!$A$62,Vaktplan!$A$4:$CL$35,87-AG59,FALSE),0)</f>
        <v>0</v>
      </c>
      <c r="D6" s="9">
        <f>IFERROR(VLOOKUP(Vaktplan!$A$62,Vaktplan!$A$4:$CL$35,89-AG59,FALSE),0)</f>
        <v>0</v>
      </c>
      <c r="E6" s="9">
        <f>IF(AND(B6=0,C6=0),0,IF(B6&lt;C6,((C6-B6)*24)-D6,(((1-B6)+C6)*24)-D6))</f>
        <v>0</v>
      </c>
      <c r="F6" s="9">
        <f>IF(AND(C6=0,G6=0),24,IF(C6=0,12+(G6*24),IF(C6&lt;G6,((G6-C6)*24),IF(G6=0,(1-C6+0.5)*24,((1-C6)+G6)*24))))</f>
        <v>24</v>
      </c>
      <c r="G6" s="77">
        <f>IFERROR(VLOOKUP(Vaktplan!$A$62,Vaktplan!$B$4:$CL$35,86-AH59,FALSE),0)</f>
        <v>0</v>
      </c>
      <c r="H6" s="77">
        <f>IFERROR(VLOOKUP(Vaktplan!$A$62,Vaktplan!$B$4:$CL$35,86-AG59,FALSE),0)</f>
        <v>0</v>
      </c>
      <c r="I6" s="9">
        <f>IFERROR(VLOOKUP(Vaktplan!$A$62,Vaktplan!$B$4:$CL$35,89-$AH59,FALSE),0)</f>
        <v>0</v>
      </c>
      <c r="J6" s="9">
        <f>IF(AND(G6=0,H6=0),0,IF(G6&lt;H6,((H6-G6)*24)-I6,(((1-G6)+H6)*24)-I6))</f>
        <v>0</v>
      </c>
      <c r="K6" s="9">
        <f>IF(AND(H6=0,L6=0),24,IF(H6=0,12+(L6*24),IF(H6&lt;L6,((L6-H6)*24),IF(L6=0,(1-H6+0.5)*24,((1-H6)+L6)*24))))</f>
        <v>24</v>
      </c>
      <c r="L6" s="77">
        <f>IFERROR(VLOOKUP(Vaktplan!$A$62,Vaktplan!$C$4:$CL$35,86-AI59,FALSE),0)</f>
        <v>0</v>
      </c>
      <c r="M6" s="77">
        <f>IFERROR(VLOOKUP(Vaktplan!$A$62,Vaktplan!$C$4:$CL$35,86-AH59,FALSE),0)</f>
        <v>0</v>
      </c>
      <c r="N6" s="9">
        <f>IFERROR(VLOOKUP(Vaktplan!$A$62,Vaktplan!$C$4:$CL$35,89-$AI59,FALSE),0)</f>
        <v>0</v>
      </c>
      <c r="O6" s="9">
        <f>IF(AND(L6=0,M6=0),0,IF(L6&lt;M6,((M6-L6)*24)-N6,(((1-L6)+M6)*24)-N6))</f>
        <v>0</v>
      </c>
      <c r="P6" s="9">
        <f>IF(AND(M6=0,Q6=0),24,IF(M6=0,12+(Q6*24),IF(M6&lt;Q6,((Q6-M6)*24),IF(Q6=0,(1-M6+0.5)*24,((1-M6)+Q6)*24))))</f>
        <v>24</v>
      </c>
      <c r="Q6" s="77">
        <f>IFERROR(VLOOKUP(Vaktplan!$A$62,Vaktplan!$D$4:$CL$35,86-AJ59,FALSE),0)</f>
        <v>0</v>
      </c>
      <c r="R6" s="77">
        <f>IFERROR(VLOOKUP(Vaktplan!$A$62,Vaktplan!$D$4:$CL$35,86-AI59,FALSE),0)</f>
        <v>0</v>
      </c>
      <c r="S6" s="9">
        <f>IFERROR(VLOOKUP(Vaktplan!$A$62,Vaktplan!$D$4:$CL$35,89-$AJ59,FALSE),0)</f>
        <v>0</v>
      </c>
      <c r="T6" s="9">
        <f t="shared" ref="T6:T17" si="0">IF(AND(Q6=0,R6=0),0,IF(Q6&lt;R6,((R6-Q6)*24)-S6,(((1-Q6)+R6)*24)-S6))</f>
        <v>0</v>
      </c>
      <c r="U6" s="9">
        <f>IF(AND(R6=0,V6=0),24,IF(R6=0,12+(V6*24),IF(R6&lt;V6,((V6-R6)*24),IF(V6=0,(1-R6+0.5)*24,((1-R6)+V6)*24))))</f>
        <v>24</v>
      </c>
      <c r="V6" s="77">
        <f>IFERROR(VLOOKUP(Vaktplan!$A$62,Vaktplan!$E$4:$CL$35,86-AK59,FALSE),0)</f>
        <v>0</v>
      </c>
      <c r="W6" s="77">
        <f>IFERROR(VLOOKUP(Vaktplan!$A$62,Vaktplan!$E$4:$CL$35,86-AJ59,FALSE),0)</f>
        <v>0</v>
      </c>
      <c r="X6" s="9">
        <f>IFERROR(VLOOKUP(Vaktplan!$A$62,Vaktplan!$E$4:$CL$35,89-$AK59,FALSE),0)</f>
        <v>0</v>
      </c>
      <c r="Y6" s="9">
        <f>IF(AND(V6=0,W6=0),0,IF(V6&lt;W6,((W6-V6)*24)-X6,(((1-V6)+W6)*24)-X6))</f>
        <v>0</v>
      </c>
      <c r="Z6" s="9">
        <f>IF(AND(W6=0,AA6=0),24,IF(W6=0,12+(AA6*24),IF(W6&lt;AA6,((AA6-W6)*24),IF(AA6=0,(1-W6+0.5)*24,((1-W6)+AA6)*24))))</f>
        <v>24</v>
      </c>
      <c r="AA6" s="77">
        <f>IFERROR(VLOOKUP(Vaktplan!$A$62,Vaktplan!$F$4:$CL$35,86-AL59,FALSE),0)</f>
        <v>0</v>
      </c>
      <c r="AB6" s="77">
        <f>IFERROR(VLOOKUP(Vaktplan!$A$62,Vaktplan!$F$4:$CL$35,86-AK59,FALSE),0)</f>
        <v>0</v>
      </c>
      <c r="AC6" s="9">
        <f>IFERROR(VLOOKUP(Vaktplan!$A$62,Vaktplan!$F$4:$CL$35,89-$AL59,FALSE),0)</f>
        <v>0</v>
      </c>
      <c r="AD6" s="9">
        <f>IF(AND(AA6=0,AB6=0),0,IF(AA6&lt;AB6,((AB6-AA6)*24)-AC6,(((1-AA6)+AB6)*24)-AC6))</f>
        <v>0</v>
      </c>
      <c r="AE6" s="9">
        <f>IF(AND(AB6=0,AF6=0),24,IF(AB6=0,12+(AF6*24),IF(AB6&lt;AF6,((AF6-AB6)*24),IF(AF6=0,(1-AB6+0.5)*24,((1-AB6)+AF6)*24))))</f>
        <v>24</v>
      </c>
      <c r="AF6" s="77">
        <f>IFERROR(VLOOKUP(Vaktplan!$A$62,Vaktplan!$G$4:$CL$35,86-AM59,FALSE),0)</f>
        <v>0</v>
      </c>
      <c r="AG6" s="77">
        <f>IFERROR(VLOOKUP(Vaktplan!$A$62,Vaktplan!$G$4:$CL$35,86-AL59,FALSE),0)</f>
        <v>0</v>
      </c>
      <c r="AH6" s="9">
        <f>IFERROR(VLOOKUP(Vaktplan!$A$62,Vaktplan!$G$4:$CL$35,89-$AM59,FALSE),0)</f>
        <v>0</v>
      </c>
      <c r="AI6" s="9">
        <f>IF(AND(AF6=0,AG6=0),0,IF(AF6&lt;AG6,((AG6-AF6)*24)-AH6,(((1-AF6)+AG6)*24)-AH6))</f>
        <v>0</v>
      </c>
      <c r="AJ6" s="9">
        <f>IF($M$1=AL28,IF(AND(AG6=0,B6=0),24,IF(AG6=0,12+($B$6*24),IF(AG6&lt;$B$6,(($B$6-AG6)*24),IF($B$6=0,(1-AG6+1)*24,((1-AG6)+$B$6)*24)))),IF(AND(AG6=0,B7=0),24,IF(AG6=0,12+(B7*24),IF(AG6&lt;B7,((B7-AG6)*24),IF(B7=0,(1-AG6+1)*24,((1-AG6)+B7)*24)))))</f>
        <v>24</v>
      </c>
      <c r="AK6" s="9">
        <f t="shared" ref="AK6:AK17" si="1">E6+J6+O6+T6+Y6+AD6+AI6</f>
        <v>0</v>
      </c>
      <c r="AL6" s="92">
        <f>AJ6</f>
        <v>24</v>
      </c>
      <c r="AM6" s="10">
        <f>AK6</f>
        <v>0</v>
      </c>
    </row>
    <row r="7" spans="1:39" ht="13" x14ac:dyDescent="0.25">
      <c r="A7" s="7">
        <f>IF($M$1&gt;=2,2,0)</f>
        <v>2</v>
      </c>
      <c r="B7" s="77">
        <f>IFERROR(VLOOKUP(Vaktplan!$A$62,Vaktplan!$H$4:$CL$35,87-AH60,FALSE),0)</f>
        <v>0</v>
      </c>
      <c r="C7" s="77">
        <f>IFERROR(VLOOKUP(Vaktplan!$A$62,Vaktplan!$H$4:$CL$35,87-AG60,FALSE),0)</f>
        <v>0</v>
      </c>
      <c r="D7" s="9">
        <f>IFERROR(VLOOKUP(Vaktplan!$A$62,Vaktplan!$H$4:$CL$35,89-AG60,FALSE),0)</f>
        <v>0</v>
      </c>
      <c r="E7" s="9">
        <f>IF(AND(B7=0,C7=0),0,IF(B7&lt;C7,((C7-B7)*24)-D7,(((1-B7)+C7)*24)-D7))</f>
        <v>0</v>
      </c>
      <c r="F7" s="9">
        <f t="shared" ref="F7:F17" si="2">IF(AND(C7=0,G7=0),24,IF(C7=0,12+(G7*24),IF(C7&lt;G7,((G7-C7)*24),IF(G7=0,(1-C7+0.5)*24,((1-C7)+G7)*24))))</f>
        <v>24</v>
      </c>
      <c r="G7" s="77">
        <f>IFERROR(VLOOKUP(Vaktplan!$A$62,Vaktplan!$I$4:$CL$35,86-AH60,FALSE),0)</f>
        <v>0</v>
      </c>
      <c r="H7" s="77">
        <f>IFERROR(VLOOKUP(Vaktplan!$A$62,Vaktplan!$I$4:$CL$35,86-AG60,FALSE),0)</f>
        <v>0</v>
      </c>
      <c r="I7" s="9">
        <f>IFERROR(VLOOKUP(Vaktplan!$A$62,Vaktplan!$I$4:$CL$35,89-$AH60,FALSE),0)</f>
        <v>0</v>
      </c>
      <c r="J7" s="9">
        <f t="shared" ref="J7:J17" si="3">IF(AND(G7=0,H7=0),0,IF(G7&lt;H7,((H7-G7)*24)-I7,(((1-G7)+H7)*24)-I7))</f>
        <v>0</v>
      </c>
      <c r="K7" s="9">
        <f t="shared" ref="K7:K17" si="4">IF(AND(H7=0,L7=0),24,IF(H7=0,12+(L7*24),IF(H7&lt;L7,((L7-H7)*24),IF(L7=0,(1-H7+0.5)*24,((1-H7)+L7)*24))))</f>
        <v>24</v>
      </c>
      <c r="L7" s="77">
        <f>IFERROR(VLOOKUP(Vaktplan!$A$62,Vaktplan!$J$4:$CL$35,86-AI60,FALSE),0)</f>
        <v>0</v>
      </c>
      <c r="M7" s="77">
        <f>IFERROR(VLOOKUP(Vaktplan!$A$62,Vaktplan!$J$4:$CL$35,86-AH60,FALSE),0)</f>
        <v>0</v>
      </c>
      <c r="N7" s="9">
        <f>IFERROR(VLOOKUP(Vaktplan!$A$62,Vaktplan!$J$4:$CL$35,89-$AI60,FALSE),0)</f>
        <v>0</v>
      </c>
      <c r="O7" s="9">
        <f t="shared" ref="O7:O17" si="5">IF(AND(L7=0,M7=0),0,IF(L7&lt;M7,((M7-L7)*24)-N7,(((1-L7)+M7)*24)-N7))</f>
        <v>0</v>
      </c>
      <c r="P7" s="9">
        <f t="shared" ref="P7:P17" si="6">IF(AND(M7=0,Q7=0),24,IF(M7=0,12+(Q7*24),IF(M7&lt;Q7,((Q7-M7)*24),IF(Q7=0,(1-M7+0.5)*24,((1-M7)+Q7)*24))))</f>
        <v>24</v>
      </c>
      <c r="Q7" s="77">
        <f>IFERROR(VLOOKUP(Vaktplan!$A$62,Vaktplan!$K$4:$CL$35,86-AJ60,FALSE),0)</f>
        <v>0</v>
      </c>
      <c r="R7" s="77">
        <f>IFERROR(VLOOKUP(Vaktplan!$A$62,Vaktplan!$K$4:$CL$35,86-AI60,FALSE),0)</f>
        <v>0</v>
      </c>
      <c r="S7" s="9">
        <f>IFERROR(VLOOKUP(Vaktplan!$A$62,Vaktplan!$K$4:$CL$35,89-$AJ60,FALSE),0)</f>
        <v>0</v>
      </c>
      <c r="T7" s="9">
        <f t="shared" si="0"/>
        <v>0</v>
      </c>
      <c r="U7" s="9">
        <f t="shared" ref="U7:U17" si="7">IF(AND(R7=0,V7=0),24,IF(R7=0,12+(V7*24),IF(R7&lt;V7,((V7-R7)*24),IF(V7=0,(1-R7+0.5)*24,((1-R7)+V7)*24))))</f>
        <v>24</v>
      </c>
      <c r="V7" s="77">
        <f>IFERROR(VLOOKUP(Vaktplan!$A$62,Vaktplan!$L$4:$CL$35,86-AK60,FALSE),0)</f>
        <v>0</v>
      </c>
      <c r="W7" s="77">
        <f>IFERROR(VLOOKUP(Vaktplan!$A$62,Vaktplan!$L$4:$CL$35,86-AJ60,FALSE),0)</f>
        <v>0</v>
      </c>
      <c r="X7" s="9">
        <f>IFERROR(VLOOKUP(Vaktplan!$A$62,Vaktplan!$L$4:$CL$35,89-$AK60,FALSE),0)</f>
        <v>0</v>
      </c>
      <c r="Y7" s="9">
        <f t="shared" ref="Y7:Y13" si="8">IF(AND(V7=0,W7=0),0,IF(V7&lt;W7,((W7-V7)*24)-X7,(((1-V7)+W7)*24)-X7))</f>
        <v>0</v>
      </c>
      <c r="Z7" s="9">
        <f t="shared" ref="Z7:Z17" si="9">IF(AND(W7=0,AA7=0),24,IF(W7=0,12+(AA7*24),IF(W7&lt;AA7,((AA7-W7)*24),IF(AA7=0,(1-W7+0.5)*24,((1-W7)+AA7)*24))))</f>
        <v>24</v>
      </c>
      <c r="AA7" s="77">
        <f>IFERROR(VLOOKUP(Vaktplan!$A$62,Vaktplan!$M$4:$CL$35,86-AL60,FALSE),0)</f>
        <v>0</v>
      </c>
      <c r="AB7" s="77">
        <f>IFERROR(VLOOKUP(Vaktplan!$A$62,Vaktplan!$M$4:$CL$35,86-AK60,FALSE),0)</f>
        <v>0</v>
      </c>
      <c r="AC7" s="9">
        <f>IFERROR(VLOOKUP(Vaktplan!$A$62,Vaktplan!$M$4:$CL$35,89-$AL60,FALSE),0)</f>
        <v>0</v>
      </c>
      <c r="AD7" s="9">
        <f t="shared" ref="AD7:AD13" si="10">IF(AND(AA7=0,AB7=0),0,IF(AA7&lt;AB7,((AB7-AA7)*24)-AC7,(((1-AA7)+AB7)*24)-AC7))</f>
        <v>0</v>
      </c>
      <c r="AE7" s="9">
        <f t="shared" ref="AE7:AE17" si="11">IF(AND(AB7=0,AF7=0),24,IF(AB7=0,12+(AF7*24),IF(AB7&lt;AF7,((AF7-AB7)*24),IF(AF7=0,(1-AB7+0.5)*24,((1-AB7)+AF7)*24))))</f>
        <v>24</v>
      </c>
      <c r="AF7" s="77">
        <f>IFERROR(VLOOKUP(Vaktplan!$A$62,Vaktplan!$N$4:$CL$35,86-AM60,FALSE),0)</f>
        <v>0</v>
      </c>
      <c r="AG7" s="77">
        <f>IFERROR(VLOOKUP(Vaktplan!$A$62,Vaktplan!$N$4:$CL$35,86-AL60,FALSE),0)</f>
        <v>0</v>
      </c>
      <c r="AH7" s="9">
        <f>IFERROR(VLOOKUP(Vaktplan!$A$62,Vaktplan!$N$4:$CL$35,89-$AM60,FALSE),0)</f>
        <v>0</v>
      </c>
      <c r="AI7" s="9">
        <f t="shared" ref="AI7:AI13" si="12">IF(AND(AF7=0,AG7=0),0,IF(AF7&lt;AG7,((AG7-AF7)*24)-AH7,(((1-AF7)+AG7)*24)-AH7))</f>
        <v>0</v>
      </c>
      <c r="AJ7" s="9">
        <f t="shared" ref="AJ7:AJ17" si="13">IF($M$1=AL29,IF(AND(AG7=0,B7=0),24,IF(AG7=0,12+($B$6*24),IF(AG7&lt;$B$6,(($B$6-AG7)*24),IF($B$6=0,(1-AG7+1)*24,((1-AG7)+$B$6)*24)))),IF(AND(AG7=0,B8=0),24,IF(AG7=0,12+(B8*24),IF(AG7&lt;B8,((B8-AG7)*24),IF(B8=0,(1-AG7+1)*24,((1-AG7)+B8)*24)))))</f>
        <v>24</v>
      </c>
      <c r="AK7" s="9">
        <f t="shared" si="1"/>
        <v>0</v>
      </c>
      <c r="AL7" s="92">
        <f t="shared" ref="AL7:AL13" si="14">AJ7</f>
        <v>24</v>
      </c>
      <c r="AM7" s="10">
        <f t="shared" ref="AM7:AM13" si="15">AK7</f>
        <v>0</v>
      </c>
    </row>
    <row r="8" spans="1:39" ht="13" x14ac:dyDescent="0.25">
      <c r="A8" s="7">
        <f>IF($M$1&gt;=3,3,0)</f>
        <v>3</v>
      </c>
      <c r="B8" s="77">
        <f>IFERROR(VLOOKUP(Vaktplan!$A$62,Vaktplan!$O$4:$CL$35,87-AH61,FALSE),0)</f>
        <v>0</v>
      </c>
      <c r="C8" s="77">
        <f>IFERROR(VLOOKUP(Vaktplan!$A$62,Vaktplan!$O$4:$CL$35,87-AG61,FALSE),0)</f>
        <v>0</v>
      </c>
      <c r="D8" s="9">
        <f>IFERROR(VLOOKUP(Vaktplan!$A$62,Vaktplan!$O$4:$CL$35,89-AG61,FALSE),0)</f>
        <v>0</v>
      </c>
      <c r="E8" s="9">
        <f t="shared" ref="E8:E17" si="16">IF(AND(B8=0,C8=0),0,IF(B8&lt;C8,((C8-B8)*24)-D8,(((1-B8)+C8)*24)-D8))</f>
        <v>0</v>
      </c>
      <c r="F8" s="9">
        <f t="shared" si="2"/>
        <v>24</v>
      </c>
      <c r="G8" s="77">
        <f>IFERROR(VLOOKUP(Vaktplan!$A$62,Vaktplan!$P$4:$CL$35,86-AH61,FALSE),0)</f>
        <v>0</v>
      </c>
      <c r="H8" s="77">
        <f>IFERROR(VLOOKUP(Vaktplan!$A$62,Vaktplan!$P$4:$CL$35,86-AG61,FALSE),0)</f>
        <v>0</v>
      </c>
      <c r="I8" s="9">
        <f>IFERROR(VLOOKUP(Vaktplan!$A$62,Vaktplan!$P$4:$CL$35,89-$AH61,FALSE),0)</f>
        <v>0</v>
      </c>
      <c r="J8" s="9">
        <f>IF(AND(G8=0,H8=0),0,IF(G8&lt;H8,((H8-G8)*24)-I8,(((1-G8)+H8)*24)-I8))</f>
        <v>0</v>
      </c>
      <c r="K8" s="9">
        <f t="shared" si="4"/>
        <v>24</v>
      </c>
      <c r="L8" s="77">
        <f>IFERROR(VLOOKUP(Vaktplan!$A$62,Vaktplan!$Q$4:$CL$35,86-AI61,FALSE),0)</f>
        <v>0</v>
      </c>
      <c r="M8" s="77">
        <f>IFERROR(VLOOKUP(Vaktplan!$A$62,Vaktplan!$Q$4:$CL$35,86-AH61,FALSE),0)</f>
        <v>0</v>
      </c>
      <c r="N8" s="9">
        <f>IFERROR(VLOOKUP(Vaktplan!$A$62,Vaktplan!$Q$4:$CL$35,89-$AI61,FALSE),0)</f>
        <v>0</v>
      </c>
      <c r="O8" s="9">
        <f t="shared" si="5"/>
        <v>0</v>
      </c>
      <c r="P8" s="9">
        <f t="shared" si="6"/>
        <v>24</v>
      </c>
      <c r="Q8" s="77">
        <f>IFERROR(VLOOKUP(Vaktplan!$A$62,Vaktplan!$R$4:$CL$35,86-AJ61,FALSE),0)</f>
        <v>0</v>
      </c>
      <c r="R8" s="77">
        <f>IFERROR(VLOOKUP(Vaktplan!$A$62,Vaktplan!$R$4:$CL$35,86-AI61,FALSE),0)</f>
        <v>0</v>
      </c>
      <c r="S8" s="9">
        <f>IFERROR(VLOOKUP(Vaktplan!$A$62,Vaktplan!$R$4:$CL$35,89-$AJ61,FALSE),0)</f>
        <v>0</v>
      </c>
      <c r="T8" s="9">
        <f t="shared" si="0"/>
        <v>0</v>
      </c>
      <c r="U8" s="9">
        <f t="shared" si="7"/>
        <v>24</v>
      </c>
      <c r="V8" s="77">
        <f>IFERROR(VLOOKUP(Vaktplan!$A$62,Vaktplan!$S$4:$CL$35,86-AK61,FALSE),0)</f>
        <v>0</v>
      </c>
      <c r="W8" s="77">
        <f>IFERROR(VLOOKUP(Vaktplan!$A$62,Vaktplan!$S$4:$CL$35,86-AJ61,FALSE),0)</f>
        <v>0</v>
      </c>
      <c r="X8" s="9">
        <f>IFERROR(VLOOKUP(Vaktplan!$A$62,Vaktplan!$S$4:$CL$35,89-$AK61,FALSE),0)</f>
        <v>0</v>
      </c>
      <c r="Y8" s="9">
        <f t="shared" si="8"/>
        <v>0</v>
      </c>
      <c r="Z8" s="9">
        <f t="shared" si="9"/>
        <v>24</v>
      </c>
      <c r="AA8" s="77">
        <f>IFERROR(VLOOKUP(Vaktplan!$A$62,Vaktplan!$T$4:$CL$35,86-AL61,FALSE),0)</f>
        <v>0</v>
      </c>
      <c r="AB8" s="77">
        <f>IFERROR(VLOOKUP(Vaktplan!$A$62,Vaktplan!$T$4:$CL$35,86-AK61,FALSE),0)</f>
        <v>0</v>
      </c>
      <c r="AC8" s="9">
        <f>IFERROR(VLOOKUP(Vaktplan!$A$62,Vaktplan!$T$4:$CL$35,89-$AL61,FALSE),0)</f>
        <v>0</v>
      </c>
      <c r="AD8" s="9">
        <f t="shared" si="10"/>
        <v>0</v>
      </c>
      <c r="AE8" s="9">
        <f t="shared" si="11"/>
        <v>24</v>
      </c>
      <c r="AF8" s="77">
        <f>IFERROR(VLOOKUP(Vaktplan!$A$62,Vaktplan!$U$4:$CL$35,86-AM61,FALSE),0)</f>
        <v>0</v>
      </c>
      <c r="AG8" s="77">
        <f>IFERROR(VLOOKUP(Vaktplan!$A$62,Vaktplan!$U$4:$CL$35,86-AL61,FALSE),0)</f>
        <v>0</v>
      </c>
      <c r="AH8" s="9">
        <f>IFERROR(VLOOKUP(Vaktplan!$A$62,Vaktplan!$U$4:$CL$35,89-$AM61,FALSE),0)</f>
        <v>0</v>
      </c>
      <c r="AI8" s="9">
        <f t="shared" si="12"/>
        <v>0</v>
      </c>
      <c r="AJ8" s="9">
        <f t="shared" si="13"/>
        <v>24</v>
      </c>
      <c r="AK8" s="9">
        <f t="shared" si="1"/>
        <v>0</v>
      </c>
      <c r="AL8" s="92">
        <f t="shared" si="14"/>
        <v>24</v>
      </c>
      <c r="AM8" s="10">
        <f t="shared" si="15"/>
        <v>0</v>
      </c>
    </row>
    <row r="9" spans="1:39" ht="13" x14ac:dyDescent="0.25">
      <c r="A9" s="7">
        <f>IF($M$1&gt;=4,4,0)</f>
        <v>4</v>
      </c>
      <c r="B9" s="77">
        <f>IFERROR(VLOOKUP(Vaktplan!$A$62,Vaktplan!$V$4:$CL$35,87-AH62,FALSE),0)</f>
        <v>0</v>
      </c>
      <c r="C9" s="77">
        <f>IFERROR(VLOOKUP(Vaktplan!$A$62,Vaktplan!$V$4:$CL$35,87-AG62,FALSE),0)</f>
        <v>0</v>
      </c>
      <c r="D9" s="9">
        <f>IFERROR(VLOOKUP(Vaktplan!$A$62,Vaktplan!$V$4:$CL$35,89-AG62,FALSE),0)</f>
        <v>0</v>
      </c>
      <c r="E9" s="9">
        <f t="shared" si="16"/>
        <v>0</v>
      </c>
      <c r="F9" s="9">
        <f t="shared" si="2"/>
        <v>24</v>
      </c>
      <c r="G9" s="77">
        <f>IFERROR(VLOOKUP(Vaktplan!$A$62,Vaktplan!$W$4:$CL$35,86-AH62,FALSE),0)</f>
        <v>0</v>
      </c>
      <c r="H9" s="77">
        <f>IFERROR(VLOOKUP(Vaktplan!$A$62,Vaktplan!$W$4:$CL$35,86-AG62,FALSE),0)</f>
        <v>0</v>
      </c>
      <c r="I9" s="9">
        <f>IFERROR(VLOOKUP(Vaktplan!$A$62,Vaktplan!$W$4:$CL$35,89-$AH62,FALSE),0)</f>
        <v>0</v>
      </c>
      <c r="J9" s="9">
        <f t="shared" si="3"/>
        <v>0</v>
      </c>
      <c r="K9" s="9">
        <f t="shared" si="4"/>
        <v>24</v>
      </c>
      <c r="L9" s="77">
        <f>IFERROR(VLOOKUP(Vaktplan!$A$62,Vaktplan!$X$4:$CL$35,86-AI62,FALSE),0)</f>
        <v>0</v>
      </c>
      <c r="M9" s="77">
        <f>IFERROR(VLOOKUP(Vaktplan!$A$62,Vaktplan!$X$4:$CL$35,86-AH62,FALSE),0)</f>
        <v>0</v>
      </c>
      <c r="N9" s="9">
        <f>IFERROR(VLOOKUP(Vaktplan!$A$62,Vaktplan!$X$4:$CL$35,89-$AI62,FALSE),0)</f>
        <v>0</v>
      </c>
      <c r="O9" s="9">
        <f t="shared" si="5"/>
        <v>0</v>
      </c>
      <c r="P9" s="9">
        <f t="shared" si="6"/>
        <v>24</v>
      </c>
      <c r="Q9" s="77">
        <f>IFERROR(VLOOKUP(Vaktplan!$A$62,Vaktplan!$Y$4:$CL$35,86-AJ62,FALSE),0)</f>
        <v>0</v>
      </c>
      <c r="R9" s="77">
        <f>IFERROR(VLOOKUP(Vaktplan!$A$62,Vaktplan!$Y$4:$CL$35,86-AI62,FALSE),0)</f>
        <v>0</v>
      </c>
      <c r="S9" s="9">
        <f>IFERROR(VLOOKUP(Vaktplan!$A$62,Vaktplan!$Y$4:$CL$35,89-$AJ62,FALSE),0)</f>
        <v>0</v>
      </c>
      <c r="T9" s="9">
        <f t="shared" si="0"/>
        <v>0</v>
      </c>
      <c r="U9" s="9">
        <f t="shared" si="7"/>
        <v>24</v>
      </c>
      <c r="V9" s="77">
        <f>IFERROR(VLOOKUP(Vaktplan!$A$62,Vaktplan!$Z$4:$CL$35,86-AK62,FALSE),0)</f>
        <v>0</v>
      </c>
      <c r="W9" s="77">
        <f>IFERROR(VLOOKUP(Vaktplan!$A$62,Vaktplan!$Z$4:$CL$35,86-AJ62,FALSE),0)</f>
        <v>0</v>
      </c>
      <c r="X9" s="9">
        <f>IFERROR(VLOOKUP(Vaktplan!$A$62,Vaktplan!$Z$4:$CL$35,89-$AK62,FALSE),0)</f>
        <v>0</v>
      </c>
      <c r="Y9" s="9">
        <f t="shared" si="8"/>
        <v>0</v>
      </c>
      <c r="Z9" s="9">
        <f t="shared" si="9"/>
        <v>24</v>
      </c>
      <c r="AA9" s="77">
        <f>IFERROR(VLOOKUP(Vaktplan!$A$62,Vaktplan!$AA$4:$CL$35,86-AL62,FALSE),0)</f>
        <v>0</v>
      </c>
      <c r="AB9" s="77">
        <f>IFERROR(VLOOKUP(Vaktplan!$A$62,Vaktplan!$AA$4:$CL$35,86-AK62,FALSE),0)</f>
        <v>0</v>
      </c>
      <c r="AC9" s="9">
        <f>IFERROR(VLOOKUP(Vaktplan!$A$62,Vaktplan!$AA$4:$CL$35,89-$AL62,FALSE),0)</f>
        <v>0</v>
      </c>
      <c r="AD9" s="9">
        <f t="shared" si="10"/>
        <v>0</v>
      </c>
      <c r="AE9" s="9">
        <f t="shared" si="11"/>
        <v>24</v>
      </c>
      <c r="AF9" s="77">
        <f>IFERROR(VLOOKUP(Vaktplan!$A$62,Vaktplan!$AB$4:$CL$35,86-AM62,FALSE),0)</f>
        <v>0</v>
      </c>
      <c r="AG9" s="77">
        <f>IFERROR(VLOOKUP(Vaktplan!$A$62,Vaktplan!$AB$4:$CL$35,86-AL62,FALSE),0)</f>
        <v>0</v>
      </c>
      <c r="AH9" s="9">
        <f>IFERROR(VLOOKUP(Vaktplan!$A$62,Vaktplan!$AB$4:$CL$35,89-$AM62,FALSE),0)</f>
        <v>0</v>
      </c>
      <c r="AI9" s="9">
        <f t="shared" si="12"/>
        <v>0</v>
      </c>
      <c r="AJ9" s="9">
        <f t="shared" si="13"/>
        <v>24</v>
      </c>
      <c r="AK9" s="9">
        <f t="shared" si="1"/>
        <v>0</v>
      </c>
      <c r="AL9" s="92">
        <f t="shared" si="14"/>
        <v>24</v>
      </c>
      <c r="AM9" s="10">
        <f t="shared" si="15"/>
        <v>0</v>
      </c>
    </row>
    <row r="10" spans="1:39" ht="13" x14ac:dyDescent="0.25">
      <c r="A10" s="7">
        <f>IF($M$1&gt;=5,5,0)</f>
        <v>5</v>
      </c>
      <c r="B10" s="77">
        <f>IFERROR(VLOOKUP(Vaktplan!$A$62,Vaktplan!$AC$4:$CL$35,87-AH63,FALSE),0)</f>
        <v>0</v>
      </c>
      <c r="C10" s="77">
        <f>IFERROR(VLOOKUP(Vaktplan!$A$62,Vaktplan!$AC$4:$CL$35,87-AG63,FALSE),0)</f>
        <v>0</v>
      </c>
      <c r="D10" s="9">
        <f>IFERROR(VLOOKUP(Vaktplan!$A$62,Vaktplan!$AC$4:$CL$35,89-AG63,FALSE),0)</f>
        <v>0</v>
      </c>
      <c r="E10" s="9">
        <f t="shared" si="16"/>
        <v>0</v>
      </c>
      <c r="F10" s="9">
        <f t="shared" si="2"/>
        <v>24</v>
      </c>
      <c r="G10" s="77">
        <f>IFERROR(VLOOKUP(Vaktplan!$A$62,Vaktplan!$AD$4:$CL$35,86-AH63,FALSE),0)</f>
        <v>0</v>
      </c>
      <c r="H10" s="77">
        <f>IFERROR(VLOOKUP(Vaktplan!$A$62,Vaktplan!$AD$4:$CL$35,86-AG63,FALSE),0)</f>
        <v>0</v>
      </c>
      <c r="I10" s="9">
        <f>IFERROR(VLOOKUP(Vaktplan!$A$62,Vaktplan!$AD$4:$CL$35,89-$AH63,FALSE),0)</f>
        <v>0</v>
      </c>
      <c r="J10" s="9">
        <f t="shared" si="3"/>
        <v>0</v>
      </c>
      <c r="K10" s="9">
        <f t="shared" si="4"/>
        <v>24</v>
      </c>
      <c r="L10" s="77">
        <f>IFERROR(VLOOKUP(Vaktplan!$A$62,Vaktplan!$AE$4:$CL$35,86-AI63,FALSE),0)</f>
        <v>0</v>
      </c>
      <c r="M10" s="77">
        <f>IFERROR(VLOOKUP(Vaktplan!$A$62,Vaktplan!$AE$4:$CL$35,86-AH63,FALSE),0)</f>
        <v>0</v>
      </c>
      <c r="N10" s="9">
        <f>IFERROR(VLOOKUP(Vaktplan!$A$62,Vaktplan!$AE$4:$CL$35,89-$AI63,FALSE),0)</f>
        <v>0</v>
      </c>
      <c r="O10" s="9">
        <f t="shared" si="5"/>
        <v>0</v>
      </c>
      <c r="P10" s="9">
        <f t="shared" si="6"/>
        <v>24</v>
      </c>
      <c r="Q10" s="77">
        <f>IFERROR(VLOOKUP(Vaktplan!$A$62,Vaktplan!$AF$4:$CL$35,86-AJ63,FALSE),0)</f>
        <v>0</v>
      </c>
      <c r="R10" s="77">
        <f>IFERROR(VLOOKUP(Vaktplan!$A$62,Vaktplan!$AF$4:$CL$35,86-AI63,FALSE),0)</f>
        <v>0</v>
      </c>
      <c r="S10" s="9">
        <f>IFERROR(VLOOKUP(Vaktplan!$A$62,Vaktplan!$AF$4:$CL$35,89-$AJ63,FALSE),0)</f>
        <v>0</v>
      </c>
      <c r="T10" s="9">
        <f t="shared" si="0"/>
        <v>0</v>
      </c>
      <c r="U10" s="9">
        <f t="shared" si="7"/>
        <v>24</v>
      </c>
      <c r="V10" s="77">
        <f>IFERROR(VLOOKUP(Vaktplan!$A$62,Vaktplan!$AG$4:$CL$35,86-AK63,FALSE),0)</f>
        <v>0</v>
      </c>
      <c r="W10" s="77">
        <f>IFERROR(VLOOKUP(Vaktplan!$A$62,Vaktplan!$AG$4:$CL$35,86-AJ63,FALSE),0)</f>
        <v>0</v>
      </c>
      <c r="X10" s="9">
        <f>IFERROR(VLOOKUP(Vaktplan!$A$62,Vaktplan!$AG$4:$CL$35,89-$AK63,FALSE),0)</f>
        <v>0</v>
      </c>
      <c r="Y10" s="9">
        <f t="shared" si="8"/>
        <v>0</v>
      </c>
      <c r="Z10" s="9">
        <f t="shared" si="9"/>
        <v>24</v>
      </c>
      <c r="AA10" s="77">
        <f>IFERROR(VLOOKUP(Vaktplan!$A$62,Vaktplan!$AH$4:$CL$35,86-AL63,FALSE),0)</f>
        <v>0</v>
      </c>
      <c r="AB10" s="77">
        <f>IFERROR(VLOOKUP(Vaktplan!$A$62,Vaktplan!$AH$4:$CL$35,86-AK63,FALSE),0)</f>
        <v>0</v>
      </c>
      <c r="AC10" s="9">
        <f>IFERROR(VLOOKUP(Vaktplan!$A$62,Vaktplan!$AH$4:$CL$35,89-$AL63,FALSE),0)</f>
        <v>0</v>
      </c>
      <c r="AD10" s="9">
        <f t="shared" si="10"/>
        <v>0</v>
      </c>
      <c r="AE10" s="9">
        <f t="shared" si="11"/>
        <v>24</v>
      </c>
      <c r="AF10" s="77">
        <f>IFERROR(VLOOKUP(Vaktplan!$A$62,Vaktplan!$AI$4:$CL$35,86-AM63,FALSE),0)</f>
        <v>0</v>
      </c>
      <c r="AG10" s="77">
        <f>IFERROR(VLOOKUP(Vaktplan!$A$62,Vaktplan!$AI$4:$CL$35,86-AL63,FALSE),0)</f>
        <v>0</v>
      </c>
      <c r="AH10" s="9">
        <f>IFERROR(VLOOKUP(Vaktplan!$A$62,Vaktplan!$AI$4:$CL$35,89-$AM63,FALSE),0)</f>
        <v>0</v>
      </c>
      <c r="AI10" s="9">
        <f t="shared" si="12"/>
        <v>0</v>
      </c>
      <c r="AJ10" s="9">
        <f t="shared" si="13"/>
        <v>24</v>
      </c>
      <c r="AK10" s="9">
        <f t="shared" si="1"/>
        <v>0</v>
      </c>
      <c r="AL10" s="92">
        <f t="shared" si="14"/>
        <v>24</v>
      </c>
      <c r="AM10" s="10">
        <f t="shared" si="15"/>
        <v>0</v>
      </c>
    </row>
    <row r="11" spans="1:39" ht="13" x14ac:dyDescent="0.25">
      <c r="A11" s="7">
        <f>IF($M$1&gt;=6,6,0)</f>
        <v>6</v>
      </c>
      <c r="B11" s="77">
        <f>IFERROR(VLOOKUP(Vaktplan!$A$62,Vaktplan!$AJ$4:$CL$35,87-AH64,FALSE),0)</f>
        <v>0</v>
      </c>
      <c r="C11" s="77">
        <f>IFERROR(VLOOKUP(Vaktplan!$A$62,Vaktplan!$AJ$4:$CL$35,87-AG64,FALSE),0)</f>
        <v>0</v>
      </c>
      <c r="D11" s="9">
        <f>IFERROR(VLOOKUP(Vaktplan!$A$62,Vaktplan!$AJ$4:$CL$35,89-AG64,FALSE),0)</f>
        <v>0</v>
      </c>
      <c r="E11" s="9">
        <f t="shared" si="16"/>
        <v>0</v>
      </c>
      <c r="F11" s="9">
        <f t="shared" si="2"/>
        <v>24</v>
      </c>
      <c r="G11" s="77">
        <f>IFERROR(VLOOKUP(Vaktplan!$A$62,Vaktplan!$AK$4:$CL$35,86-AH64,FALSE),0)</f>
        <v>0</v>
      </c>
      <c r="H11" s="77">
        <f>IFERROR(VLOOKUP(Vaktplan!$A$62,Vaktplan!$AK$4:$CL$35,86-AG64,FALSE),0)</f>
        <v>0</v>
      </c>
      <c r="I11" s="9">
        <f>IFERROR(VLOOKUP(Vaktplan!$A$62,Vaktplan!$AK$4:$CL$35,89-$AH64,FALSE),0)</f>
        <v>0</v>
      </c>
      <c r="J11" s="9">
        <f t="shared" si="3"/>
        <v>0</v>
      </c>
      <c r="K11" s="9">
        <f t="shared" si="4"/>
        <v>24</v>
      </c>
      <c r="L11" s="77">
        <f>IFERROR(VLOOKUP(Vaktplan!$A$62,Vaktplan!$AL$4:$CL$35,86-AI64,FALSE),0)</f>
        <v>0</v>
      </c>
      <c r="M11" s="77">
        <f>IFERROR(VLOOKUP(Vaktplan!$A$62,Vaktplan!$AL$4:$CL$35,86-AH64,FALSE),0)</f>
        <v>0</v>
      </c>
      <c r="N11" s="9">
        <f>IFERROR(VLOOKUP(Vaktplan!$A$62,Vaktplan!$AL$4:$CL$35,89-$AI64,FALSE),0)</f>
        <v>0</v>
      </c>
      <c r="O11" s="9">
        <f t="shared" si="5"/>
        <v>0</v>
      </c>
      <c r="P11" s="9">
        <f t="shared" si="6"/>
        <v>24</v>
      </c>
      <c r="Q11" s="77">
        <f>IFERROR(VLOOKUP(Vaktplan!$A$62,Vaktplan!$AM$4:$CL$35,86-AJ64,FALSE),0)</f>
        <v>0</v>
      </c>
      <c r="R11" s="77">
        <f>IFERROR(VLOOKUP(Vaktplan!$A$62,Vaktplan!$AM$4:$CL$35,86-AI64,FALSE),0)</f>
        <v>0</v>
      </c>
      <c r="S11" s="9">
        <f>IFERROR(VLOOKUP(Vaktplan!$A$62,Vaktplan!$AM$4:$CL$35,89-$AJ64,FALSE),0)</f>
        <v>0</v>
      </c>
      <c r="T11" s="9">
        <f t="shared" si="0"/>
        <v>0</v>
      </c>
      <c r="U11" s="9">
        <f t="shared" si="7"/>
        <v>24</v>
      </c>
      <c r="V11" s="77">
        <f>IFERROR(VLOOKUP(Vaktplan!$A$62,Vaktplan!$AN$4:$CL$35,86-AK64,FALSE),0)</f>
        <v>0</v>
      </c>
      <c r="W11" s="77">
        <f>IFERROR(VLOOKUP(Vaktplan!$A$62,Vaktplan!$AN$4:$CL$35,86-AJ64,FALSE),0)</f>
        <v>0</v>
      </c>
      <c r="X11" s="9">
        <f>IFERROR(VLOOKUP(Vaktplan!$A$62,Vaktplan!$AN$4:$CL$35,89-$AK64,FALSE),0)</f>
        <v>0</v>
      </c>
      <c r="Y11" s="9">
        <f t="shared" si="8"/>
        <v>0</v>
      </c>
      <c r="Z11" s="9">
        <f t="shared" si="9"/>
        <v>24</v>
      </c>
      <c r="AA11" s="77">
        <f>IFERROR(VLOOKUP(Vaktplan!$A$62,Vaktplan!$AO$4:$CL$35,86-AL64,FALSE),0)</f>
        <v>0</v>
      </c>
      <c r="AB11" s="77">
        <f>IFERROR(VLOOKUP(Vaktplan!$A$62,Vaktplan!$AO$4:$CL$35,86-AK64,FALSE),0)</f>
        <v>0</v>
      </c>
      <c r="AC11" s="9">
        <f>IFERROR(VLOOKUP(Vaktplan!$A$62,Vaktplan!$AO$4:$CL$35,89-$AL64,FALSE),0)</f>
        <v>0</v>
      </c>
      <c r="AD11" s="9">
        <f t="shared" si="10"/>
        <v>0</v>
      </c>
      <c r="AE11" s="9">
        <f t="shared" si="11"/>
        <v>24</v>
      </c>
      <c r="AF11" s="77">
        <f>IFERROR(VLOOKUP(Vaktplan!$A$62,Vaktplan!$AP$4:$CL$35,86-AM64,FALSE),0)</f>
        <v>0</v>
      </c>
      <c r="AG11" s="77">
        <f>IFERROR(VLOOKUP(Vaktplan!$A$62,Vaktplan!$AP$4:$CL$35,86-AL64,FALSE),0)</f>
        <v>0</v>
      </c>
      <c r="AH11" s="9">
        <f>IFERROR(VLOOKUP(Vaktplan!$A$62,Vaktplan!$AP$4:$CL$35,89-$AM64,FALSE),0)</f>
        <v>0</v>
      </c>
      <c r="AI11" s="9">
        <f t="shared" si="12"/>
        <v>0</v>
      </c>
      <c r="AJ11" s="9">
        <f t="shared" si="13"/>
        <v>24</v>
      </c>
      <c r="AK11" s="9">
        <f t="shared" si="1"/>
        <v>0</v>
      </c>
      <c r="AL11" s="92">
        <f t="shared" si="14"/>
        <v>24</v>
      </c>
      <c r="AM11" s="10">
        <f t="shared" si="15"/>
        <v>0</v>
      </c>
    </row>
    <row r="12" spans="1:39" ht="13" x14ac:dyDescent="0.25">
      <c r="A12" s="7">
        <f>IF($M$1&gt;=7,7,0)</f>
        <v>7</v>
      </c>
      <c r="B12" s="77">
        <f>IFERROR(VLOOKUP(Vaktplan!$A$62,Vaktplan!$AQ$4:$CL$35,87-AH65,FALSE),0)</f>
        <v>0</v>
      </c>
      <c r="C12" s="77">
        <f>IFERROR(VLOOKUP(Vaktplan!$A$62,Vaktplan!$AQ$4:$CL$35,87-AG65,FALSE),0)</f>
        <v>0</v>
      </c>
      <c r="D12" s="9">
        <f>IFERROR(VLOOKUP(Vaktplan!$A$62,Vaktplan!$AQ$4:$CL$35,89-AG65,FALSE),0)</f>
        <v>0</v>
      </c>
      <c r="E12" s="9">
        <f t="shared" si="16"/>
        <v>0</v>
      </c>
      <c r="F12" s="9">
        <f t="shared" si="2"/>
        <v>24</v>
      </c>
      <c r="G12" s="77">
        <f>IFERROR(VLOOKUP(Vaktplan!$A$62,Vaktplan!$AR$4:$CL$35,86-AH65,FALSE),0)</f>
        <v>0</v>
      </c>
      <c r="H12" s="77">
        <f>IFERROR(VLOOKUP(Vaktplan!$A$62,Vaktplan!$AR$4:$CL$35,86-AG65,FALSE),0)</f>
        <v>0</v>
      </c>
      <c r="I12" s="9">
        <f>IFERROR(VLOOKUP(Vaktplan!$A$62,Vaktplan!$AR$4:$CL$35,89-$AH65,FALSE),0)</f>
        <v>0</v>
      </c>
      <c r="J12" s="9">
        <f t="shared" si="3"/>
        <v>0</v>
      </c>
      <c r="K12" s="9">
        <f t="shared" si="4"/>
        <v>24</v>
      </c>
      <c r="L12" s="77">
        <f>IFERROR(VLOOKUP(Vaktplan!$A$62,Vaktplan!$AS$4:$CL$35,86-AI65,FALSE),0)</f>
        <v>0</v>
      </c>
      <c r="M12" s="77">
        <f>IFERROR(VLOOKUP(Vaktplan!$A$62,Vaktplan!$AS$4:$CL$35,86-AH65,FALSE),0)</f>
        <v>0</v>
      </c>
      <c r="N12" s="9">
        <f>IFERROR(VLOOKUP(Vaktplan!$A$62,Vaktplan!$AS$4:$CL$35,89-$AI65,FALSE),0)</f>
        <v>0</v>
      </c>
      <c r="O12" s="9">
        <f t="shared" si="5"/>
        <v>0</v>
      </c>
      <c r="P12" s="9">
        <f t="shared" si="6"/>
        <v>24</v>
      </c>
      <c r="Q12" s="77">
        <f>IFERROR(VLOOKUP(Vaktplan!$A$62,Vaktplan!$AT$4:$CL$35,86-AJ65,FALSE),0)</f>
        <v>0</v>
      </c>
      <c r="R12" s="77">
        <f>IFERROR(VLOOKUP(Vaktplan!$A$62,Vaktplan!$AT$4:$CL$35,86-AI65,FALSE),0)</f>
        <v>0</v>
      </c>
      <c r="S12" s="9">
        <f>IFERROR(VLOOKUP(Vaktplan!$A$62,Vaktplan!$AT$4:$CL$35,89-$AJ65,FALSE),0)</f>
        <v>0</v>
      </c>
      <c r="T12" s="9">
        <f t="shared" si="0"/>
        <v>0</v>
      </c>
      <c r="U12" s="9">
        <f t="shared" si="7"/>
        <v>24</v>
      </c>
      <c r="V12" s="77">
        <f>IFERROR(VLOOKUP(Vaktplan!$A$62,Vaktplan!$AU$4:$CL$35,86-AK65,FALSE),0)</f>
        <v>0</v>
      </c>
      <c r="W12" s="77">
        <f>IFERROR(VLOOKUP(Vaktplan!$A$62,Vaktplan!$AU$4:$CL$35,86-AJ65,FALSE),0)</f>
        <v>0</v>
      </c>
      <c r="X12" s="9">
        <f>IFERROR(VLOOKUP(Vaktplan!$A$62,Vaktplan!$AU$4:$CL$35,89-$AK65,FALSE),0)</f>
        <v>0</v>
      </c>
      <c r="Y12" s="9">
        <f t="shared" si="8"/>
        <v>0</v>
      </c>
      <c r="Z12" s="9">
        <f t="shared" si="9"/>
        <v>24</v>
      </c>
      <c r="AA12" s="77">
        <f>IFERROR(VLOOKUP(Vaktplan!$A$62,Vaktplan!$AV$4:$CL$35,86-AL65,FALSE),0)</f>
        <v>0</v>
      </c>
      <c r="AB12" s="77">
        <f>IFERROR(VLOOKUP(Vaktplan!$A$62,Vaktplan!$AV$4:$CL$35,86-AK65,FALSE),0)</f>
        <v>0</v>
      </c>
      <c r="AC12" s="9">
        <f>IFERROR(VLOOKUP(Vaktplan!$A$62,Vaktplan!$AV$4:$CL$35,89-$AL65,FALSE),0)</f>
        <v>0</v>
      </c>
      <c r="AD12" s="9">
        <f t="shared" si="10"/>
        <v>0</v>
      </c>
      <c r="AE12" s="9">
        <f t="shared" si="11"/>
        <v>24</v>
      </c>
      <c r="AF12" s="77">
        <f>IFERROR(VLOOKUP(Vaktplan!$A$62,Vaktplan!$AW$4:$CL$35,86-AM65,FALSE),0)</f>
        <v>0</v>
      </c>
      <c r="AG12" s="77">
        <f>IFERROR(VLOOKUP(Vaktplan!$A$62,Vaktplan!$AW$4:$CL$35,86-AL65,FALSE),0)</f>
        <v>0</v>
      </c>
      <c r="AH12" s="9">
        <f>IFERROR(VLOOKUP(Vaktplan!$A$62,Vaktplan!$AW$4:$CL$35,89-$AM65,FALSE),0)</f>
        <v>0</v>
      </c>
      <c r="AI12" s="9">
        <f t="shared" si="12"/>
        <v>0</v>
      </c>
      <c r="AJ12" s="9">
        <f t="shared" si="13"/>
        <v>24</v>
      </c>
      <c r="AK12" s="9">
        <f t="shared" si="1"/>
        <v>0</v>
      </c>
      <c r="AL12" s="92">
        <f t="shared" si="14"/>
        <v>24</v>
      </c>
      <c r="AM12" s="10">
        <f t="shared" si="15"/>
        <v>0</v>
      </c>
    </row>
    <row r="13" spans="1:39" ht="13" x14ac:dyDescent="0.25">
      <c r="A13" s="7">
        <f>IF($M$1&gt;=8,8,0)</f>
        <v>8</v>
      </c>
      <c r="B13" s="77">
        <f>IFERROR(VLOOKUP(Vaktplan!$A$62,Vaktplan!$AX$4:$CL$35,87-AH66,FALSE),0)</f>
        <v>0</v>
      </c>
      <c r="C13" s="77">
        <f>IFERROR(VLOOKUP(Vaktplan!$A$62,Vaktplan!$AX$4:$CL$35,87-AG66,FALSE),0)</f>
        <v>0</v>
      </c>
      <c r="D13" s="9">
        <f>IFERROR(VLOOKUP(Vaktplan!$A$62,Vaktplan!$AX$4:$CL$35,89-AG66,FALSE),0)</f>
        <v>0</v>
      </c>
      <c r="E13" s="9">
        <f t="shared" si="16"/>
        <v>0</v>
      </c>
      <c r="F13" s="9">
        <f t="shared" si="2"/>
        <v>24</v>
      </c>
      <c r="G13" s="77">
        <f>IFERROR(VLOOKUP(Vaktplan!$A$62,Vaktplan!$AY$4:$CL$35,86-AH66,FALSE),0)</f>
        <v>0</v>
      </c>
      <c r="H13" s="77">
        <f>IFERROR(VLOOKUP(Vaktplan!$A$62,Vaktplan!$AY$4:$CL$35,86-AG66,FALSE),0)</f>
        <v>0</v>
      </c>
      <c r="I13" s="9">
        <f>IFERROR(VLOOKUP(Vaktplan!$A$62,Vaktplan!$AY$4:$CL$35,89-$AH66,FALSE),0)</f>
        <v>0</v>
      </c>
      <c r="J13" s="9">
        <f t="shared" si="3"/>
        <v>0</v>
      </c>
      <c r="K13" s="9">
        <f t="shared" si="4"/>
        <v>24</v>
      </c>
      <c r="L13" s="77">
        <f>IFERROR(VLOOKUP(Vaktplan!$A$62,Vaktplan!$AZ$4:$CL$35,86-AI66,FALSE),0)</f>
        <v>0</v>
      </c>
      <c r="M13" s="77">
        <f>IFERROR(VLOOKUP(Vaktplan!$A$62,Vaktplan!$AZ$4:$CL$35,86-AH66,FALSE),0)</f>
        <v>0</v>
      </c>
      <c r="N13" s="9">
        <f>IFERROR(VLOOKUP(Vaktplan!$A$62,Vaktplan!$AZ$4:$CL$35,89-$AI66,FALSE),0)</f>
        <v>0</v>
      </c>
      <c r="O13" s="9">
        <f t="shared" si="5"/>
        <v>0</v>
      </c>
      <c r="P13" s="9">
        <f t="shared" si="6"/>
        <v>24</v>
      </c>
      <c r="Q13" s="77">
        <f>IFERROR(VLOOKUP(Vaktplan!$A$62,Vaktplan!$BA$4:$CL$35,86-AJ66,FALSE),0)</f>
        <v>0</v>
      </c>
      <c r="R13" s="77">
        <f>IFERROR(VLOOKUP(Vaktplan!$A$62,Vaktplan!$BA$4:$CL$35,86-AI66,FALSE),0)</f>
        <v>0</v>
      </c>
      <c r="S13" s="9">
        <f>IFERROR(VLOOKUP(Vaktplan!$A$62,Vaktplan!$BA$4:$CL$35,89-$AJ66,FALSE),0)</f>
        <v>0</v>
      </c>
      <c r="T13" s="9">
        <f t="shared" si="0"/>
        <v>0</v>
      </c>
      <c r="U13" s="9">
        <f t="shared" si="7"/>
        <v>24</v>
      </c>
      <c r="V13" s="77">
        <f>IFERROR(VLOOKUP(Vaktplan!$A$62,Vaktplan!$BB$4:$CL$35,86-AK66,FALSE),0)</f>
        <v>0</v>
      </c>
      <c r="W13" s="77">
        <f>IFERROR(VLOOKUP(Vaktplan!$A$62,Vaktplan!$BB$4:$CL$35,86-AJ66,FALSE),0)</f>
        <v>0</v>
      </c>
      <c r="X13" s="9">
        <f>IFERROR(VLOOKUP(Vaktplan!$A$62,Vaktplan!$BB$4:$CL$35,89-$AK66,FALSE),0)</f>
        <v>0</v>
      </c>
      <c r="Y13" s="9">
        <f t="shared" si="8"/>
        <v>0</v>
      </c>
      <c r="Z13" s="9">
        <f t="shared" si="9"/>
        <v>24</v>
      </c>
      <c r="AA13" s="77">
        <f>IFERROR(VLOOKUP(Vaktplan!$A$62,Vaktplan!$BC$4:$CL$35,86-AL66,FALSE),0)</f>
        <v>0</v>
      </c>
      <c r="AB13" s="77">
        <f>IFERROR(VLOOKUP(Vaktplan!$A$62,Vaktplan!$BC$4:$CL$35,86-AK66,FALSE),0)</f>
        <v>0</v>
      </c>
      <c r="AC13" s="9">
        <f>IFERROR(VLOOKUP(Vaktplan!$A$62,Vaktplan!$BC$4:$CL$35,89-$AL66,FALSE),0)</f>
        <v>0</v>
      </c>
      <c r="AD13" s="9">
        <f t="shared" si="10"/>
        <v>0</v>
      </c>
      <c r="AE13" s="9">
        <f t="shared" si="11"/>
        <v>24</v>
      </c>
      <c r="AF13" s="77">
        <f>IFERROR(VLOOKUP(Vaktplan!$A$62,Vaktplan!$BD$4:$CL$35,86-AM66,FALSE),0)</f>
        <v>0</v>
      </c>
      <c r="AG13" s="77">
        <f>IFERROR(VLOOKUP(Vaktplan!$A$62,Vaktplan!$BD$4:$CL$35,86-AL66,FALSE),0)</f>
        <v>0</v>
      </c>
      <c r="AH13" s="9">
        <f>IFERROR(VLOOKUP(Vaktplan!$A$62,Vaktplan!$BD$4:$CL$35,89-$AM66,FALSE),0)</f>
        <v>0</v>
      </c>
      <c r="AI13" s="9">
        <f t="shared" si="12"/>
        <v>0</v>
      </c>
      <c r="AJ13" s="9">
        <f t="shared" si="13"/>
        <v>24</v>
      </c>
      <c r="AK13" s="9">
        <f t="shared" si="1"/>
        <v>0</v>
      </c>
      <c r="AL13" s="92">
        <f t="shared" si="14"/>
        <v>24</v>
      </c>
      <c r="AM13" s="10">
        <f t="shared" si="15"/>
        <v>0</v>
      </c>
    </row>
    <row r="14" spans="1:39" ht="13" x14ac:dyDescent="0.25">
      <c r="A14" s="7">
        <v>9</v>
      </c>
      <c r="B14" s="77">
        <f>IFERROR(VLOOKUP(Vaktplan!$A$62,Vaktplan!$BE$4:$CL$35,87-AH67,FALSE),0)</f>
        <v>0</v>
      </c>
      <c r="C14" s="77">
        <f>IFERROR(VLOOKUP(Vaktplan!$A$62,Vaktplan!$BE$4:$CL$35,87-AG67,FALSE),0)</f>
        <v>0</v>
      </c>
      <c r="D14" s="9">
        <f>IFERROR(VLOOKUP(Vaktplan!$A$62,Vaktplan!$BE$4:$CL$35,89-AG67,FALSE),0)</f>
        <v>0</v>
      </c>
      <c r="E14" s="9">
        <f t="shared" si="16"/>
        <v>0</v>
      </c>
      <c r="F14" s="9">
        <f t="shared" si="2"/>
        <v>24</v>
      </c>
      <c r="G14" s="77">
        <f>IFERROR(VLOOKUP(Vaktplan!$A$62,Vaktplan!$BF$4:$CL$35,86-AH67,FALSE),0)</f>
        <v>0</v>
      </c>
      <c r="H14" s="77">
        <f>IFERROR(VLOOKUP(Vaktplan!$A$62,Vaktplan!$BF$4:$CL$35,86-AG67,FALSE),0)</f>
        <v>0</v>
      </c>
      <c r="I14" s="9">
        <f>IFERROR(VLOOKUP(Vaktplan!$A$62,Vaktplan!$BF$4:$CL$35,89-$AH67,FALSE),0)</f>
        <v>0</v>
      </c>
      <c r="J14" s="9">
        <f t="shared" si="3"/>
        <v>0</v>
      </c>
      <c r="K14" s="9">
        <f t="shared" si="4"/>
        <v>24</v>
      </c>
      <c r="L14" s="77">
        <f>IFERROR(VLOOKUP(Vaktplan!$A$62,Vaktplan!$BG$4:$CL$35,86-AI67,FALSE),0)</f>
        <v>0</v>
      </c>
      <c r="M14" s="77">
        <f>IFERROR(VLOOKUP(Vaktplan!$A$62,Vaktplan!$BG$4:$CL$35,86-AH67,FALSE),0)</f>
        <v>0</v>
      </c>
      <c r="N14" s="9">
        <f>IFERROR(VLOOKUP(Vaktplan!$A$62,Vaktplan!$BG$4:$CL$35,89-$AI67,FALSE),0)</f>
        <v>0</v>
      </c>
      <c r="O14" s="9">
        <f t="shared" si="5"/>
        <v>0</v>
      </c>
      <c r="P14" s="9">
        <f t="shared" si="6"/>
        <v>24</v>
      </c>
      <c r="Q14" s="77">
        <f>IFERROR(VLOOKUP(Vaktplan!$A$62,Vaktplan!$BH$4:$CL$35,86-AJ67,FALSE),0)</f>
        <v>0</v>
      </c>
      <c r="R14" s="77">
        <f>IFERROR(VLOOKUP(Vaktplan!$A$62,Vaktplan!$BH$4:$CL$35,86-AI67,FALSE),0)</f>
        <v>0</v>
      </c>
      <c r="S14" s="9">
        <f>IFERROR(VLOOKUP(Vaktplan!$A$62,Vaktplan!$BH$4:$CL$35,89-$AJ67,FALSE),0)</f>
        <v>0</v>
      </c>
      <c r="T14" s="9">
        <f t="shared" si="0"/>
        <v>0</v>
      </c>
      <c r="U14" s="9">
        <f t="shared" si="7"/>
        <v>24</v>
      </c>
      <c r="V14" s="77">
        <f>IFERROR(VLOOKUP(Vaktplan!$A$62,Vaktplan!$BI$4:$CL$35,86-AK67,FALSE),0)</f>
        <v>0</v>
      </c>
      <c r="W14" s="77">
        <f>IFERROR(VLOOKUP(Vaktplan!$A$62,Vaktplan!$BI$4:$CL$35,86-AJ67,FALSE),0)</f>
        <v>0</v>
      </c>
      <c r="X14" s="9">
        <f>IFERROR(VLOOKUP(Vaktplan!$A$62,Vaktplan!$BI$4:$CL$35,89-$AK67,FALSE),0)</f>
        <v>0</v>
      </c>
      <c r="Y14" s="9">
        <f>IF(AND(V14=0,W14=0),0,IF(V14&lt;W14,((W14-V14)*24)-X14,(((1-V14)+W14)*24)-X14))</f>
        <v>0</v>
      </c>
      <c r="Z14" s="9">
        <f t="shared" si="9"/>
        <v>24</v>
      </c>
      <c r="AA14" s="77">
        <f>IFERROR(VLOOKUP(Vaktplan!$A$62,Vaktplan!$BJ$4:$CL$35,86-AL67,FALSE),0)</f>
        <v>0</v>
      </c>
      <c r="AB14" s="77">
        <f>IFERROR(VLOOKUP(Vaktplan!$A$62,Vaktplan!$BJ$4:$CL$35,86-AK67,FALSE),0)</f>
        <v>0</v>
      </c>
      <c r="AC14" s="9">
        <f>IFERROR(VLOOKUP(Vaktplan!$A$62,Vaktplan!$BJ$4:$CL$35,89-$AL67,FALSE),0)</f>
        <v>0</v>
      </c>
      <c r="AD14" s="9">
        <f>IF(AND(AA14=0,AB14=0),0,IF(AA14&lt;AB14,((AB14-AA14)*24)-AC14,(((1-AA14)+AB14)*24)-AC14))</f>
        <v>0</v>
      </c>
      <c r="AE14" s="9">
        <f t="shared" si="11"/>
        <v>24</v>
      </c>
      <c r="AF14" s="77">
        <f>IFERROR(VLOOKUP(Vaktplan!$A$62,Vaktplan!$BK$4:$CL$35,86-AM67,FALSE),0)</f>
        <v>0</v>
      </c>
      <c r="AG14" s="77">
        <f>IFERROR(VLOOKUP(Vaktplan!$A$62,Vaktplan!$BK$4:$CL$35,86-AL67,FALSE),0)</f>
        <v>0</v>
      </c>
      <c r="AH14" s="9">
        <f>IFERROR(VLOOKUP(Vaktplan!$A$62,Vaktplan!$BK$4:$CL$35,89-$AM67,FALSE),0)</f>
        <v>0</v>
      </c>
      <c r="AI14" s="9">
        <f>IF(AND(AF14=0,AG14=0),0,IF(AF14&lt;AG14,((AG14-AF14)*24)-AH14,(((1-AF14)+AG14)*24)-AH14))</f>
        <v>0</v>
      </c>
      <c r="AJ14" s="9">
        <f t="shared" si="13"/>
        <v>24</v>
      </c>
      <c r="AK14" s="9">
        <f t="shared" si="1"/>
        <v>0</v>
      </c>
      <c r="AL14" s="92"/>
      <c r="AM14" s="10"/>
    </row>
    <row r="15" spans="1:39" ht="13" x14ac:dyDescent="0.25">
      <c r="A15" s="7">
        <v>10</v>
      </c>
      <c r="B15" s="77">
        <f>IFERROR(VLOOKUP(Vaktplan!$A$62,Vaktplan!$BL$4:$CL$35,87-AH68,FALSE),0)</f>
        <v>0</v>
      </c>
      <c r="C15" s="77">
        <f>IFERROR(VLOOKUP(Vaktplan!$A$62,Vaktplan!$BL$4:$CL$35,87-AG68,FALSE),0)</f>
        <v>0</v>
      </c>
      <c r="D15" s="9">
        <f>IFERROR(VLOOKUP(Vaktplan!$A$62,Vaktplan!$BL$4:$CL$35,89-AG68,FALSE),0)</f>
        <v>0</v>
      </c>
      <c r="E15" s="9">
        <f t="shared" si="16"/>
        <v>0</v>
      </c>
      <c r="F15" s="9">
        <f t="shared" si="2"/>
        <v>24</v>
      </c>
      <c r="G15" s="77">
        <f>IFERROR(VLOOKUP(Vaktplan!$A$62,Vaktplan!$BM$4:$CL$35,86-AH68,FALSE),0)</f>
        <v>0</v>
      </c>
      <c r="H15" s="77">
        <f>IFERROR(VLOOKUP(Vaktplan!$A$62,Vaktplan!$BM$4:$CL$35,86-AG68,FALSE),0)</f>
        <v>0</v>
      </c>
      <c r="I15" s="9">
        <f>IFERROR(VLOOKUP(Vaktplan!$A$62,Vaktplan!$BM$4:$CL$35,89-$AH68,FALSE),0)</f>
        <v>0</v>
      </c>
      <c r="J15" s="9">
        <f t="shared" si="3"/>
        <v>0</v>
      </c>
      <c r="K15" s="9">
        <f t="shared" si="4"/>
        <v>24</v>
      </c>
      <c r="L15" s="77">
        <f>IFERROR(VLOOKUP(Vaktplan!$A$62,Vaktplan!$BN$4:$CL$35,86-AI68,FALSE),0)</f>
        <v>0</v>
      </c>
      <c r="M15" s="77">
        <f>IFERROR(VLOOKUP(Vaktplan!$A$62,Vaktplan!$BN$4:$CL$35,86-AH68,FALSE),0)</f>
        <v>0</v>
      </c>
      <c r="N15" s="9">
        <f>IFERROR(VLOOKUP(Vaktplan!$A$62,Vaktplan!$BN$4:$CL$35,89-$AI68,FALSE),0)</f>
        <v>0</v>
      </c>
      <c r="O15" s="9">
        <f t="shared" si="5"/>
        <v>0</v>
      </c>
      <c r="P15" s="9">
        <f t="shared" si="6"/>
        <v>24</v>
      </c>
      <c r="Q15" s="77">
        <f>IFERROR(VLOOKUP(Vaktplan!$A$62,Vaktplan!$BO$4:$CL$35,86-AJ68,FALSE),0)</f>
        <v>0</v>
      </c>
      <c r="R15" s="77">
        <f>IFERROR(VLOOKUP(Vaktplan!$A$62,Vaktplan!$BO$4:$CL$35,86-AI68,FALSE),0)</f>
        <v>0</v>
      </c>
      <c r="S15" s="9">
        <f>IFERROR(VLOOKUP(Vaktplan!$A$62,Vaktplan!$BO$4:$CL$35,89-$AJ68,FALSE),0)</f>
        <v>0</v>
      </c>
      <c r="T15" s="9">
        <f t="shared" si="0"/>
        <v>0</v>
      </c>
      <c r="U15" s="9">
        <f t="shared" si="7"/>
        <v>24</v>
      </c>
      <c r="V15" s="77">
        <f>IFERROR(VLOOKUP(Vaktplan!$A$62,Vaktplan!$BP$4:$CL$35,86-AK68,FALSE),0)</f>
        <v>0</v>
      </c>
      <c r="W15" s="77">
        <f>IFERROR(VLOOKUP(Vaktplan!$A$62,Vaktplan!$BP$4:$CL$35,86-AJ68,FALSE),0)</f>
        <v>0</v>
      </c>
      <c r="X15" s="9">
        <f>IFERROR(VLOOKUP(Vaktplan!$A$62,Vaktplan!$BP$4:$CL$35,89-$AK68,FALSE),0)</f>
        <v>0</v>
      </c>
      <c r="Y15" s="9">
        <f>IF(AND(V15=0,W15=0),0,IF(V15&lt;W15,((W15-V15)*24)-X15,(((1-V15)+W15)*24)-X15))</f>
        <v>0</v>
      </c>
      <c r="Z15" s="9">
        <f t="shared" si="9"/>
        <v>24</v>
      </c>
      <c r="AA15" s="77">
        <f>IFERROR(VLOOKUP(Vaktplan!$A$62,Vaktplan!$BQ$4:$CL$35,86-AL68,FALSE),0)</f>
        <v>0</v>
      </c>
      <c r="AB15" s="77">
        <f>IFERROR(VLOOKUP(Vaktplan!$A$62,Vaktplan!$BQ$4:$CL$35,86-AK68,FALSE),0)</f>
        <v>0</v>
      </c>
      <c r="AC15" s="9">
        <f>IFERROR(VLOOKUP(Vaktplan!$A$62,Vaktplan!$BQ$4:$CL$35,89-$AL68,FALSE),0)</f>
        <v>0</v>
      </c>
      <c r="AD15" s="9">
        <f>IF(AND(AA15=0,AB15=0),0,IF(AA15&lt;AB15,((AB15-AA15)*24)-AC15,(((1-AA15)+AB15)*24)-AC15))</f>
        <v>0</v>
      </c>
      <c r="AE15" s="9">
        <f t="shared" si="11"/>
        <v>24</v>
      </c>
      <c r="AF15" s="77">
        <f>IFERROR(VLOOKUP(Vaktplan!$A$62,Vaktplan!$BR$4:$CL$35,86-AM68,FALSE),0)</f>
        <v>0</v>
      </c>
      <c r="AG15" s="77">
        <f>IFERROR(VLOOKUP(Vaktplan!$A$62,Vaktplan!$BR$4:$CL$35,86-AL68,FALSE),0)</f>
        <v>0</v>
      </c>
      <c r="AH15" s="9">
        <f>IFERROR(VLOOKUP(Vaktplan!$A$62,Vaktplan!$BR$4:$CL$35,89-$AM68,FALSE),0)</f>
        <v>0</v>
      </c>
      <c r="AI15" s="9">
        <f>IF(AND(AF15=0,AG15=0),0,IF(AF15&lt;AG15,((AG15-AF15)*24)-AH15,(((1-AF15)+AG15)*24)-AH15))</f>
        <v>0</v>
      </c>
      <c r="AJ15" s="9">
        <f t="shared" si="13"/>
        <v>24</v>
      </c>
      <c r="AK15" s="9">
        <f t="shared" si="1"/>
        <v>0</v>
      </c>
      <c r="AL15" s="92"/>
      <c r="AM15" s="10"/>
    </row>
    <row r="16" spans="1:39" ht="13" x14ac:dyDescent="0.25">
      <c r="A16" s="7">
        <v>11</v>
      </c>
      <c r="B16" s="77">
        <f>IFERROR(VLOOKUP(Vaktplan!$A$62,Vaktplan!$BS$4:$CL$35,87-AH69,FALSE),0)</f>
        <v>0</v>
      </c>
      <c r="C16" s="77">
        <f>IFERROR(VLOOKUP(Vaktplan!$A$62,Vaktplan!$BS$4:$CL$35,87-AG69,FALSE),0)</f>
        <v>0</v>
      </c>
      <c r="D16" s="9">
        <f>IFERROR(VLOOKUP(Vaktplan!$A$62,Vaktplan!$BS$4:$CL$35,89-AG69,FALSE),0)</f>
        <v>0</v>
      </c>
      <c r="E16" s="9">
        <f t="shared" si="16"/>
        <v>0</v>
      </c>
      <c r="F16" s="9">
        <f t="shared" si="2"/>
        <v>24</v>
      </c>
      <c r="G16" s="77">
        <f>IFERROR(VLOOKUP(Vaktplan!$A$62,Vaktplan!$BT$4:$CL$35,86-AH69,FALSE),0)</f>
        <v>0</v>
      </c>
      <c r="H16" s="77">
        <f>IFERROR(VLOOKUP(Vaktplan!$A$62,Vaktplan!$BT$4:$CL$35,86-AG69,FALSE),0)</f>
        <v>0</v>
      </c>
      <c r="I16" s="9">
        <f>IFERROR(VLOOKUP(Vaktplan!$A$62,Vaktplan!$BT$4:$CL$35,89-$AH69,FALSE),0)</f>
        <v>0</v>
      </c>
      <c r="J16" s="9">
        <f t="shared" si="3"/>
        <v>0</v>
      </c>
      <c r="K16" s="9">
        <f t="shared" si="4"/>
        <v>24</v>
      </c>
      <c r="L16" s="77">
        <f>IFERROR(VLOOKUP(Vaktplan!$A$62,Vaktplan!$BU$4:$CL$35,86-AI69,FALSE),0)</f>
        <v>0</v>
      </c>
      <c r="M16" s="77">
        <f>IFERROR(VLOOKUP(Vaktplan!$A$62,Vaktplan!$BU$4:$CL$35,86-AH69,FALSE),0)</f>
        <v>0</v>
      </c>
      <c r="N16" s="9">
        <f>IFERROR(VLOOKUP(Vaktplan!$A$62,Vaktplan!$BU$4:$CL$35,89-$AI69,FALSE),0)</f>
        <v>0</v>
      </c>
      <c r="O16" s="9">
        <f t="shared" si="5"/>
        <v>0</v>
      </c>
      <c r="P16" s="9">
        <f t="shared" si="6"/>
        <v>24</v>
      </c>
      <c r="Q16" s="77">
        <f>IFERROR(VLOOKUP(Vaktplan!$A$62,Vaktplan!$BV$4:$CL$35,86-AJ69,FALSE),0)</f>
        <v>0</v>
      </c>
      <c r="R16" s="77">
        <f>IFERROR(VLOOKUP(Vaktplan!$A$62,Vaktplan!$BV$4:$CL$35,86-AI69,FALSE),0)</f>
        <v>0</v>
      </c>
      <c r="S16" s="9">
        <f>IFERROR(VLOOKUP(Vaktplan!$A$62,Vaktplan!$BV$4:$CL$35,89-$AJ69,FALSE),0)</f>
        <v>0</v>
      </c>
      <c r="T16" s="9">
        <f t="shared" si="0"/>
        <v>0</v>
      </c>
      <c r="U16" s="9">
        <f t="shared" si="7"/>
        <v>24</v>
      </c>
      <c r="V16" s="77">
        <f>IFERROR(VLOOKUP(Vaktplan!$A$62,Vaktplan!$BW$4:$CL$35,86-AK69,FALSE),0)</f>
        <v>0</v>
      </c>
      <c r="W16" s="77">
        <f>IFERROR(VLOOKUP(Vaktplan!$A$62,Vaktplan!$BW$4:$CL$35,86-AJ69,FALSE),0)</f>
        <v>0</v>
      </c>
      <c r="X16" s="9">
        <f>IFERROR(VLOOKUP(Vaktplan!$A$62,Vaktplan!$BW$4:$CL$35,89-$AK69,FALSE),0)</f>
        <v>0</v>
      </c>
      <c r="Y16" s="9">
        <f>IF(AND(V16=0,W16=0),0,IF(V16&lt;W16,((W16-V16)*24)-X16,(((1-V16)+W16)*24)-X16))</f>
        <v>0</v>
      </c>
      <c r="Z16" s="9">
        <f t="shared" si="9"/>
        <v>24</v>
      </c>
      <c r="AA16" s="77">
        <f>IFERROR(VLOOKUP(Vaktplan!$A$62,Vaktplan!$BX$4:$CL$35,86-AL69,FALSE),0)</f>
        <v>0</v>
      </c>
      <c r="AB16" s="77">
        <f>IFERROR(VLOOKUP(Vaktplan!$A$62,Vaktplan!$BX$4:$CL$35,86-AK69,FALSE),0)</f>
        <v>0</v>
      </c>
      <c r="AC16" s="9">
        <f>IFERROR(VLOOKUP(Vaktplan!$A$62,Vaktplan!$BX$4:$CL$35,89-$AL69,FALSE),0)</f>
        <v>0</v>
      </c>
      <c r="AD16" s="9">
        <f>IF(AND(AA16=0,AB16=0),0,IF(AA16&lt;AB16,((AB16-AA16)*24)-AC16,(((1-AA16)+AB16)*24)-AC16))</f>
        <v>0</v>
      </c>
      <c r="AE16" s="9">
        <f t="shared" si="11"/>
        <v>24</v>
      </c>
      <c r="AF16" s="77">
        <f>IFERROR(VLOOKUP(Vaktplan!$A$62,Vaktplan!$BY$4:$CL$35,86-AM69,FALSE),0)</f>
        <v>0</v>
      </c>
      <c r="AG16" s="77">
        <f>IFERROR(VLOOKUP(Vaktplan!$A$62,Vaktplan!$BY$4:$CL$35,86-AL69,FALSE),0)</f>
        <v>0</v>
      </c>
      <c r="AH16" s="9">
        <f>IFERROR(VLOOKUP(Vaktplan!$A$62,Vaktplan!$BY$4:$CL$35,89-$AM69,FALSE),0)</f>
        <v>0</v>
      </c>
      <c r="AI16" s="9">
        <f>IF(AND(AF16=0,AG16=0),0,IF(AF16&lt;AG16,((AG16-AF16)*24)-AH16,(((1-AF16)+AG16)*24)-AH16))</f>
        <v>0</v>
      </c>
      <c r="AJ16" s="9">
        <f t="shared" si="13"/>
        <v>24</v>
      </c>
      <c r="AK16" s="9">
        <f t="shared" si="1"/>
        <v>0</v>
      </c>
      <c r="AL16" s="92"/>
      <c r="AM16" s="10"/>
    </row>
    <row r="17" spans="1:43" ht="13" x14ac:dyDescent="0.25">
      <c r="A17" s="7">
        <v>12</v>
      </c>
      <c r="B17" s="77">
        <f>IFERROR(VLOOKUP(Vaktplan!$A$62,Vaktplan!$BZ$4:$CL$35,87-AH70,FALSE),0)</f>
        <v>0</v>
      </c>
      <c r="C17" s="77">
        <f>IFERROR(VLOOKUP(Vaktplan!$A$62,Vaktplan!$BZ$4:$CL$35,87-AG70,FALSE),0)</f>
        <v>0</v>
      </c>
      <c r="D17" s="9">
        <f>IFERROR(VLOOKUP(Vaktplan!$A$62,Vaktplan!$BZ$4:$CL$35,89-AG70,FALSE),0)</f>
        <v>0</v>
      </c>
      <c r="E17" s="9">
        <f t="shared" si="16"/>
        <v>0</v>
      </c>
      <c r="F17" s="9">
        <f t="shared" si="2"/>
        <v>24</v>
      </c>
      <c r="G17" s="77">
        <f>IFERROR(VLOOKUP(Vaktplan!$A$62,Vaktplan!$CA$4:$CL$35,86-AH70,FALSE),0)</f>
        <v>0</v>
      </c>
      <c r="H17" s="77">
        <f>IFERROR(VLOOKUP(Vaktplan!$A$62,Vaktplan!$CA$4:$CL$35,86-AG70,FALSE),0)</f>
        <v>0</v>
      </c>
      <c r="I17" s="9">
        <f>IFERROR(VLOOKUP(Vaktplan!$A$62,Vaktplan!$CA$4:$CL$35,89-$AH70,FALSE),0)</f>
        <v>0</v>
      </c>
      <c r="J17" s="9">
        <f t="shared" si="3"/>
        <v>0</v>
      </c>
      <c r="K17" s="9">
        <f t="shared" si="4"/>
        <v>24</v>
      </c>
      <c r="L17" s="77">
        <f>IFERROR(VLOOKUP(Vaktplan!$A$62,Vaktplan!$CB$4:$CL$35,86-AI70,FALSE),0)</f>
        <v>0</v>
      </c>
      <c r="M17" s="77">
        <f>IFERROR(VLOOKUP(Vaktplan!$A$62,Vaktplan!$CB$4:$CL$35,86-AH70,FALSE),0)</f>
        <v>0</v>
      </c>
      <c r="N17" s="9">
        <f>IFERROR(VLOOKUP(Vaktplan!$A$62,Vaktplan!$CB$4:$CL$35,89-$AI70,FALSE),0)</f>
        <v>0</v>
      </c>
      <c r="O17" s="9">
        <f t="shared" si="5"/>
        <v>0</v>
      </c>
      <c r="P17" s="9">
        <f t="shared" si="6"/>
        <v>24</v>
      </c>
      <c r="Q17" s="77">
        <f>IFERROR(VLOOKUP(Vaktplan!$A$62,Vaktplan!$CC$4:$CL$35,86-AJ70,FALSE),0)</f>
        <v>0</v>
      </c>
      <c r="R17" s="77">
        <f>IFERROR(VLOOKUP(Vaktplan!$A$62,Vaktplan!$CC$4:$CL$35,86-AI70,FALSE),0)</f>
        <v>0</v>
      </c>
      <c r="S17" s="9">
        <f>IFERROR(VLOOKUP(Vaktplan!$A$62,Vaktplan!$CC$4:$CL$35,89-$AJ70,FALSE),0)</f>
        <v>0</v>
      </c>
      <c r="T17" s="9">
        <f t="shared" si="0"/>
        <v>0</v>
      </c>
      <c r="U17" s="9">
        <f t="shared" si="7"/>
        <v>24</v>
      </c>
      <c r="V17" s="77">
        <f>IFERROR(VLOOKUP(Vaktplan!$A$62,Vaktplan!$CD$4:$CL$35,86-AK70,FALSE),0)</f>
        <v>0</v>
      </c>
      <c r="W17" s="77">
        <f>IFERROR(VLOOKUP(Vaktplan!$A$62,Vaktplan!$CD$4:$CL$35,86-AJ70,FALSE),0)</f>
        <v>0</v>
      </c>
      <c r="X17" s="9">
        <f>IFERROR(VLOOKUP(Vaktplan!$A$62,Vaktplan!$CD$4:$CL$35,89-$AK70,FALSE),0)</f>
        <v>0</v>
      </c>
      <c r="Y17" s="9">
        <f>IF(AND(V17=0,W17=0),0,IF(V17&lt;W17,((W17-V17)*24)-X17,(((1-V17)+W17)*24)-X17))</f>
        <v>0</v>
      </c>
      <c r="Z17" s="9">
        <f t="shared" si="9"/>
        <v>24</v>
      </c>
      <c r="AA17" s="77">
        <f>IFERROR(VLOOKUP(Vaktplan!$A$62,Vaktplan!$CE$4:$CL$35,86-AL70,FALSE),0)</f>
        <v>0</v>
      </c>
      <c r="AB17" s="77">
        <f>IFERROR(VLOOKUP(Vaktplan!$A$62,Vaktplan!$CE$4:$CL$35,86-AK70,FALSE),0)</f>
        <v>0</v>
      </c>
      <c r="AC17" s="9">
        <f>IFERROR(VLOOKUP(Vaktplan!$A$62,Vaktplan!$CE$4:$FCE$35,89-$AL70,FALSE),0)</f>
        <v>0</v>
      </c>
      <c r="AD17" s="9">
        <f>IF(AND(AA17=0,AB17=0),0,IF(AA17&lt;AB17,((AB17-AA17)*24)-AC17,(((1-AA17)+AB17)*24)-AC17))</f>
        <v>0</v>
      </c>
      <c r="AE17" s="9">
        <f t="shared" si="11"/>
        <v>24</v>
      </c>
      <c r="AF17" s="77">
        <f>IFERROR(VLOOKUP(Vaktplan!$A$62,Vaktplan!$CF$4:$CL$35,86-AM70,FALSE),0)</f>
        <v>0</v>
      </c>
      <c r="AG17" s="77">
        <f>IFERROR(VLOOKUP(Vaktplan!$A$62,Vaktplan!$CF$4:$CL$35,86-AL70,FALSE),0)</f>
        <v>0</v>
      </c>
      <c r="AH17" s="9">
        <f>IFERROR(VLOOKUP(Vaktplan!$A$62,Vaktplan!$CF$4:$CL$35,89-$AM70,FALSE),0)</f>
        <v>0</v>
      </c>
      <c r="AI17" s="9">
        <f>IF(AND(AF17=0,AG17=0),0,IF(AF17&lt;AG17,((AG17-AF17)*24)-AH17,(((1-AF17)+AG17)*24)-AH17))</f>
        <v>0</v>
      </c>
      <c r="AJ17" s="9">
        <f t="shared" si="13"/>
        <v>24</v>
      </c>
      <c r="AK17" s="9">
        <f t="shared" si="1"/>
        <v>0</v>
      </c>
      <c r="AL17" s="92"/>
      <c r="AM17" s="10"/>
    </row>
    <row r="19" spans="1:43" ht="13" x14ac:dyDescent="0.3">
      <c r="A19" s="4" t="s">
        <v>76</v>
      </c>
    </row>
    <row r="20" spans="1:43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3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3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3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3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6" spans="1:43" ht="13" x14ac:dyDescent="0.3">
      <c r="A26" s="4" t="s">
        <v>77</v>
      </c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</row>
    <row r="27" spans="1:43" ht="13" x14ac:dyDescent="0.3">
      <c r="A27" s="3" t="s">
        <v>78</v>
      </c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80" t="s">
        <v>79</v>
      </c>
      <c r="AM27" s="78"/>
      <c r="AN27" s="78"/>
      <c r="AO27" s="78"/>
    </row>
    <row r="28" spans="1:43" ht="13" x14ac:dyDescent="0.3">
      <c r="A28" s="98" t="s">
        <v>36</v>
      </c>
      <c r="B28" s="98"/>
      <c r="C28" s="98"/>
      <c r="D28" s="88"/>
      <c r="E28" s="8">
        <f>E2</f>
        <v>0</v>
      </c>
      <c r="F28" s="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>
        <v>1</v>
      </c>
      <c r="AM28" s="78"/>
      <c r="AN28" s="78"/>
      <c r="AO28" s="78"/>
    </row>
    <row r="29" spans="1:43" ht="13" x14ac:dyDescent="0.3">
      <c r="A29" s="98" t="s">
        <v>80</v>
      </c>
      <c r="B29" s="98"/>
      <c r="C29" s="98"/>
      <c r="D29" s="88"/>
      <c r="E29" s="5">
        <f>E3</f>
        <v>0</v>
      </c>
      <c r="F29" s="5"/>
      <c r="T29" s="10"/>
      <c r="U29" s="10"/>
      <c r="V29" s="10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80" t="s">
        <v>81</v>
      </c>
      <c r="AH29" s="80"/>
      <c r="AI29" s="78"/>
      <c r="AJ29" s="78"/>
      <c r="AK29" s="78"/>
      <c r="AL29" s="78">
        <v>2</v>
      </c>
      <c r="AM29" s="78"/>
      <c r="AN29" s="78"/>
      <c r="AO29" s="78"/>
      <c r="AP29" s="10"/>
      <c r="AQ29" s="10"/>
    </row>
    <row r="30" spans="1:43" ht="13" x14ac:dyDescent="0.3">
      <c r="A30" s="98" t="s">
        <v>82</v>
      </c>
      <c r="B30" s="98"/>
      <c r="C30" s="98"/>
      <c r="D30" s="88"/>
      <c r="T30" s="10"/>
      <c r="U30" s="10"/>
      <c r="V30" s="10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>
        <v>3</v>
      </c>
      <c r="AM30" s="78"/>
      <c r="AN30" s="78"/>
      <c r="AO30" s="78"/>
      <c r="AP30" s="10"/>
      <c r="AQ30" s="10"/>
    </row>
    <row r="31" spans="1:43" ht="13" x14ac:dyDescent="0.3">
      <c r="A31" s="4" t="s">
        <v>83</v>
      </c>
      <c r="B31" s="4" t="s">
        <v>84</v>
      </c>
      <c r="C31" s="4" t="s">
        <v>85</v>
      </c>
      <c r="D31" s="98" t="s">
        <v>86</v>
      </c>
      <c r="E31" s="98"/>
      <c r="F31" s="4" t="s">
        <v>87</v>
      </c>
      <c r="G31" s="4" t="s">
        <v>88</v>
      </c>
      <c r="H31" s="98" t="s">
        <v>27</v>
      </c>
      <c r="I31" s="98"/>
      <c r="J31" s="4" t="s">
        <v>28</v>
      </c>
      <c r="K31" s="4" t="s">
        <v>29</v>
      </c>
      <c r="L31" s="4" t="s">
        <v>30</v>
      </c>
      <c r="M31" s="4" t="s">
        <v>31</v>
      </c>
      <c r="N31" s="98" t="s">
        <v>32</v>
      </c>
      <c r="O31" s="98"/>
      <c r="T31" s="10"/>
      <c r="U31" s="10"/>
      <c r="V31" s="10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80" t="s">
        <v>9</v>
      </c>
      <c r="AH31" s="80"/>
      <c r="AI31" s="78"/>
      <c r="AJ31" s="78"/>
      <c r="AK31" s="78"/>
      <c r="AL31" s="78">
        <v>4</v>
      </c>
      <c r="AM31" s="78"/>
      <c r="AN31" s="78"/>
      <c r="AO31" s="78"/>
      <c r="AP31" s="10"/>
      <c r="AQ31" s="10"/>
    </row>
    <row r="32" spans="1:43" ht="13" x14ac:dyDescent="0.3">
      <c r="A32" s="3">
        <f>AK6</f>
        <v>0</v>
      </c>
      <c r="B32" s="3">
        <f>AK7</f>
        <v>0</v>
      </c>
      <c r="C32" s="3">
        <f>AK8</f>
        <v>0</v>
      </c>
      <c r="D32" s="101">
        <f>AK9</f>
        <v>0</v>
      </c>
      <c r="E32" s="101"/>
      <c r="F32" s="3">
        <f>AK10</f>
        <v>0</v>
      </c>
      <c r="G32" s="3">
        <f>AK11</f>
        <v>0</v>
      </c>
      <c r="H32" s="101">
        <f>AK12</f>
        <v>0</v>
      </c>
      <c r="I32" s="101"/>
      <c r="J32" s="3">
        <f>AK13</f>
        <v>0</v>
      </c>
      <c r="K32" s="3">
        <f>AK14</f>
        <v>0</v>
      </c>
      <c r="L32" s="3">
        <f>AK15</f>
        <v>0</v>
      </c>
      <c r="M32" s="3">
        <f>AK16</f>
        <v>0</v>
      </c>
      <c r="N32" s="101">
        <f>AK17</f>
        <v>0</v>
      </c>
      <c r="O32" s="101"/>
      <c r="T32" s="11" t="s">
        <v>70</v>
      </c>
      <c r="U32" s="10" t="s">
        <v>89</v>
      </c>
      <c r="V32" s="10" t="s">
        <v>90</v>
      </c>
      <c r="W32" s="78" t="s">
        <v>91</v>
      </c>
      <c r="X32" s="78" t="s">
        <v>92</v>
      </c>
      <c r="Y32" s="78" t="s">
        <v>93</v>
      </c>
      <c r="Z32" s="78" t="s">
        <v>94</v>
      </c>
      <c r="AA32" s="78"/>
      <c r="AB32" s="78"/>
      <c r="AC32" s="78"/>
      <c r="AD32" s="78"/>
      <c r="AE32" s="78"/>
      <c r="AF32" s="78"/>
      <c r="AG32" s="78" t="s">
        <v>10</v>
      </c>
      <c r="AH32" s="78"/>
      <c r="AI32" s="79">
        <v>42177</v>
      </c>
      <c r="AJ32" s="79"/>
      <c r="AK32" s="78"/>
      <c r="AL32" s="78">
        <v>5</v>
      </c>
      <c r="AM32" s="78"/>
      <c r="AN32" s="78"/>
      <c r="AO32" s="78"/>
      <c r="AP32" s="10"/>
      <c r="AQ32" s="10"/>
    </row>
    <row r="33" spans="1:43" ht="13" x14ac:dyDescent="0.3">
      <c r="A33" s="98" t="s">
        <v>95</v>
      </c>
      <c r="B33" s="98"/>
      <c r="C33" s="98"/>
      <c r="D33" s="88"/>
      <c r="G33" s="101"/>
      <c r="H33" s="101"/>
      <c r="I33" s="90"/>
      <c r="T33" s="10">
        <v>1</v>
      </c>
      <c r="U33" s="10">
        <f>IF(AND(B6&gt;0,G6&gt;0),0,IF(AND(G6&gt;0),0,F6+K6))</f>
        <v>48</v>
      </c>
      <c r="V33" s="10">
        <f>IF(AND(G6&gt;0,L6&gt;0),0,IF(AND(L6&gt;0),0,K6+P6))</f>
        <v>48</v>
      </c>
      <c r="W33" s="78">
        <f>IF(AND(L6&gt;0,Q6&gt;0),0,IF(AND(Q6&gt;0),0,P6+U6))</f>
        <v>48</v>
      </c>
      <c r="X33" s="78">
        <f>IF(AND(Q6&gt;0,V6&gt;0),0,IF(AND(V6&gt;0),0,U6+Z6))</f>
        <v>48</v>
      </c>
      <c r="Y33" s="78">
        <f>IF(AND(V6&gt;0,AA6&gt;0),0,IF(AND(AA6&gt;0),0,Z6+AE6))</f>
        <v>48</v>
      </c>
      <c r="Z33" s="78">
        <f>IF(AND(AA6&gt;0,AF6&gt;0),0,IF(AND(AF6&gt;0),0,AE6+AJ6))</f>
        <v>48</v>
      </c>
      <c r="AA33" s="78"/>
      <c r="AB33" s="78"/>
      <c r="AC33" s="78"/>
      <c r="AD33" s="78"/>
      <c r="AE33" s="78"/>
      <c r="AF33" s="78"/>
      <c r="AG33" s="78" t="s">
        <v>11</v>
      </c>
      <c r="AH33" s="78"/>
      <c r="AI33" s="79">
        <v>42178</v>
      </c>
      <c r="AJ33" s="79"/>
      <c r="AK33" s="78"/>
      <c r="AL33" s="78">
        <v>6</v>
      </c>
      <c r="AM33" s="78"/>
      <c r="AN33" s="78"/>
      <c r="AO33" s="78"/>
      <c r="AP33" s="10"/>
      <c r="AQ33" s="10"/>
    </row>
    <row r="34" spans="1:43" x14ac:dyDescent="0.25">
      <c r="A34" s="101" t="s">
        <v>96</v>
      </c>
      <c r="B34" s="101"/>
      <c r="C34" s="3">
        <f>(AK6+AK7+AK8+AK9+AK10+AK11+AK12+AK13+AK14+AK15+AK16+AK17)/M1</f>
        <v>0</v>
      </c>
      <c r="T34" s="10">
        <v>2</v>
      </c>
      <c r="U34" s="10">
        <f t="shared" ref="U34:U40" si="17">IF(AND(B7&gt;0,G7&gt;0),0,IF(AND(G7&gt;0),0,F7+K7))</f>
        <v>48</v>
      </c>
      <c r="V34" s="10">
        <f t="shared" ref="V34:V40" si="18">IF(AND(G7&gt;0,L7&gt;0),0,IF(AND(L7&gt;0),0,K7+P7))</f>
        <v>48</v>
      </c>
      <c r="W34" s="78">
        <f t="shared" ref="W34:W44" si="19">IF(AND(L7&gt;0,Q7&gt;0),0,IF(AND(Q7&gt;0),0,P7+U7))</f>
        <v>48</v>
      </c>
      <c r="X34" s="78">
        <f t="shared" ref="X34:X44" si="20">IF(AND(Q7&gt;0,V7&gt;0),0,IF(AND(V7&gt;0),0,U7+Z7))</f>
        <v>48</v>
      </c>
      <c r="Y34" s="78">
        <f t="shared" ref="Y34:Y44" si="21">IF(AND(V7&gt;0,AA7&gt;0),0,IF(AND(AA7&gt;0),0,Z7+AE7))</f>
        <v>48</v>
      </c>
      <c r="Z34" s="78">
        <f t="shared" ref="Z34:Z44" si="22">IF(AND(AA7&gt;0,AF7&gt;0),0,IF(AND(AF7&gt;0),0,AE7+AJ7))</f>
        <v>48</v>
      </c>
      <c r="AA34" s="78"/>
      <c r="AB34" s="78"/>
      <c r="AC34" s="78"/>
      <c r="AD34" s="78"/>
      <c r="AE34" s="78"/>
      <c r="AF34" s="78"/>
      <c r="AG34" s="78" t="s">
        <v>12</v>
      </c>
      <c r="AH34" s="78"/>
      <c r="AI34" s="79">
        <v>42179</v>
      </c>
      <c r="AJ34" s="79"/>
      <c r="AK34" s="78"/>
      <c r="AL34" s="78">
        <v>7</v>
      </c>
      <c r="AM34" s="78"/>
      <c r="AN34" s="78"/>
      <c r="AO34" s="78"/>
      <c r="AP34" s="10"/>
      <c r="AQ34" s="10"/>
    </row>
    <row r="35" spans="1:43" x14ac:dyDescent="0.25">
      <c r="T35" s="10">
        <v>3</v>
      </c>
      <c r="U35" s="10">
        <f t="shared" si="17"/>
        <v>48</v>
      </c>
      <c r="V35" s="10">
        <f t="shared" si="18"/>
        <v>48</v>
      </c>
      <c r="W35" s="78">
        <f t="shared" si="19"/>
        <v>48</v>
      </c>
      <c r="X35" s="78">
        <f t="shared" si="20"/>
        <v>48</v>
      </c>
      <c r="Y35" s="78">
        <f t="shared" si="21"/>
        <v>48</v>
      </c>
      <c r="Z35" s="78">
        <f t="shared" si="22"/>
        <v>48</v>
      </c>
      <c r="AA35" s="78"/>
      <c r="AB35" s="78"/>
      <c r="AC35" s="78"/>
      <c r="AD35" s="78"/>
      <c r="AE35" s="78"/>
      <c r="AF35" s="78"/>
      <c r="AG35" s="78" t="s">
        <v>13</v>
      </c>
      <c r="AH35" s="78"/>
      <c r="AI35" s="79">
        <v>42180</v>
      </c>
      <c r="AJ35" s="79"/>
      <c r="AK35" s="78"/>
      <c r="AL35" s="78">
        <v>8</v>
      </c>
      <c r="AM35" s="78"/>
      <c r="AN35" s="78"/>
      <c r="AO35" s="78"/>
      <c r="AP35" s="78"/>
      <c r="AQ35" s="10"/>
    </row>
    <row r="36" spans="1:43" ht="13" x14ac:dyDescent="0.3">
      <c r="A36" s="98" t="s">
        <v>97</v>
      </c>
      <c r="B36" s="98"/>
      <c r="C36" s="98"/>
      <c r="D36" s="98"/>
      <c r="E36" s="98"/>
      <c r="F36" s="88"/>
      <c r="T36" s="10">
        <v>4</v>
      </c>
      <c r="U36" s="10">
        <f t="shared" si="17"/>
        <v>48</v>
      </c>
      <c r="V36" s="10">
        <f t="shared" si="18"/>
        <v>48</v>
      </c>
      <c r="W36" s="78">
        <f t="shared" si="19"/>
        <v>48</v>
      </c>
      <c r="X36" s="78">
        <f t="shared" si="20"/>
        <v>48</v>
      </c>
      <c r="Y36" s="78">
        <f t="shared" si="21"/>
        <v>48</v>
      </c>
      <c r="Z36" s="78">
        <f t="shared" si="22"/>
        <v>48</v>
      </c>
      <c r="AA36" s="78"/>
      <c r="AB36" s="78"/>
      <c r="AC36" s="78"/>
      <c r="AD36" s="78"/>
      <c r="AE36" s="78"/>
      <c r="AF36" s="78"/>
      <c r="AG36" s="78" t="s">
        <v>14</v>
      </c>
      <c r="AH36" s="78"/>
      <c r="AI36" s="79">
        <v>42181</v>
      </c>
      <c r="AJ36" s="79"/>
      <c r="AK36" s="78"/>
      <c r="AL36" s="3">
        <v>9</v>
      </c>
      <c r="AM36" s="78"/>
      <c r="AN36" s="78"/>
      <c r="AO36" s="78"/>
      <c r="AP36" s="78"/>
      <c r="AQ36" s="10"/>
    </row>
    <row r="37" spans="1:43" x14ac:dyDescent="0.25">
      <c r="A37" s="99" t="e">
        <f>C34/E3</f>
        <v>#DIV/0!</v>
      </c>
      <c r="B37" s="99"/>
      <c r="C37" s="99"/>
      <c r="T37" s="10">
        <v>5</v>
      </c>
      <c r="U37" s="10">
        <f t="shared" si="17"/>
        <v>48</v>
      </c>
      <c r="V37" s="10">
        <f t="shared" si="18"/>
        <v>48</v>
      </c>
      <c r="W37" s="78">
        <f t="shared" si="19"/>
        <v>48</v>
      </c>
      <c r="X37" s="78">
        <f t="shared" si="20"/>
        <v>48</v>
      </c>
      <c r="Y37" s="78">
        <f t="shared" si="21"/>
        <v>48</v>
      </c>
      <c r="Z37" s="78">
        <f t="shared" si="22"/>
        <v>48</v>
      </c>
      <c r="AA37" s="78"/>
      <c r="AB37" s="78"/>
      <c r="AC37" s="78"/>
      <c r="AD37" s="78"/>
      <c r="AE37" s="78"/>
      <c r="AF37" s="78"/>
      <c r="AG37" s="78" t="s">
        <v>15</v>
      </c>
      <c r="AH37" s="78"/>
      <c r="AI37" s="79">
        <v>42182</v>
      </c>
      <c r="AJ37" s="79"/>
      <c r="AK37" s="78"/>
      <c r="AL37" s="3">
        <v>10</v>
      </c>
      <c r="AM37" s="78"/>
      <c r="AN37" s="78"/>
      <c r="AO37" s="78"/>
      <c r="AP37" s="78"/>
      <c r="AQ37" s="10"/>
    </row>
    <row r="38" spans="1:43" x14ac:dyDescent="0.25">
      <c r="T38" s="10">
        <v>6</v>
      </c>
      <c r="U38" s="10">
        <f t="shared" si="17"/>
        <v>48</v>
      </c>
      <c r="V38" s="10">
        <f t="shared" si="18"/>
        <v>48</v>
      </c>
      <c r="W38" s="78">
        <f t="shared" si="19"/>
        <v>48</v>
      </c>
      <c r="X38" s="78">
        <f t="shared" si="20"/>
        <v>48</v>
      </c>
      <c r="Y38" s="78">
        <f t="shared" si="21"/>
        <v>48</v>
      </c>
      <c r="Z38" s="78">
        <f t="shared" si="22"/>
        <v>48</v>
      </c>
      <c r="AA38" s="78"/>
      <c r="AB38" s="78"/>
      <c r="AC38" s="78"/>
      <c r="AD38" s="78"/>
      <c r="AE38" s="78"/>
      <c r="AF38" s="78"/>
      <c r="AG38" s="78" t="s">
        <v>16</v>
      </c>
      <c r="AH38" s="78"/>
      <c r="AI38" s="79">
        <v>42183</v>
      </c>
      <c r="AJ38" s="79"/>
      <c r="AK38" s="78"/>
      <c r="AL38" s="3">
        <v>11</v>
      </c>
      <c r="AM38" s="78"/>
      <c r="AN38" s="78"/>
      <c r="AO38" s="78"/>
      <c r="AP38" s="78"/>
      <c r="AQ38" s="10"/>
    </row>
    <row r="39" spans="1:43" x14ac:dyDescent="0.25">
      <c r="T39" s="10">
        <v>7</v>
      </c>
      <c r="U39" s="10">
        <f t="shared" si="17"/>
        <v>48</v>
      </c>
      <c r="V39" s="10">
        <f t="shared" si="18"/>
        <v>48</v>
      </c>
      <c r="W39" s="78">
        <f t="shared" si="19"/>
        <v>48</v>
      </c>
      <c r="X39" s="78">
        <f t="shared" si="20"/>
        <v>48</v>
      </c>
      <c r="Y39" s="78">
        <f t="shared" si="21"/>
        <v>48</v>
      </c>
      <c r="Z39" s="78">
        <f t="shared" si="22"/>
        <v>48</v>
      </c>
      <c r="AA39" s="78"/>
      <c r="AB39" s="78"/>
      <c r="AC39" s="78"/>
      <c r="AD39" s="78"/>
      <c r="AE39" s="78"/>
      <c r="AF39" s="78"/>
      <c r="AG39" s="100">
        <f>IF(E1=AG32,AI32,IF(E1=AG33,AI33,IF(E1=AG34,AI34,IF(E1=AG35,AI35,IF(E1=AG36,AI36,IF(E1=AG37,AI37,IF(E1=AG38,AI38,AI32)))))))</f>
        <v>42177</v>
      </c>
      <c r="AH39" s="100"/>
      <c r="AI39" s="100"/>
      <c r="AJ39" s="100"/>
      <c r="AK39" s="100"/>
      <c r="AL39" s="3">
        <v>12</v>
      </c>
      <c r="AM39" s="78"/>
      <c r="AN39" s="78"/>
      <c r="AO39" s="78"/>
      <c r="AP39" s="78"/>
      <c r="AQ39" s="10"/>
    </row>
    <row r="40" spans="1:43" ht="13" x14ac:dyDescent="0.3">
      <c r="A40" s="4" t="s">
        <v>98</v>
      </c>
      <c r="T40" s="10">
        <v>8</v>
      </c>
      <c r="U40" s="10">
        <f t="shared" si="17"/>
        <v>48</v>
      </c>
      <c r="V40" s="10">
        <f t="shared" si="18"/>
        <v>48</v>
      </c>
      <c r="W40" s="78">
        <f t="shared" si="19"/>
        <v>48</v>
      </c>
      <c r="X40" s="78">
        <f t="shared" si="20"/>
        <v>48</v>
      </c>
      <c r="Y40" s="78">
        <f t="shared" si="21"/>
        <v>48</v>
      </c>
      <c r="Z40" s="78">
        <f t="shared" si="22"/>
        <v>48</v>
      </c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10"/>
    </row>
    <row r="41" spans="1:43" x14ac:dyDescent="0.25">
      <c r="A41" s="3" t="s">
        <v>99</v>
      </c>
      <c r="T41" s="10"/>
      <c r="U41" s="10"/>
      <c r="V41" s="10"/>
      <c r="W41" s="78">
        <f t="shared" si="19"/>
        <v>48</v>
      </c>
      <c r="X41" s="78">
        <f t="shared" si="20"/>
        <v>48</v>
      </c>
      <c r="Y41" s="78">
        <f t="shared" si="21"/>
        <v>48</v>
      </c>
      <c r="Z41" s="78">
        <f t="shared" si="22"/>
        <v>48</v>
      </c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10"/>
    </row>
    <row r="42" spans="1:43" ht="13" x14ac:dyDescent="0.3">
      <c r="A42" s="3" t="s">
        <v>100</v>
      </c>
      <c r="O42" s="81">
        <v>0.29166666666666669</v>
      </c>
      <c r="P42" s="81">
        <v>0.33333333333333331</v>
      </c>
      <c r="Q42" s="3">
        <f>(P42-O42)*24</f>
        <v>0.99999999999999911</v>
      </c>
      <c r="T42" s="10"/>
      <c r="U42" s="10"/>
      <c r="V42" s="10"/>
      <c r="W42" s="78">
        <f t="shared" si="19"/>
        <v>48</v>
      </c>
      <c r="X42" s="78">
        <f t="shared" si="20"/>
        <v>48</v>
      </c>
      <c r="Y42" s="78">
        <f t="shared" si="21"/>
        <v>48</v>
      </c>
      <c r="Z42" s="78">
        <f t="shared" si="22"/>
        <v>48</v>
      </c>
      <c r="AA42" s="78"/>
      <c r="AB42" s="78"/>
      <c r="AC42" s="78"/>
      <c r="AD42" s="78"/>
      <c r="AE42" s="78"/>
      <c r="AF42" s="78"/>
      <c r="AG42" s="80" t="s">
        <v>101</v>
      </c>
      <c r="AH42" s="80"/>
      <c r="AI42" s="78"/>
      <c r="AJ42" s="78"/>
      <c r="AK42" s="78"/>
      <c r="AL42" s="80" t="s">
        <v>102</v>
      </c>
      <c r="AM42" s="78"/>
      <c r="AN42" s="78"/>
      <c r="AO42" s="78"/>
      <c r="AP42" s="78"/>
      <c r="AQ42" s="10"/>
    </row>
    <row r="43" spans="1:43" x14ac:dyDescent="0.25">
      <c r="T43" s="10"/>
      <c r="U43" s="10"/>
      <c r="V43" s="10"/>
      <c r="W43" s="78">
        <f t="shared" si="19"/>
        <v>48</v>
      </c>
      <c r="X43" s="78">
        <f t="shared" si="20"/>
        <v>48</v>
      </c>
      <c r="Y43" s="78">
        <f t="shared" si="21"/>
        <v>48</v>
      </c>
      <c r="Z43" s="78">
        <f t="shared" si="22"/>
        <v>48</v>
      </c>
      <c r="AA43" s="78"/>
      <c r="AB43" s="78"/>
      <c r="AC43" s="78"/>
      <c r="AD43" s="78"/>
      <c r="AE43" s="78"/>
      <c r="AF43" s="78"/>
      <c r="AG43" s="78">
        <v>33.6</v>
      </c>
      <c r="AH43" s="78"/>
      <c r="AI43" s="78"/>
      <c r="AJ43" s="78"/>
      <c r="AK43" s="78"/>
      <c r="AL43" s="78" t="s">
        <v>103</v>
      </c>
      <c r="AM43" s="78"/>
      <c r="AN43" s="78"/>
      <c r="AO43" s="78"/>
      <c r="AP43" s="78"/>
      <c r="AQ43" s="10"/>
    </row>
    <row r="44" spans="1:43" x14ac:dyDescent="0.25">
      <c r="A44" s="3" t="s">
        <v>104</v>
      </c>
      <c r="T44" s="10"/>
      <c r="U44" s="10"/>
      <c r="V44" s="10"/>
      <c r="W44" s="78">
        <f t="shared" si="19"/>
        <v>48</v>
      </c>
      <c r="X44" s="78">
        <f t="shared" si="20"/>
        <v>48</v>
      </c>
      <c r="Y44" s="78">
        <f t="shared" si="21"/>
        <v>48</v>
      </c>
      <c r="Z44" s="78">
        <f t="shared" si="22"/>
        <v>48</v>
      </c>
      <c r="AA44" s="78"/>
      <c r="AB44" s="78"/>
      <c r="AC44" s="78"/>
      <c r="AD44" s="78"/>
      <c r="AE44" s="78"/>
      <c r="AF44" s="78"/>
      <c r="AG44" s="78">
        <v>35.5</v>
      </c>
      <c r="AH44" s="78"/>
      <c r="AI44" s="78"/>
      <c r="AJ44" s="78"/>
      <c r="AK44" s="78"/>
      <c r="AL44" s="78" t="s">
        <v>105</v>
      </c>
      <c r="AM44" s="78"/>
      <c r="AN44" s="78"/>
      <c r="AO44" s="78"/>
      <c r="AP44" s="78"/>
      <c r="AQ44" s="10"/>
    </row>
    <row r="45" spans="1:43" x14ac:dyDescent="0.25">
      <c r="A45" s="1">
        <v>11</v>
      </c>
      <c r="B45" s="5">
        <f>COUNTIF($F$6:$F$13,"&lt;" &amp; A45)+COUNTIF($K$6:$K$13,"&lt;" &amp; A45)+COUNTIF($P$6:$P$13,"&lt;" &amp; A45)+COUNTIF($U$6:$U$13,"&lt;" &amp; A45)+COUNTIF($Z$6:$Z$13,"&lt;" &amp; A45)+COUNTIF($AE$6:$AE$13,"&lt;" &amp; A45)+COUNTIF($AJ$6:$AJ$13,"&lt;" &amp; A45)</f>
        <v>0</v>
      </c>
      <c r="T45" s="10"/>
      <c r="U45" s="10"/>
      <c r="V45" s="10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>
        <v>37.5</v>
      </c>
      <c r="AH45" s="78"/>
      <c r="AI45" s="78"/>
      <c r="AJ45" s="78"/>
      <c r="AK45" s="78"/>
      <c r="AL45" s="78"/>
      <c r="AM45" s="78"/>
      <c r="AN45" s="78"/>
      <c r="AO45" s="78"/>
      <c r="AP45" s="78"/>
      <c r="AQ45" s="10"/>
    </row>
    <row r="46" spans="1:43" x14ac:dyDescent="0.25">
      <c r="T46" s="10"/>
      <c r="U46" s="10"/>
      <c r="V46" s="10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78"/>
      <c r="AQ46" s="10"/>
    </row>
    <row r="47" spans="1:43" x14ac:dyDescent="0.25">
      <c r="T47" s="10"/>
      <c r="U47" s="10"/>
      <c r="V47" s="10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10"/>
    </row>
    <row r="48" spans="1:43" x14ac:dyDescent="0.25">
      <c r="T48" s="10"/>
      <c r="U48" s="10"/>
      <c r="V48" s="10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78"/>
      <c r="AO48" s="78"/>
      <c r="AP48" s="78"/>
      <c r="AQ48" s="10"/>
    </row>
    <row r="49" spans="1:43" ht="13" x14ac:dyDescent="0.3">
      <c r="A49" s="4" t="s">
        <v>106</v>
      </c>
      <c r="T49" s="10"/>
      <c r="U49" s="10"/>
      <c r="V49" s="10"/>
      <c r="W49" s="78"/>
      <c r="X49" s="78"/>
      <c r="Y49" s="78"/>
      <c r="Z49" s="78"/>
      <c r="AA49" s="78"/>
      <c r="AB49" s="80" t="s">
        <v>107</v>
      </c>
      <c r="AC49" s="80"/>
      <c r="AD49" s="78"/>
      <c r="AE49" s="78"/>
      <c r="AF49" s="78"/>
      <c r="AG49" s="78"/>
      <c r="AH49" s="78"/>
      <c r="AI49" s="78"/>
      <c r="AJ49" s="78"/>
      <c r="AK49" s="78"/>
      <c r="AL49" s="78"/>
      <c r="AM49" s="78"/>
      <c r="AN49" s="78"/>
      <c r="AO49" s="78"/>
      <c r="AP49" s="78"/>
      <c r="AQ49" s="10"/>
    </row>
    <row r="50" spans="1:43" x14ac:dyDescent="0.25">
      <c r="A50" s="3" t="s">
        <v>108</v>
      </c>
      <c r="T50" s="10"/>
      <c r="U50" s="10"/>
      <c r="V50" s="10"/>
      <c r="W50" s="78"/>
      <c r="X50" s="78"/>
      <c r="Y50" s="78"/>
      <c r="Z50" s="78"/>
      <c r="AA50" s="78"/>
      <c r="AB50" s="78" t="s">
        <v>109</v>
      </c>
      <c r="AC50" s="78"/>
      <c r="AD50" s="78"/>
      <c r="AE50" s="78"/>
      <c r="AF50" s="78"/>
      <c r="AG50" s="78"/>
      <c r="AH50" s="78"/>
      <c r="AI50" s="78"/>
      <c r="AJ50" s="78"/>
      <c r="AK50" s="78"/>
      <c r="AL50" s="78"/>
      <c r="AM50" s="78"/>
      <c r="AN50" s="78"/>
      <c r="AO50" s="78"/>
      <c r="AP50" s="78"/>
      <c r="AQ50" s="10"/>
    </row>
    <row r="51" spans="1:43" ht="13" x14ac:dyDescent="0.3">
      <c r="A51" s="4" t="s">
        <v>110</v>
      </c>
      <c r="T51" s="10"/>
      <c r="U51" s="10"/>
      <c r="V51" s="10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  <c r="AN51" s="78"/>
      <c r="AO51" s="78"/>
      <c r="AP51" s="78"/>
      <c r="AQ51" s="10"/>
    </row>
    <row r="52" spans="1:43" x14ac:dyDescent="0.25">
      <c r="A52" s="3" t="s">
        <v>111</v>
      </c>
      <c r="T52" s="10"/>
      <c r="U52" s="10"/>
      <c r="V52" s="10"/>
      <c r="W52" s="78"/>
      <c r="X52" s="78"/>
      <c r="Y52" s="78"/>
      <c r="Z52" s="78"/>
      <c r="AA52" s="78"/>
      <c r="AB52" s="78" t="s">
        <v>112</v>
      </c>
      <c r="AC52" s="78"/>
      <c r="AD52" s="78"/>
      <c r="AE52" s="78"/>
      <c r="AF52" s="78"/>
      <c r="AG52" s="78"/>
      <c r="AH52" s="78"/>
      <c r="AI52" s="78"/>
      <c r="AJ52" s="78"/>
      <c r="AK52" s="78"/>
      <c r="AL52" s="78"/>
      <c r="AM52" s="78"/>
      <c r="AN52" s="78"/>
      <c r="AO52" s="78"/>
      <c r="AP52" s="78"/>
      <c r="AQ52" s="10"/>
    </row>
    <row r="53" spans="1:43" x14ac:dyDescent="0.25">
      <c r="A53" s="3" t="s">
        <v>113</v>
      </c>
      <c r="T53" s="10"/>
      <c r="U53" s="10"/>
      <c r="V53" s="10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78"/>
      <c r="AO53" s="78"/>
      <c r="AP53" s="78"/>
      <c r="AQ53" s="10"/>
    </row>
    <row r="54" spans="1:43" x14ac:dyDescent="0.25">
      <c r="A54" s="3" t="s">
        <v>114</v>
      </c>
      <c r="T54" s="10"/>
      <c r="U54" s="10"/>
      <c r="V54" s="10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78"/>
      <c r="AL54" s="78"/>
      <c r="AM54" s="78"/>
      <c r="AN54" s="78"/>
      <c r="AO54" s="78"/>
      <c r="AP54" s="78"/>
      <c r="AQ54" s="10"/>
    </row>
    <row r="55" spans="1:43" x14ac:dyDescent="0.25">
      <c r="T55" s="10"/>
      <c r="U55" s="10"/>
      <c r="V55" s="10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10"/>
    </row>
    <row r="56" spans="1:43" ht="13" x14ac:dyDescent="0.3">
      <c r="A56" s="4" t="s">
        <v>115</v>
      </c>
      <c r="T56" s="10"/>
      <c r="U56" s="10"/>
      <c r="V56" s="10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78"/>
      <c r="AO56" s="78"/>
      <c r="AP56" s="78"/>
      <c r="AQ56" s="10"/>
    </row>
    <row r="57" spans="1:43" x14ac:dyDescent="0.25">
      <c r="A57" s="3" t="s">
        <v>116</v>
      </c>
      <c r="T57" s="10"/>
      <c r="U57" s="10"/>
      <c r="V57" s="10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/>
      <c r="AO57" s="78"/>
      <c r="AP57" s="78"/>
      <c r="AQ57" s="10"/>
    </row>
    <row r="58" spans="1:43" ht="13" x14ac:dyDescent="0.3">
      <c r="A58" s="4" t="s">
        <v>110</v>
      </c>
      <c r="T58" s="10"/>
      <c r="U58" s="10"/>
      <c r="V58" s="10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 t="s">
        <v>117</v>
      </c>
      <c r="AH58" s="78"/>
      <c r="AI58" s="78"/>
      <c r="AJ58" s="78"/>
      <c r="AK58" s="78"/>
      <c r="AL58" s="78"/>
      <c r="AM58" s="78"/>
      <c r="AN58" s="78"/>
      <c r="AO58" s="78"/>
      <c r="AP58" s="78"/>
      <c r="AQ58" s="10"/>
    </row>
    <row r="59" spans="1:43" x14ac:dyDescent="0.25">
      <c r="A59" s="3" t="s">
        <v>111</v>
      </c>
      <c r="T59" s="10"/>
      <c r="U59" s="10"/>
      <c r="V59" s="10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>
        <v>0</v>
      </c>
      <c r="AH59" s="78">
        <v>1</v>
      </c>
      <c r="AI59" s="78">
        <v>2</v>
      </c>
      <c r="AJ59" s="78">
        <v>3</v>
      </c>
      <c r="AK59" s="78">
        <v>4</v>
      </c>
      <c r="AL59" s="78">
        <v>5</v>
      </c>
      <c r="AM59" s="78">
        <v>6</v>
      </c>
      <c r="AN59" s="78"/>
      <c r="AO59" s="78"/>
      <c r="AP59" s="78"/>
      <c r="AQ59" s="10"/>
    </row>
    <row r="60" spans="1:43" x14ac:dyDescent="0.25">
      <c r="A60" s="3" t="s">
        <v>113</v>
      </c>
      <c r="T60" s="10"/>
      <c r="U60" s="10"/>
      <c r="V60" s="10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>
        <v>7</v>
      </c>
      <c r="AH60" s="78">
        <v>8</v>
      </c>
      <c r="AI60" s="78">
        <v>9</v>
      </c>
      <c r="AJ60" s="78">
        <v>10</v>
      </c>
      <c r="AK60" s="78">
        <v>11</v>
      </c>
      <c r="AL60" s="78">
        <v>12</v>
      </c>
      <c r="AM60" s="78">
        <v>13</v>
      </c>
      <c r="AN60" s="78"/>
      <c r="AO60" s="78"/>
      <c r="AP60" s="78"/>
      <c r="AQ60" s="10"/>
    </row>
    <row r="61" spans="1:43" x14ac:dyDescent="0.25">
      <c r="T61" s="10"/>
      <c r="U61" s="10"/>
      <c r="V61" s="10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>
        <v>14</v>
      </c>
      <c r="AH61" s="78">
        <v>15</v>
      </c>
      <c r="AI61" s="78">
        <v>16</v>
      </c>
      <c r="AJ61" s="78">
        <v>17</v>
      </c>
      <c r="AK61" s="78">
        <v>18</v>
      </c>
      <c r="AL61" s="78">
        <v>19</v>
      </c>
      <c r="AM61" s="78">
        <v>20</v>
      </c>
      <c r="AN61" s="78"/>
      <c r="AO61" s="78"/>
      <c r="AP61" s="78"/>
      <c r="AQ61" s="10"/>
    </row>
    <row r="62" spans="1:43" ht="13" x14ac:dyDescent="0.3">
      <c r="A62" s="4" t="s">
        <v>118</v>
      </c>
      <c r="T62" s="10"/>
      <c r="U62" s="10"/>
      <c r="V62" s="10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>
        <v>21</v>
      </c>
      <c r="AH62" s="78">
        <v>22</v>
      </c>
      <c r="AI62" s="78">
        <v>23</v>
      </c>
      <c r="AJ62" s="78">
        <v>24</v>
      </c>
      <c r="AK62" s="78">
        <v>25</v>
      </c>
      <c r="AL62" s="78">
        <v>26</v>
      </c>
      <c r="AM62" s="78">
        <v>27</v>
      </c>
      <c r="AN62" s="78"/>
      <c r="AO62" s="78"/>
      <c r="AP62" s="78"/>
      <c r="AQ62" s="10"/>
    </row>
    <row r="63" spans="1:43" x14ac:dyDescent="0.25">
      <c r="A63" s="3" t="s">
        <v>119</v>
      </c>
      <c r="T63" s="10"/>
      <c r="U63" s="10"/>
      <c r="V63" s="10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>
        <v>28</v>
      </c>
      <c r="AH63" s="78">
        <v>29</v>
      </c>
      <c r="AI63" s="78">
        <v>30</v>
      </c>
      <c r="AJ63" s="78">
        <v>31</v>
      </c>
      <c r="AK63" s="78">
        <v>32</v>
      </c>
      <c r="AL63" s="78">
        <v>33</v>
      </c>
      <c r="AM63" s="78">
        <v>34</v>
      </c>
      <c r="AN63" s="78"/>
      <c r="AO63" s="78"/>
      <c r="AP63" s="78"/>
      <c r="AQ63" s="10"/>
    </row>
    <row r="64" spans="1:43" x14ac:dyDescent="0.25">
      <c r="A64" s="3" t="s">
        <v>120</v>
      </c>
      <c r="T64" s="10"/>
      <c r="U64" s="10"/>
      <c r="V64" s="10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>
        <v>35</v>
      </c>
      <c r="AH64" s="78">
        <v>36</v>
      </c>
      <c r="AI64" s="78">
        <v>37</v>
      </c>
      <c r="AJ64" s="78">
        <v>38</v>
      </c>
      <c r="AK64" s="78">
        <v>39</v>
      </c>
      <c r="AL64" s="78">
        <v>40</v>
      </c>
      <c r="AM64" s="78">
        <v>41</v>
      </c>
      <c r="AN64" s="78"/>
      <c r="AO64" s="78"/>
      <c r="AP64" s="78"/>
      <c r="AQ64" s="10"/>
    </row>
    <row r="65" spans="1:43" x14ac:dyDescent="0.25">
      <c r="T65" s="10"/>
      <c r="U65" s="10"/>
      <c r="V65" s="10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>
        <v>42</v>
      </c>
      <c r="AH65" s="78">
        <v>43</v>
      </c>
      <c r="AI65" s="78">
        <v>44</v>
      </c>
      <c r="AJ65" s="78">
        <v>45</v>
      </c>
      <c r="AK65" s="78">
        <v>46</v>
      </c>
      <c r="AL65" s="78">
        <v>47</v>
      </c>
      <c r="AM65" s="78">
        <v>48</v>
      </c>
      <c r="AN65" s="78"/>
      <c r="AO65" s="78"/>
      <c r="AP65" s="78"/>
      <c r="AQ65" s="10"/>
    </row>
    <row r="66" spans="1:43" ht="13" x14ac:dyDescent="0.3">
      <c r="A66" s="3" t="s">
        <v>121</v>
      </c>
      <c r="B66" s="4"/>
      <c r="T66" s="10"/>
      <c r="U66" s="10"/>
      <c r="V66" s="10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>
        <v>49</v>
      </c>
      <c r="AH66" s="78">
        <v>50</v>
      </c>
      <c r="AI66" s="78">
        <v>51</v>
      </c>
      <c r="AJ66" s="78">
        <v>52</v>
      </c>
      <c r="AK66" s="78">
        <v>53</v>
      </c>
      <c r="AL66" s="78">
        <v>54</v>
      </c>
      <c r="AM66" s="78">
        <v>55</v>
      </c>
      <c r="AN66" s="78"/>
      <c r="AO66" s="78"/>
      <c r="AP66" s="78"/>
      <c r="AQ66" s="10"/>
    </row>
    <row r="67" spans="1:43" ht="13" x14ac:dyDescent="0.3">
      <c r="A67" s="1">
        <v>9</v>
      </c>
      <c r="B67" s="5">
        <f>COUNTIF($E$6:$E$13,"&gt;" &amp; A67)+COUNTIF($J$6:$J$13,"&gt;" &amp; A67)+COUNTIF($O$6:$O$13,"&gt;" &amp; A67)+COUNTIF($T$6:$T$13,"&gt;" &amp; A67)+COUNTIF($Y$6:$Y$13,"&gt;" &amp; A67)+COUNTIF($AD$6:$AD$13,"&gt;" &amp; A67)+COUNTIF($AI$6:$AI$13,"&gt;" &amp; A67)</f>
        <v>0</v>
      </c>
      <c r="C67" s="3" t="s">
        <v>122</v>
      </c>
      <c r="E67" s="3" t="s">
        <v>123</v>
      </c>
      <c r="H67" s="1" t="s">
        <v>124</v>
      </c>
      <c r="L67" s="3" t="s">
        <v>125</v>
      </c>
      <c r="T67" s="10"/>
      <c r="U67" s="10"/>
      <c r="V67" s="10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>
        <v>56</v>
      </c>
      <c r="AH67" s="78">
        <v>57</v>
      </c>
      <c r="AI67" s="78">
        <v>58</v>
      </c>
      <c r="AJ67" s="78">
        <v>59</v>
      </c>
      <c r="AK67" s="78">
        <v>60</v>
      </c>
      <c r="AL67" s="78">
        <v>61</v>
      </c>
      <c r="AM67" s="78">
        <v>62</v>
      </c>
      <c r="AN67" s="78"/>
      <c r="AO67" s="78"/>
      <c r="AP67" s="78"/>
      <c r="AQ67" s="10"/>
    </row>
    <row r="68" spans="1:43" x14ac:dyDescent="0.25">
      <c r="T68" s="10"/>
      <c r="U68" s="10"/>
      <c r="V68" s="10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>
        <v>63</v>
      </c>
      <c r="AH68" s="78">
        <v>64</v>
      </c>
      <c r="AI68" s="78">
        <v>65</v>
      </c>
      <c r="AJ68" s="78">
        <v>66</v>
      </c>
      <c r="AK68" s="78">
        <v>67</v>
      </c>
      <c r="AL68" s="78">
        <v>68</v>
      </c>
      <c r="AM68" s="78">
        <v>69</v>
      </c>
      <c r="AN68" s="78"/>
      <c r="AO68" s="78"/>
      <c r="AP68" s="78"/>
      <c r="AQ68" s="10"/>
    </row>
    <row r="69" spans="1:43" x14ac:dyDescent="0.25">
      <c r="A69" s="3" t="s">
        <v>126</v>
      </c>
      <c r="T69" s="10"/>
      <c r="U69" s="10"/>
      <c r="V69" s="10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>
        <v>70</v>
      </c>
      <c r="AH69" s="78">
        <v>71</v>
      </c>
      <c r="AI69" s="78">
        <v>72</v>
      </c>
      <c r="AJ69" s="78">
        <v>73</v>
      </c>
      <c r="AK69" s="78">
        <v>74</v>
      </c>
      <c r="AL69" s="78">
        <v>75</v>
      </c>
      <c r="AM69" s="78">
        <v>76</v>
      </c>
      <c r="AN69" s="78"/>
      <c r="AO69" s="78"/>
      <c r="AP69" s="78"/>
      <c r="AQ69" s="10"/>
    </row>
    <row r="70" spans="1:43" x14ac:dyDescent="0.25">
      <c r="A70" s="1">
        <v>20</v>
      </c>
      <c r="B70" s="5">
        <f>COUNTIF($AK$6:$AK$13,"&gt;" &amp; A70)</f>
        <v>0</v>
      </c>
      <c r="C70" s="3" t="s">
        <v>127</v>
      </c>
      <c r="E70" s="3" t="s">
        <v>128</v>
      </c>
      <c r="H70" s="1" t="s">
        <v>124</v>
      </c>
      <c r="T70" s="10"/>
      <c r="U70" s="10"/>
      <c r="V70" s="10"/>
      <c r="W70" s="78"/>
      <c r="X70" s="78"/>
      <c r="Y70" s="78"/>
      <c r="Z70" s="78"/>
      <c r="AA70" s="78"/>
      <c r="AB70" s="78"/>
      <c r="AC70" s="78"/>
      <c r="AD70" s="78"/>
      <c r="AE70" s="78"/>
      <c r="AF70" s="78"/>
      <c r="AG70" s="78">
        <v>77</v>
      </c>
      <c r="AH70" s="78">
        <v>78</v>
      </c>
      <c r="AI70" s="78">
        <v>79</v>
      </c>
      <c r="AJ70" s="78">
        <v>80</v>
      </c>
      <c r="AK70" s="78">
        <v>81</v>
      </c>
      <c r="AL70" s="78">
        <v>82</v>
      </c>
      <c r="AM70" s="78">
        <v>83</v>
      </c>
      <c r="AN70" s="78"/>
      <c r="AO70" s="78"/>
      <c r="AP70" s="78"/>
      <c r="AQ70" s="10"/>
    </row>
    <row r="71" spans="1:43" x14ac:dyDescent="0.25">
      <c r="W71" s="78"/>
      <c r="X71" s="78"/>
      <c r="Y71" s="78"/>
      <c r="Z71" s="78"/>
      <c r="AA71" s="78"/>
      <c r="AB71" s="78"/>
      <c r="AC71" s="78"/>
      <c r="AD71" s="78"/>
      <c r="AE71" s="78"/>
      <c r="AF71" s="78"/>
      <c r="AG71" s="78">
        <v>84</v>
      </c>
      <c r="AH71" s="78">
        <v>85</v>
      </c>
      <c r="AI71" s="78">
        <v>86</v>
      </c>
      <c r="AJ71" s="78">
        <v>87</v>
      </c>
      <c r="AK71" s="78">
        <v>88</v>
      </c>
      <c r="AL71" s="78">
        <v>89</v>
      </c>
      <c r="AM71" s="78">
        <v>90</v>
      </c>
      <c r="AN71" s="78"/>
      <c r="AO71" s="78"/>
      <c r="AP71" s="78"/>
    </row>
    <row r="72" spans="1:43" x14ac:dyDescent="0.25"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  <c r="AL72" s="78"/>
      <c r="AM72" s="78"/>
      <c r="AN72" s="78"/>
      <c r="AO72" s="78"/>
      <c r="AP72" s="78"/>
    </row>
    <row r="73" spans="1:43" x14ac:dyDescent="0.25">
      <c r="W73" s="78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8"/>
      <c r="AK73" s="78"/>
      <c r="AL73" s="78"/>
      <c r="AM73" s="78"/>
      <c r="AN73" s="78"/>
      <c r="AO73" s="78"/>
      <c r="AP73" s="78"/>
    </row>
    <row r="74" spans="1:43" x14ac:dyDescent="0.25"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78"/>
      <c r="AO74" s="78"/>
      <c r="AP74" s="78"/>
    </row>
    <row r="75" spans="1:43" x14ac:dyDescent="0.25"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  <c r="AK75" s="78"/>
      <c r="AL75" s="78"/>
      <c r="AM75" s="78"/>
      <c r="AN75" s="78"/>
      <c r="AO75" s="78"/>
      <c r="AP75" s="78"/>
    </row>
    <row r="76" spans="1:43" x14ac:dyDescent="0.25">
      <c r="W76" s="78"/>
      <c r="X76" s="78"/>
      <c r="Y76" s="78"/>
      <c r="Z76" s="78"/>
      <c r="AA76" s="78"/>
      <c r="AB76" s="78"/>
      <c r="AC76" s="78"/>
      <c r="AD76" s="78"/>
      <c r="AE76" s="78"/>
      <c r="AF76" s="78"/>
      <c r="AG76" s="78"/>
      <c r="AH76" s="78"/>
      <c r="AI76" s="78"/>
      <c r="AJ76" s="78"/>
      <c r="AK76" s="78"/>
      <c r="AL76" s="78"/>
      <c r="AM76" s="78"/>
      <c r="AN76" s="78"/>
      <c r="AO76" s="78"/>
      <c r="AP76" s="78"/>
    </row>
    <row r="77" spans="1:43" x14ac:dyDescent="0.25"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78"/>
      <c r="AK77" s="78"/>
      <c r="AL77" s="78"/>
      <c r="AM77" s="78"/>
      <c r="AN77" s="78"/>
      <c r="AO77" s="78"/>
      <c r="AP77" s="78"/>
    </row>
    <row r="78" spans="1:43" x14ac:dyDescent="0.25">
      <c r="W78" s="78"/>
      <c r="X78" s="78"/>
      <c r="Y78" s="78"/>
      <c r="Z78" s="78"/>
      <c r="AA78" s="78"/>
      <c r="AB78" s="78"/>
      <c r="AC78" s="78"/>
      <c r="AD78" s="78"/>
      <c r="AE78" s="78"/>
      <c r="AF78" s="78"/>
      <c r="AG78" s="78"/>
      <c r="AH78" s="78"/>
      <c r="AI78" s="78"/>
      <c r="AJ78" s="78"/>
      <c r="AK78" s="78"/>
      <c r="AL78" s="78"/>
      <c r="AM78" s="78"/>
      <c r="AN78" s="78"/>
      <c r="AO78" s="78"/>
      <c r="AP78" s="78"/>
    </row>
    <row r="79" spans="1:43" x14ac:dyDescent="0.25">
      <c r="W79" s="78"/>
      <c r="X79" s="78"/>
      <c r="Y79" s="78"/>
      <c r="Z79" s="78"/>
      <c r="AA79" s="78"/>
      <c r="AB79" s="78"/>
      <c r="AC79" s="78"/>
      <c r="AD79" s="78"/>
      <c r="AE79" s="78"/>
      <c r="AF79" s="78"/>
      <c r="AG79" s="78"/>
      <c r="AH79" s="78"/>
      <c r="AI79" s="78"/>
      <c r="AJ79" s="78"/>
      <c r="AK79" s="78"/>
      <c r="AL79" s="78"/>
      <c r="AM79" s="78"/>
      <c r="AN79" s="78"/>
      <c r="AO79" s="78"/>
      <c r="AP79" s="78"/>
    </row>
    <row r="80" spans="1:43" x14ac:dyDescent="0.25">
      <c r="W80" s="78"/>
      <c r="X80" s="78"/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  <c r="AJ80" s="78"/>
      <c r="AK80" s="78"/>
      <c r="AL80" s="78"/>
      <c r="AM80" s="78"/>
      <c r="AN80" s="78"/>
      <c r="AO80" s="78"/>
      <c r="AP80" s="78"/>
    </row>
    <row r="81" spans="1:42" x14ac:dyDescent="0.25"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  <c r="AJ81" s="78"/>
      <c r="AK81" s="78"/>
      <c r="AL81" s="78"/>
      <c r="AM81" s="78"/>
      <c r="AN81" s="78"/>
      <c r="AO81" s="78"/>
      <c r="AP81" s="78"/>
    </row>
    <row r="82" spans="1:42" x14ac:dyDescent="0.25"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8"/>
      <c r="AH82" s="78"/>
      <c r="AI82" s="78"/>
      <c r="AJ82" s="78"/>
      <c r="AK82" s="78"/>
      <c r="AL82" s="78"/>
      <c r="AM82" s="78"/>
      <c r="AN82" s="78"/>
      <c r="AO82" s="78"/>
      <c r="AP82" s="78"/>
    </row>
    <row r="83" spans="1:42" x14ac:dyDescent="0.25"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</row>
    <row r="84" spans="1:42" x14ac:dyDescent="0.25"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</row>
    <row r="85" spans="1:42" x14ac:dyDescent="0.25"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</row>
    <row r="86" spans="1:42" x14ac:dyDescent="0.25"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8"/>
      <c r="AO86" s="78"/>
      <c r="AP86" s="78"/>
    </row>
    <row r="87" spans="1:42" x14ac:dyDescent="0.25"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  <c r="AN87" s="78"/>
      <c r="AO87" s="78"/>
      <c r="AP87" s="78"/>
    </row>
    <row r="95" spans="1:42" ht="13" x14ac:dyDescent="0.3">
      <c r="A95" s="4"/>
    </row>
  </sheetData>
  <sheetProtection algorithmName="SHA-512" hashValue="yyQJtntO+lyQ8nESzfkYUC7X086uBsjYy8K+FlPmShVLTswYr4mWFzoTZcBIi302A3xdKH/58ukZaWTZVn2nZA==" saltValue="Hfk5HJbRkagQYjXHllhGmQ==" spinCount="100000" sheet="1" objects="1" scenarios="1"/>
  <mergeCells count="27">
    <mergeCell ref="A1:C1"/>
    <mergeCell ref="H1:L1"/>
    <mergeCell ref="A2:C2"/>
    <mergeCell ref="A3:C3"/>
    <mergeCell ref="B4:F4"/>
    <mergeCell ref="G4:J4"/>
    <mergeCell ref="L4:O4"/>
    <mergeCell ref="I2:J2"/>
    <mergeCell ref="Q4:T4"/>
    <mergeCell ref="V4:Y4"/>
    <mergeCell ref="AA4:AD4"/>
    <mergeCell ref="AF4:AI4"/>
    <mergeCell ref="AG39:AK39"/>
    <mergeCell ref="A28:C28"/>
    <mergeCell ref="A29:C29"/>
    <mergeCell ref="A30:C30"/>
    <mergeCell ref="D32:E32"/>
    <mergeCell ref="H32:I32"/>
    <mergeCell ref="A37:C37"/>
    <mergeCell ref="D31:E31"/>
    <mergeCell ref="H31:I31"/>
    <mergeCell ref="A36:E36"/>
    <mergeCell ref="N32:O32"/>
    <mergeCell ref="A33:C33"/>
    <mergeCell ref="G33:H33"/>
    <mergeCell ref="A34:B34"/>
    <mergeCell ref="N31:O31"/>
  </mergeCells>
  <conditionalFormatting sqref="A6:A17">
    <cfRule type="cellIs" dxfId="187" priority="363" operator="equal">
      <formula>0</formula>
    </cfRule>
  </conditionalFormatting>
  <conditionalFormatting sqref="A37">
    <cfRule type="cellIs" dxfId="186" priority="243" operator="notEqual">
      <formula>$E$2</formula>
    </cfRule>
    <cfRule type="cellIs" dxfId="185" priority="244" operator="equal">
      <formula>$E$2</formula>
    </cfRule>
  </conditionalFormatting>
  <conditionalFormatting sqref="A32:D32 F32:H32 C34">
    <cfRule type="cellIs" dxfId="184" priority="241" operator="notEqual">
      <formula>$E$3</formula>
    </cfRule>
    <cfRule type="cellIs" dxfId="183" priority="242" operator="equal">
      <formula>$E$3</formula>
    </cfRule>
  </conditionalFormatting>
  <conditionalFormatting sqref="B6:D17">
    <cfRule type="expression" dxfId="182" priority="112">
      <formula>$A6=0</formula>
    </cfRule>
  </conditionalFormatting>
  <conditionalFormatting sqref="E6:E17">
    <cfRule type="expression" dxfId="181" priority="116">
      <formula>AND($H$67="ja",E6&gt;$A$67)</formula>
    </cfRule>
    <cfRule type="cellIs" dxfId="180" priority="117" operator="greaterThanOrEqual">
      <formula>0</formula>
    </cfRule>
  </conditionalFormatting>
  <conditionalFormatting sqref="F6:F17">
    <cfRule type="cellIs" dxfId="179" priority="31" operator="lessThan">
      <formula>$A$45</formula>
    </cfRule>
    <cfRule type="cellIs" dxfId="178" priority="32" operator="equal">
      <formula>0</formula>
    </cfRule>
    <cfRule type="cellIs" dxfId="177" priority="33" operator="notEqual">
      <formula>0</formula>
    </cfRule>
  </conditionalFormatting>
  <conditionalFormatting sqref="G6:I17">
    <cfRule type="expression" dxfId="176" priority="52">
      <formula>$A6=0</formula>
    </cfRule>
  </conditionalFormatting>
  <conditionalFormatting sqref="J6:J17">
    <cfRule type="expression" dxfId="175" priority="104">
      <formula>AND($H$67="ja",J6&gt;$A$67)</formula>
    </cfRule>
    <cfRule type="cellIs" dxfId="174" priority="105" operator="greaterThanOrEqual">
      <formula>0</formula>
    </cfRule>
  </conditionalFormatting>
  <conditionalFormatting sqref="J32:N32">
    <cfRule type="cellIs" dxfId="173" priority="239" operator="notEqual">
      <formula>$E$3</formula>
    </cfRule>
    <cfRule type="cellIs" dxfId="172" priority="240" operator="equal">
      <formula>$E$3</formula>
    </cfRule>
  </conditionalFormatting>
  <conditionalFormatting sqref="K6:K17">
    <cfRule type="cellIs" dxfId="171" priority="28" operator="lessThan">
      <formula>$A$45</formula>
    </cfRule>
    <cfRule type="cellIs" dxfId="170" priority="29" operator="equal">
      <formula>0</formula>
    </cfRule>
    <cfRule type="cellIs" dxfId="169" priority="30" operator="notEqual">
      <formula>0</formula>
    </cfRule>
  </conditionalFormatting>
  <conditionalFormatting sqref="L6:N17">
    <cfRule type="expression" dxfId="168" priority="48">
      <formula>$A6=0</formula>
    </cfRule>
  </conditionalFormatting>
  <conditionalFormatting sqref="O6:O17">
    <cfRule type="cellIs" dxfId="167" priority="97" operator="greaterThanOrEqual">
      <formula>0</formula>
    </cfRule>
    <cfRule type="expression" dxfId="166" priority="96">
      <formula>AND($H$67="ja",O6&gt;$A$67)</formula>
    </cfRule>
  </conditionalFormatting>
  <conditionalFormatting sqref="P6:P17">
    <cfRule type="cellIs" dxfId="165" priority="22" operator="lessThan">
      <formula>$A$45</formula>
    </cfRule>
    <cfRule type="cellIs" dxfId="164" priority="23" operator="equal">
      <formula>0</formula>
    </cfRule>
    <cfRule type="cellIs" dxfId="163" priority="24" operator="notEqual">
      <formula>0</formula>
    </cfRule>
  </conditionalFormatting>
  <conditionalFormatting sqref="Q6:S17">
    <cfRule type="expression" dxfId="162" priority="47">
      <formula>$A6=0</formula>
    </cfRule>
  </conditionalFormatting>
  <conditionalFormatting sqref="T6:T17">
    <cfRule type="cellIs" dxfId="161" priority="89" operator="greaterThanOrEqual">
      <formula>0</formula>
    </cfRule>
    <cfRule type="expression" dxfId="160" priority="88">
      <formula>AND($H$67="ja",T6&gt;$A$67)</formula>
    </cfRule>
  </conditionalFormatting>
  <conditionalFormatting sqref="U6:U17">
    <cfRule type="cellIs" dxfId="159" priority="17" operator="equal">
      <formula>0</formula>
    </cfRule>
    <cfRule type="cellIs" dxfId="158" priority="16" operator="lessThan">
      <formula>$A$45</formula>
    </cfRule>
    <cfRule type="cellIs" dxfId="157" priority="18" operator="notEqual">
      <formula>0</formula>
    </cfRule>
  </conditionalFormatting>
  <conditionalFormatting sqref="V6:X17">
    <cfRule type="expression" dxfId="156" priority="46">
      <formula>$A6=0</formula>
    </cfRule>
  </conditionalFormatting>
  <conditionalFormatting sqref="Y6:Y17 AD6:AD17 AI6:AI17">
    <cfRule type="expression" dxfId="155" priority="59">
      <formula>AND($H$67="ja",Y6&gt;$A$67)</formula>
    </cfRule>
    <cfRule type="cellIs" dxfId="154" priority="60" operator="greaterThanOrEqual">
      <formula>0</formula>
    </cfRule>
  </conditionalFormatting>
  <conditionalFormatting sqref="Z6:Z17">
    <cfRule type="cellIs" dxfId="153" priority="11" operator="equal">
      <formula>0</formula>
    </cfRule>
    <cfRule type="cellIs" dxfId="152" priority="10" operator="lessThan">
      <formula>$A$45</formula>
    </cfRule>
    <cfRule type="cellIs" dxfId="151" priority="12" operator="notEqual">
      <formula>0</formula>
    </cfRule>
  </conditionalFormatting>
  <conditionalFormatting sqref="AA6:AC17">
    <cfRule type="expression" dxfId="150" priority="43">
      <formula>$A6=0</formula>
    </cfRule>
  </conditionalFormatting>
  <conditionalFormatting sqref="AE6:AE17">
    <cfRule type="cellIs" dxfId="149" priority="5" operator="equal">
      <formula>0</formula>
    </cfRule>
    <cfRule type="cellIs" dxfId="148" priority="4" operator="lessThan">
      <formula>$A$45</formula>
    </cfRule>
    <cfRule type="cellIs" dxfId="147" priority="6" operator="notEqual">
      <formula>0</formula>
    </cfRule>
  </conditionalFormatting>
  <conditionalFormatting sqref="AF6:AH17">
    <cfRule type="expression" dxfId="146" priority="34">
      <formula>$A6=0</formula>
    </cfRule>
  </conditionalFormatting>
  <conditionalFormatting sqref="AJ6:AJ17">
    <cfRule type="cellIs" dxfId="145" priority="3" operator="notEqual">
      <formula>0</formula>
    </cfRule>
    <cfRule type="cellIs" dxfId="144" priority="2" operator="equal">
      <formula>0</formula>
    </cfRule>
    <cfRule type="cellIs" dxfId="143" priority="1" operator="lessThan">
      <formula>$A$45</formula>
    </cfRule>
  </conditionalFormatting>
  <conditionalFormatting sqref="AK6:AK17">
    <cfRule type="expression" dxfId="142" priority="58">
      <formula>AND($H$70="ja",AK6&gt;$A$70)</formula>
    </cfRule>
    <cfRule type="cellIs" dxfId="141" priority="61" operator="greaterThanOrEqual">
      <formula>0</formula>
    </cfRule>
  </conditionalFormatting>
  <dataValidations count="2">
    <dataValidation type="list" showInputMessage="1" showErrorMessage="1" promptTitle="Velg Turnus startdag" prompt="Velg hvilken dag turnusen starte å telle ifra. (Typisk Mandag)" sqref="E1" xr:uid="{00000000-0002-0000-1700-000000000000}">
      <formula1>Ukedager</formula1>
    </dataValidation>
    <dataValidation type="list" allowBlank="1" showInputMessage="1" showErrorMessage="1" sqref="H67 H70" xr:uid="{00000000-0002-0000-1700-000001000000}">
      <formula1>Ja_og_nei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7"/>
  <dimension ref="A1:AQ95"/>
  <sheetViews>
    <sheetView zoomScale="85" zoomScaleNormal="85" workbookViewId="0">
      <pane ySplit="24" topLeftCell="A25" activePane="bottomLeft" state="frozen"/>
      <selection pane="bottomLeft" activeCell="D9" sqref="D9"/>
    </sheetView>
  </sheetViews>
  <sheetFormatPr defaultColWidth="9.08984375" defaultRowHeight="12.5" x14ac:dyDescent="0.25"/>
  <cols>
    <col min="1" max="1" width="10.7265625" style="3" customWidth="1"/>
    <col min="2" max="2" width="7.6328125" style="3" customWidth="1"/>
    <col min="3" max="3" width="7.81640625" style="3" customWidth="1"/>
    <col min="4" max="4" width="4.36328125" style="3" bestFit="1" customWidth="1"/>
    <col min="5" max="6" width="10" style="3" customWidth="1"/>
    <col min="7" max="7" width="7" style="3" customWidth="1"/>
    <col min="8" max="8" width="7.6328125" style="3" customWidth="1"/>
    <col min="9" max="9" width="4.36328125" style="3" bestFit="1" customWidth="1"/>
    <col min="10" max="11" width="10" style="3" customWidth="1"/>
    <col min="12" max="12" width="7.26953125" style="3" customWidth="1"/>
    <col min="13" max="13" width="7.7265625" style="3" customWidth="1"/>
    <col min="14" max="14" width="4.36328125" style="3" bestFit="1" customWidth="1"/>
    <col min="15" max="15" width="10.08984375" style="3" bestFit="1" customWidth="1"/>
    <col min="16" max="16" width="10.08984375" style="3" customWidth="1"/>
    <col min="17" max="17" width="7.6328125" style="3" customWidth="1"/>
    <col min="18" max="18" width="7.7265625" style="3" customWidth="1"/>
    <col min="19" max="19" width="4.36328125" style="3" bestFit="1" customWidth="1"/>
    <col min="20" max="20" width="10.08984375" style="3" bestFit="1" customWidth="1"/>
    <col min="21" max="21" width="10.08984375" style="3" customWidth="1"/>
    <col min="22" max="22" width="8.36328125" style="3" customWidth="1"/>
    <col min="23" max="23" width="8.81640625" style="3" customWidth="1"/>
    <col min="24" max="24" width="4.36328125" style="3" bestFit="1" customWidth="1"/>
    <col min="25" max="26" width="10" style="3" customWidth="1"/>
    <col min="27" max="28" width="7.81640625" style="3" customWidth="1"/>
    <col min="29" max="29" width="4.36328125" style="3" bestFit="1" customWidth="1"/>
    <col min="30" max="31" width="9.7265625" style="3" customWidth="1"/>
    <col min="32" max="32" width="6.81640625" style="3" customWidth="1"/>
    <col min="33" max="33" width="7.6328125" style="3" customWidth="1"/>
    <col min="34" max="34" width="4.36328125" style="3" bestFit="1" customWidth="1"/>
    <col min="35" max="36" width="9.6328125" style="3" customWidth="1"/>
    <col min="37" max="37" width="15.6328125" style="3" bestFit="1" customWidth="1"/>
    <col min="38" max="16384" width="9.08984375" style="3"/>
  </cols>
  <sheetData>
    <row r="1" spans="1:39" ht="13" x14ac:dyDescent="0.3">
      <c r="A1" s="98" t="s">
        <v>66</v>
      </c>
      <c r="B1" s="98"/>
      <c r="C1" s="98"/>
      <c r="D1" s="88"/>
      <c r="E1" s="5" t="str">
        <f>Vaktplan!G38</f>
        <v>mandag</v>
      </c>
      <c r="H1" s="98" t="s">
        <v>67</v>
      </c>
      <c r="I1" s="98"/>
      <c r="J1" s="98"/>
      <c r="K1" s="98"/>
      <c r="L1" s="98"/>
      <c r="M1" s="5">
        <f>Vaktplan!AJ63</f>
        <v>12</v>
      </c>
    </row>
    <row r="2" spans="1:39" ht="13" x14ac:dyDescent="0.3">
      <c r="A2" s="98" t="s">
        <v>36</v>
      </c>
      <c r="B2" s="98"/>
      <c r="C2" s="98"/>
      <c r="D2" s="88"/>
      <c r="E2" s="8">
        <f>Vaktplan!AM63</f>
        <v>0</v>
      </c>
      <c r="I2" s="106"/>
      <c r="J2" s="106"/>
    </row>
    <row r="3" spans="1:39" ht="13" x14ac:dyDescent="0.3">
      <c r="A3" s="98" t="s">
        <v>68</v>
      </c>
      <c r="B3" s="98"/>
      <c r="C3" s="98"/>
      <c r="D3" s="88"/>
      <c r="E3" s="5">
        <f>Vaktplan!AQ63</f>
        <v>0</v>
      </c>
      <c r="F3" s="4" t="s">
        <v>69</v>
      </c>
    </row>
    <row r="4" spans="1:39" ht="13" x14ac:dyDescent="0.3">
      <c r="A4" s="89" t="s">
        <v>70</v>
      </c>
      <c r="B4" s="103" t="str">
        <f>TEXT(AG39,"DDDD")</f>
        <v>Monday</v>
      </c>
      <c r="C4" s="104"/>
      <c r="D4" s="104"/>
      <c r="E4" s="104"/>
      <c r="F4" s="105"/>
      <c r="G4" s="102" t="str">
        <f>TEXT($AG$39+1,"DDDD")</f>
        <v>Tuesday</v>
      </c>
      <c r="H4" s="102"/>
      <c r="I4" s="102"/>
      <c r="J4" s="102"/>
      <c r="K4" s="89"/>
      <c r="L4" s="102" t="str">
        <f>TEXT($AG$39+2,"DDDD")</f>
        <v>Wednesday</v>
      </c>
      <c r="M4" s="102"/>
      <c r="N4" s="102"/>
      <c r="O4" s="102"/>
      <c r="P4" s="89"/>
      <c r="Q4" s="102" t="str">
        <f>TEXT($AG$39+3,"DDDD")</f>
        <v>Thursday</v>
      </c>
      <c r="R4" s="102"/>
      <c r="S4" s="102"/>
      <c r="T4" s="102"/>
      <c r="U4" s="89"/>
      <c r="V4" s="102" t="str">
        <f>TEXT($AG$39+4,"DDDD")</f>
        <v>Friday</v>
      </c>
      <c r="W4" s="102"/>
      <c r="X4" s="102"/>
      <c r="Y4" s="102"/>
      <c r="Z4" s="89"/>
      <c r="AA4" s="102" t="str">
        <f>TEXT($AG$39+5,"DDDD")</f>
        <v>Saturday</v>
      </c>
      <c r="AB4" s="102"/>
      <c r="AC4" s="102"/>
      <c r="AD4" s="102"/>
      <c r="AE4" s="89"/>
      <c r="AF4" s="102" t="str">
        <f>TEXT($AG$39+6,"DDDD")</f>
        <v>Sunday</v>
      </c>
      <c r="AG4" s="102"/>
      <c r="AH4" s="102"/>
      <c r="AI4" s="102"/>
      <c r="AJ4" s="89"/>
      <c r="AK4" s="7" t="s">
        <v>71</v>
      </c>
      <c r="AL4" s="91"/>
    </row>
    <row r="5" spans="1:39" x14ac:dyDescent="0.25">
      <c r="A5" s="6"/>
      <c r="B5" s="6" t="s">
        <v>72</v>
      </c>
      <c r="C5" s="6" t="s">
        <v>73</v>
      </c>
      <c r="D5" s="6" t="s">
        <v>55</v>
      </c>
      <c r="E5" s="6" t="s">
        <v>74</v>
      </c>
      <c r="F5" s="6" t="s">
        <v>75</v>
      </c>
      <c r="G5" s="6" t="s">
        <v>72</v>
      </c>
      <c r="H5" s="6" t="s">
        <v>73</v>
      </c>
      <c r="I5" s="6" t="s">
        <v>55</v>
      </c>
      <c r="J5" s="6" t="s">
        <v>74</v>
      </c>
      <c r="K5" s="6" t="s">
        <v>75</v>
      </c>
      <c r="L5" s="6" t="s">
        <v>72</v>
      </c>
      <c r="M5" s="6" t="s">
        <v>73</v>
      </c>
      <c r="N5" s="6" t="s">
        <v>55</v>
      </c>
      <c r="O5" s="6" t="s">
        <v>74</v>
      </c>
      <c r="P5" s="6" t="s">
        <v>75</v>
      </c>
      <c r="Q5" s="6" t="s">
        <v>72</v>
      </c>
      <c r="R5" s="6" t="s">
        <v>73</v>
      </c>
      <c r="S5" s="6" t="s">
        <v>55</v>
      </c>
      <c r="T5" s="6" t="s">
        <v>74</v>
      </c>
      <c r="U5" s="6" t="s">
        <v>75</v>
      </c>
      <c r="V5" s="6" t="s">
        <v>72</v>
      </c>
      <c r="W5" s="6" t="s">
        <v>73</v>
      </c>
      <c r="X5" s="6" t="s">
        <v>55</v>
      </c>
      <c r="Y5" s="6" t="s">
        <v>74</v>
      </c>
      <c r="Z5" s="6" t="s">
        <v>75</v>
      </c>
      <c r="AA5" s="6" t="s">
        <v>72</v>
      </c>
      <c r="AB5" s="6" t="s">
        <v>73</v>
      </c>
      <c r="AC5" s="6" t="s">
        <v>55</v>
      </c>
      <c r="AD5" s="6" t="s">
        <v>74</v>
      </c>
      <c r="AE5" s="6" t="s">
        <v>75</v>
      </c>
      <c r="AF5" s="6" t="s">
        <v>72</v>
      </c>
      <c r="AG5" s="6" t="s">
        <v>73</v>
      </c>
      <c r="AH5" s="6" t="s">
        <v>55</v>
      </c>
      <c r="AI5" s="6" t="s">
        <v>74</v>
      </c>
      <c r="AJ5" s="6" t="s">
        <v>75</v>
      </c>
      <c r="AK5" s="6"/>
      <c r="AL5" s="91"/>
    </row>
    <row r="6" spans="1:39" ht="13" x14ac:dyDescent="0.25">
      <c r="A6" s="7">
        <f>IF(M1&gt;=1,1,0)</f>
        <v>1</v>
      </c>
      <c r="B6" s="77">
        <f>IFERROR(VLOOKUP(Vaktplan!$A$63,Vaktplan!$A$4:$CL$35,87-AH59,FALSE),0)</f>
        <v>0</v>
      </c>
      <c r="C6" s="77">
        <f>IFERROR(VLOOKUP(Vaktplan!$A$63,Vaktplan!$A$4:$CL$35,87-AG59,FALSE),0)</f>
        <v>0</v>
      </c>
      <c r="D6" s="9">
        <f>IFERROR(VLOOKUP(Vaktplan!$A$63,Vaktplan!$A$4:$CL$35,89-AG59,FALSE),0)</f>
        <v>0</v>
      </c>
      <c r="E6" s="9">
        <f>IF(AND(B6=0,C6=0),0,IF(B6&lt;C6,((C6-B6)*24)-D6,(((1-B6)+C6)*24)-D6))</f>
        <v>0</v>
      </c>
      <c r="F6" s="9">
        <f>IF(AND(C6=0,G6=0),24,IF(C6=0,12+(G6*24),IF(C6&lt;G6,((G6-C6)*24),IF(G6=0,(1-C6+0.5)*24,((1-C6)+G6)*24))))</f>
        <v>24</v>
      </c>
      <c r="G6" s="77">
        <f>IFERROR(VLOOKUP(Vaktplan!$A$63,Vaktplan!$B$4:$CL$35,86-AH59,FALSE),0)</f>
        <v>0</v>
      </c>
      <c r="H6" s="77">
        <f>IFERROR(VLOOKUP(Vaktplan!$A$63,Vaktplan!$B$4:$CL$35,86-AG59,FALSE),0)</f>
        <v>0</v>
      </c>
      <c r="I6" s="9">
        <f>IFERROR(VLOOKUP(Vaktplan!$A$63,Vaktplan!$B$4:$CL$35,89-$AH59,FALSE),0)</f>
        <v>0</v>
      </c>
      <c r="J6" s="9">
        <f>IF(AND(G6=0,H6=0),0,IF(G6&lt;H6,((H6-G6)*24)-I6,(((1-G6)+H6)*24)-I6))</f>
        <v>0</v>
      </c>
      <c r="K6" s="9">
        <f>IF(AND(H6=0,L6=0),24,IF(H6=0,12+(L6*24),IF(H6&lt;L6,((L6-H6)*24),IF(L6=0,(1-H6+0.5)*24,((1-H6)+L6)*24))))</f>
        <v>24</v>
      </c>
      <c r="L6" s="77">
        <f>IFERROR(VLOOKUP(Vaktplan!$A$63,Vaktplan!$C$4:$CL$35,86-AI59,FALSE),0)</f>
        <v>0</v>
      </c>
      <c r="M6" s="77">
        <f>IFERROR(VLOOKUP(Vaktplan!$A$63,Vaktplan!$C$4:$CL$35,86-AH59,FALSE),0)</f>
        <v>0</v>
      </c>
      <c r="N6" s="9">
        <f>IFERROR(VLOOKUP(Vaktplan!$A$63,Vaktplan!$C$4:$CL$35,89-$AI59,FALSE),0)</f>
        <v>0</v>
      </c>
      <c r="O6" s="9">
        <f>IF(AND(L6=0,M6=0),0,IF(L6&lt;M6,((M6-L6)*24)-N6,(((1-L6)+M6)*24)-N6))</f>
        <v>0</v>
      </c>
      <c r="P6" s="9">
        <f>IF(AND(M6=0,Q6=0),24,IF(M6=0,12+(Q6*24),IF(M6&lt;Q6,((Q6-M6)*24),IF(Q6=0,(1-M6+0.5)*24,((1-M6)+Q6)*24))))</f>
        <v>24</v>
      </c>
      <c r="Q6" s="77">
        <f>IFERROR(VLOOKUP(Vaktplan!$A$63,Vaktplan!$D$4:$CL$35,86-AJ59,FALSE),0)</f>
        <v>0</v>
      </c>
      <c r="R6" s="77">
        <f>IFERROR(VLOOKUP(Vaktplan!$A$63,Vaktplan!$D$4:$CL$35,86-AI59,FALSE),0)</f>
        <v>0</v>
      </c>
      <c r="S6" s="9">
        <f>IFERROR(VLOOKUP(Vaktplan!$A$63,Vaktplan!$D$4:$CL$35,89-$AJ59,FALSE),0)</f>
        <v>0</v>
      </c>
      <c r="T6" s="9">
        <f t="shared" ref="T6:T17" si="0">IF(AND(Q6=0,R6=0),0,IF(Q6&lt;R6,((R6-Q6)*24)-S6,(((1-Q6)+R6)*24)-S6))</f>
        <v>0</v>
      </c>
      <c r="U6" s="9">
        <f>IF(AND(R6=0,V6=0),24,IF(R6=0,12+(V6*24),IF(R6&lt;V6,((V6-R6)*24),IF(V6=0,(1-R6+0.5)*24,((1-R6)+V6)*24))))</f>
        <v>24</v>
      </c>
      <c r="V6" s="77">
        <f>IFERROR(VLOOKUP(Vaktplan!$A$63,Vaktplan!$E$4:$CL$35,86-AK59,FALSE),0)</f>
        <v>0</v>
      </c>
      <c r="W6" s="77">
        <f>IFERROR(VLOOKUP(Vaktplan!$A$63,Vaktplan!$E$4:$CL$35,86-AJ59,FALSE),0)</f>
        <v>0</v>
      </c>
      <c r="X6" s="9">
        <f>IFERROR(VLOOKUP(Vaktplan!$A$63,Vaktplan!$E$4:$CL$35,89-$AK59,FALSE),0)</f>
        <v>0</v>
      </c>
      <c r="Y6" s="9">
        <f>IF(AND(V6=0,W6=0),0,IF(V6&lt;W6,((W6-V6)*24)-X6,(((1-V6)+W6)*24)-X6))</f>
        <v>0</v>
      </c>
      <c r="Z6" s="9">
        <f>IF(AND(W6=0,AA6=0),24,IF(W6=0,12+(AA6*24),IF(W6&lt;AA6,((AA6-W6)*24),IF(AA6=0,(1-W6+0.5)*24,((1-W6)+AA6)*24))))</f>
        <v>24</v>
      </c>
      <c r="AA6" s="77">
        <f>IFERROR(VLOOKUP(Vaktplan!$A$63,Vaktplan!$F$4:$CL$35,86-AL59,FALSE),0)</f>
        <v>0</v>
      </c>
      <c r="AB6" s="77">
        <f>IFERROR(VLOOKUP(Vaktplan!$A$63,Vaktplan!$F$4:$CL$35,86-AK59,FALSE),0)</f>
        <v>0</v>
      </c>
      <c r="AC6" s="9">
        <f>IFERROR(VLOOKUP(Vaktplan!$A$63,Vaktplan!$F$4:$CL$35,89-$AL59,FALSE),0)</f>
        <v>0</v>
      </c>
      <c r="AD6" s="9">
        <f>IF(AND(AA6=0,AB6=0),0,IF(AA6&lt;AB6,((AB6-AA6)*24)-AC6,(((1-AA6)+AB6)*24)-AC6))</f>
        <v>0</v>
      </c>
      <c r="AE6" s="9">
        <f>IF(AND(AB6=0,AF6=0),24,IF(AB6=0,12+(AF6*24),IF(AB6&lt;AF6,((AF6-AB6)*24),IF(AF6=0,(1-AB6+0.5)*24,((1-AB6)+AF6)*24))))</f>
        <v>24</v>
      </c>
      <c r="AF6" s="77">
        <f>IFERROR(VLOOKUP(Vaktplan!$A$63,Vaktplan!$G$4:$CL$35,86-AM59,FALSE),0)</f>
        <v>0</v>
      </c>
      <c r="AG6" s="77">
        <f>IFERROR(VLOOKUP(Vaktplan!$A$63,Vaktplan!$G$4:$CL$35,86-AL59,FALSE),0)</f>
        <v>0</v>
      </c>
      <c r="AH6" s="9">
        <f>IFERROR(VLOOKUP(Vaktplan!$A$63,Vaktplan!$G$4:$CL$35,89-$AM59,FALSE),0)</f>
        <v>0</v>
      </c>
      <c r="AI6" s="9">
        <f>IF(AND(AF6=0,AG6=0),0,IF(AF6&lt;AG6,((AG6-AF6)*24)-AH6,(((1-AF6)+AG6)*24)-AH6))</f>
        <v>0</v>
      </c>
      <c r="AJ6" s="9">
        <f>IF($M$1=AL28,IF(AND(AG6=0,B6=0),24,IF(AG6=0,12+($B$6*24),IF(AG6&lt;$B$6,(($B$6-AG6)*24),IF($B$6=0,(1-AG6+1)*24,((1-AG6)+$B$6)*24)))),IF(AND(AG6=0,B7=0),24,IF(AG6=0,12+(B7*24),IF(AG6&lt;B7,((B7-AG6)*24),IF(B7=0,(1-AG6+1)*24,((1-AG6)+B7)*24)))))</f>
        <v>24</v>
      </c>
      <c r="AK6" s="9">
        <f t="shared" ref="AK6:AK17" si="1">E6+J6+O6+T6+Y6+AD6+AI6</f>
        <v>0</v>
      </c>
      <c r="AL6" s="92">
        <f>AJ6</f>
        <v>24</v>
      </c>
      <c r="AM6" s="10">
        <f>AK6</f>
        <v>0</v>
      </c>
    </row>
    <row r="7" spans="1:39" ht="13" x14ac:dyDescent="0.25">
      <c r="A7" s="7">
        <f>IF($M$1&gt;=2,2,0)</f>
        <v>2</v>
      </c>
      <c r="B7" s="77">
        <f>IFERROR(VLOOKUP(Vaktplan!$A$63,Vaktplan!$H$4:$CL$35,87-AH60,FALSE),0)</f>
        <v>0</v>
      </c>
      <c r="C7" s="77">
        <f>IFERROR(VLOOKUP(Vaktplan!$A$63,Vaktplan!$H$4:$CL$35,87-AG60,FALSE),0)</f>
        <v>0</v>
      </c>
      <c r="D7" s="9">
        <f>IFERROR(VLOOKUP(Vaktplan!$A$63,Vaktplan!$H$4:$CL$35,89-AG60,FALSE),0)</f>
        <v>0</v>
      </c>
      <c r="E7" s="9">
        <f>IF(AND(B7=0,C7=0),0,IF(B7&lt;C7,((C7-B7)*24)-D7,(((1-B7)+C7)*24)-D7))</f>
        <v>0</v>
      </c>
      <c r="F7" s="9">
        <f t="shared" ref="F7:F17" si="2">IF(AND(C7=0,G7=0),24,IF(C7=0,12+(G7*24),IF(C7&lt;G7,((G7-C7)*24),IF(G7=0,(1-C7+0.5)*24,((1-C7)+G7)*24))))</f>
        <v>24</v>
      </c>
      <c r="G7" s="77">
        <f>IFERROR(VLOOKUP(Vaktplan!$A$63,Vaktplan!$I$4:$CL$35,86-AH60,FALSE),0)</f>
        <v>0</v>
      </c>
      <c r="H7" s="77">
        <f>IFERROR(VLOOKUP(Vaktplan!$A$63,Vaktplan!$I$4:$CL$35,86-AG60,FALSE),0)</f>
        <v>0</v>
      </c>
      <c r="I7" s="9">
        <f>IFERROR(VLOOKUP(Vaktplan!$A$63,Vaktplan!$I$4:$CL$35,89-$AH60,FALSE),0)</f>
        <v>0</v>
      </c>
      <c r="J7" s="9">
        <f t="shared" ref="J7:J17" si="3">IF(AND(G7=0,H7=0),0,IF(G7&lt;H7,((H7-G7)*24)-I7,(((1-G7)+H7)*24)-I7))</f>
        <v>0</v>
      </c>
      <c r="K7" s="9">
        <f t="shared" ref="K7:K17" si="4">IF(AND(H7=0,L7=0),24,IF(H7=0,12+(L7*24),IF(H7&lt;L7,((L7-H7)*24),IF(L7=0,(1-H7+0.5)*24,((1-H7)+L7)*24))))</f>
        <v>24</v>
      </c>
      <c r="L7" s="77">
        <f>IFERROR(VLOOKUP(Vaktplan!$A$63,Vaktplan!$J$4:$CL$35,86-AI60,FALSE),0)</f>
        <v>0</v>
      </c>
      <c r="M7" s="77">
        <f>IFERROR(VLOOKUP(Vaktplan!$A$63,Vaktplan!$J$4:$CL$35,86-AH60,FALSE),0)</f>
        <v>0</v>
      </c>
      <c r="N7" s="9">
        <f>IFERROR(VLOOKUP(Vaktplan!$A$63,Vaktplan!$J$4:$CL$35,89-$AI60,FALSE),0)</f>
        <v>0</v>
      </c>
      <c r="O7" s="9">
        <f t="shared" ref="O7:O17" si="5">IF(AND(L7=0,M7=0),0,IF(L7&lt;M7,((M7-L7)*24)-N7,(((1-L7)+M7)*24)-N7))</f>
        <v>0</v>
      </c>
      <c r="P7" s="9">
        <f t="shared" ref="P7:P17" si="6">IF(AND(M7=0,Q7=0),24,IF(M7=0,12+(Q7*24),IF(M7&lt;Q7,((Q7-M7)*24),IF(Q7=0,(1-M7+0.5)*24,((1-M7)+Q7)*24))))</f>
        <v>24</v>
      </c>
      <c r="Q7" s="77">
        <f>IFERROR(VLOOKUP(Vaktplan!$A$63,Vaktplan!$K$4:$CL$35,86-AJ60,FALSE),0)</f>
        <v>0</v>
      </c>
      <c r="R7" s="77">
        <f>IFERROR(VLOOKUP(Vaktplan!$A$63,Vaktplan!$K$4:$CL$35,86-AI60,FALSE),0)</f>
        <v>0</v>
      </c>
      <c r="S7" s="9">
        <f>IFERROR(VLOOKUP(Vaktplan!$A$63,Vaktplan!$K$4:$CL$35,89-$AJ60,FALSE),0)</f>
        <v>0</v>
      </c>
      <c r="T7" s="9">
        <f t="shared" si="0"/>
        <v>0</v>
      </c>
      <c r="U7" s="9">
        <f t="shared" ref="U7:U17" si="7">IF(AND(R7=0,V7=0),24,IF(R7=0,12+(V7*24),IF(R7&lt;V7,((V7-R7)*24),IF(V7=0,(1-R7+0.5)*24,((1-R7)+V7)*24))))</f>
        <v>24</v>
      </c>
      <c r="V7" s="77">
        <f>IFERROR(VLOOKUP(Vaktplan!$A$63,Vaktplan!$L$4:$CL$35,86-AK60,FALSE),0)</f>
        <v>0</v>
      </c>
      <c r="W7" s="77">
        <f>IFERROR(VLOOKUP(Vaktplan!$A$63,Vaktplan!$L$4:$CL$35,86-AJ60,FALSE),0)</f>
        <v>0</v>
      </c>
      <c r="X7" s="9">
        <f>IFERROR(VLOOKUP(Vaktplan!$A$63,Vaktplan!$L$4:$CL$35,89-$AK60,FALSE),0)</f>
        <v>0</v>
      </c>
      <c r="Y7" s="9">
        <f t="shared" ref="Y7:Y13" si="8">IF(AND(V7=0,W7=0),0,IF(V7&lt;W7,((W7-V7)*24)-X7,(((1-V7)+W7)*24)-X7))</f>
        <v>0</v>
      </c>
      <c r="Z7" s="9">
        <f t="shared" ref="Z7:Z17" si="9">IF(AND(W7=0,AA7=0),24,IF(W7=0,12+(AA7*24),IF(W7&lt;AA7,((AA7-W7)*24),IF(AA7=0,(1-W7+0.5)*24,((1-W7)+AA7)*24))))</f>
        <v>24</v>
      </c>
      <c r="AA7" s="77">
        <f>IFERROR(VLOOKUP(Vaktplan!$A$63,Vaktplan!$M$4:$CL$35,86-AL60,FALSE),0)</f>
        <v>0</v>
      </c>
      <c r="AB7" s="77">
        <f>IFERROR(VLOOKUP(Vaktplan!$A$63,Vaktplan!$M$4:$CL$35,86-AK60,FALSE),0)</f>
        <v>0</v>
      </c>
      <c r="AC7" s="9">
        <f>IFERROR(VLOOKUP(Vaktplan!$A$63,Vaktplan!$M$4:$CL$35,89-$AL60,FALSE),0)</f>
        <v>0</v>
      </c>
      <c r="AD7" s="9">
        <f t="shared" ref="AD7:AD13" si="10">IF(AND(AA7=0,AB7=0),0,IF(AA7&lt;AB7,((AB7-AA7)*24)-AC7,(((1-AA7)+AB7)*24)-AC7))</f>
        <v>0</v>
      </c>
      <c r="AE7" s="9">
        <f t="shared" ref="AE7:AE17" si="11">IF(AND(AB7=0,AF7=0),24,IF(AB7=0,12+(AF7*24),IF(AB7&lt;AF7,((AF7-AB7)*24),IF(AF7=0,(1-AB7+0.5)*24,((1-AB7)+AF7)*24))))</f>
        <v>24</v>
      </c>
      <c r="AF7" s="77">
        <f>IFERROR(VLOOKUP(Vaktplan!$A$63,Vaktplan!$N$4:$CL$35,86-AM60,FALSE),0)</f>
        <v>0</v>
      </c>
      <c r="AG7" s="77">
        <f>IFERROR(VLOOKUP(Vaktplan!$A$63,Vaktplan!$N$4:$CL$35,86-AL60,FALSE),0)</f>
        <v>0</v>
      </c>
      <c r="AH7" s="9">
        <f>IFERROR(VLOOKUP(Vaktplan!$A$63,Vaktplan!$N$4:$CL$35,89-$AM60,FALSE),0)</f>
        <v>0</v>
      </c>
      <c r="AI7" s="9">
        <f t="shared" ref="AI7:AI13" si="12">IF(AND(AF7=0,AG7=0),0,IF(AF7&lt;AG7,((AG7-AF7)*24)-AH7,(((1-AF7)+AG7)*24)-AH7))</f>
        <v>0</v>
      </c>
      <c r="AJ7" s="9">
        <f t="shared" ref="AJ7:AJ17" si="13">IF($M$1=AL29,IF(AND(AG7=0,B7=0),24,IF(AG7=0,12+($B$6*24),IF(AG7&lt;$B$6,(($B$6-AG7)*24),IF($B$6=0,(1-AG7+1)*24,((1-AG7)+$B$6)*24)))),IF(AND(AG7=0,B8=0),24,IF(AG7=0,12+(B8*24),IF(AG7&lt;B8,((B8-AG7)*24),IF(B8=0,(1-AG7+1)*24,((1-AG7)+B8)*24)))))</f>
        <v>24</v>
      </c>
      <c r="AK7" s="9">
        <f t="shared" si="1"/>
        <v>0</v>
      </c>
      <c r="AL7" s="92">
        <f t="shared" ref="AL7:AL13" si="14">AJ7</f>
        <v>24</v>
      </c>
      <c r="AM7" s="10">
        <f t="shared" ref="AM7:AM13" si="15">AK7</f>
        <v>0</v>
      </c>
    </row>
    <row r="8" spans="1:39" ht="13" x14ac:dyDescent="0.25">
      <c r="A8" s="7">
        <f>IF($M$1&gt;=3,3,0)</f>
        <v>3</v>
      </c>
      <c r="B8" s="77">
        <f>IFERROR(VLOOKUP(Vaktplan!$A$63,Vaktplan!$O$4:$CL$35,87-AH61,FALSE),0)</f>
        <v>0</v>
      </c>
      <c r="C8" s="77">
        <f>IFERROR(VLOOKUP(Vaktplan!$A$63,Vaktplan!$O$4:$CL$35,87-AG61,FALSE),0)</f>
        <v>0</v>
      </c>
      <c r="D8" s="9">
        <f>IFERROR(VLOOKUP(Vaktplan!$A$63,Vaktplan!$O$4:$CL$35,89-AG61,FALSE),0)</f>
        <v>0</v>
      </c>
      <c r="E8" s="9">
        <f t="shared" ref="E8:E17" si="16">IF(AND(B8=0,C8=0),0,IF(B8&lt;C8,((C8-B8)*24)-D8,(((1-B8)+C8)*24)-D8))</f>
        <v>0</v>
      </c>
      <c r="F8" s="9">
        <f t="shared" si="2"/>
        <v>24</v>
      </c>
      <c r="G8" s="77">
        <f>IFERROR(VLOOKUP(Vaktplan!$A$63,Vaktplan!$P$4:$CL$35,86-AH61,FALSE),0)</f>
        <v>0</v>
      </c>
      <c r="H8" s="77">
        <f>IFERROR(VLOOKUP(Vaktplan!$A$63,Vaktplan!$P$4:$CL$35,86-AG61,FALSE),0)</f>
        <v>0</v>
      </c>
      <c r="I8" s="9">
        <f>IFERROR(VLOOKUP(Vaktplan!$A$63,Vaktplan!$P$4:$CL$35,89-$AH61,FALSE),0)</f>
        <v>0</v>
      </c>
      <c r="J8" s="9">
        <f>IF(AND(G8=0,H8=0),0,IF(G8&lt;H8,((H8-G8)*24)-I8,(((1-G8)+H8)*24)-I8))</f>
        <v>0</v>
      </c>
      <c r="K8" s="9">
        <f t="shared" si="4"/>
        <v>24</v>
      </c>
      <c r="L8" s="77">
        <f>IFERROR(VLOOKUP(Vaktplan!$A$63,Vaktplan!$Q$4:$CL$35,86-AI61,FALSE),0)</f>
        <v>0</v>
      </c>
      <c r="M8" s="77">
        <f>IFERROR(VLOOKUP(Vaktplan!$A$63,Vaktplan!$Q$4:$CL$35,86-AH61,FALSE),0)</f>
        <v>0</v>
      </c>
      <c r="N8" s="9">
        <f>IFERROR(VLOOKUP(Vaktplan!$A$63,Vaktplan!$Q$4:$CL$35,89-$AI61,FALSE),0)</f>
        <v>0</v>
      </c>
      <c r="O8" s="9">
        <f t="shared" si="5"/>
        <v>0</v>
      </c>
      <c r="P8" s="9">
        <f t="shared" si="6"/>
        <v>24</v>
      </c>
      <c r="Q8" s="77">
        <f>IFERROR(VLOOKUP(Vaktplan!$A$63,Vaktplan!$R$4:$CL$35,86-AJ61,FALSE),0)</f>
        <v>0</v>
      </c>
      <c r="R8" s="77">
        <f>IFERROR(VLOOKUP(Vaktplan!$A$63,Vaktplan!$R$4:$CL$35,86-AI61,FALSE),0)</f>
        <v>0</v>
      </c>
      <c r="S8" s="9">
        <f>IFERROR(VLOOKUP(Vaktplan!$A$63,Vaktplan!$R$4:$CL$35,89-$AJ61,FALSE),0)</f>
        <v>0</v>
      </c>
      <c r="T8" s="9">
        <f t="shared" si="0"/>
        <v>0</v>
      </c>
      <c r="U8" s="9">
        <f t="shared" si="7"/>
        <v>24</v>
      </c>
      <c r="V8" s="77">
        <f>IFERROR(VLOOKUP(Vaktplan!$A$63,Vaktplan!$S$4:$CL$35,86-AK61,FALSE),0)</f>
        <v>0</v>
      </c>
      <c r="W8" s="77">
        <f>IFERROR(VLOOKUP(Vaktplan!$A$63,Vaktplan!$S$4:$CL$35,86-AJ61,FALSE),0)</f>
        <v>0</v>
      </c>
      <c r="X8" s="9">
        <f>IFERROR(VLOOKUP(Vaktplan!$A$63,Vaktplan!$S$4:$CL$35,89-$AK61,FALSE),0)</f>
        <v>0</v>
      </c>
      <c r="Y8" s="9">
        <f t="shared" si="8"/>
        <v>0</v>
      </c>
      <c r="Z8" s="9">
        <f t="shared" si="9"/>
        <v>24</v>
      </c>
      <c r="AA8" s="77">
        <f>IFERROR(VLOOKUP(Vaktplan!$A$63,Vaktplan!$T$4:$CL$35,86-AL61,FALSE),0)</f>
        <v>0</v>
      </c>
      <c r="AB8" s="77">
        <f>IFERROR(VLOOKUP(Vaktplan!$A$63,Vaktplan!$T$4:$CL$35,86-AK61,FALSE),0)</f>
        <v>0</v>
      </c>
      <c r="AC8" s="9">
        <f>IFERROR(VLOOKUP(Vaktplan!$A$63,Vaktplan!$T$4:$CL$35,89-$AL61,FALSE),0)</f>
        <v>0</v>
      </c>
      <c r="AD8" s="9">
        <f t="shared" si="10"/>
        <v>0</v>
      </c>
      <c r="AE8" s="9">
        <f t="shared" si="11"/>
        <v>24</v>
      </c>
      <c r="AF8" s="77">
        <f>IFERROR(VLOOKUP(Vaktplan!$A$63,Vaktplan!$U$4:$CL$35,86-AM61,FALSE),0)</f>
        <v>0</v>
      </c>
      <c r="AG8" s="77">
        <f>IFERROR(VLOOKUP(Vaktplan!$A$63,Vaktplan!$U$4:$CL$35,86-AL61,FALSE),0)</f>
        <v>0</v>
      </c>
      <c r="AH8" s="9">
        <f>IFERROR(VLOOKUP(Vaktplan!$A$63,Vaktplan!$U$4:$CL$35,89-$AM61,FALSE),0)</f>
        <v>0</v>
      </c>
      <c r="AI8" s="9">
        <f t="shared" si="12"/>
        <v>0</v>
      </c>
      <c r="AJ8" s="9">
        <f t="shared" si="13"/>
        <v>24</v>
      </c>
      <c r="AK8" s="9">
        <f t="shared" si="1"/>
        <v>0</v>
      </c>
      <c r="AL8" s="92">
        <f t="shared" si="14"/>
        <v>24</v>
      </c>
      <c r="AM8" s="10">
        <f t="shared" si="15"/>
        <v>0</v>
      </c>
    </row>
    <row r="9" spans="1:39" ht="13" x14ac:dyDescent="0.25">
      <c r="A9" s="7">
        <f>IF($M$1&gt;=4,4,0)</f>
        <v>4</v>
      </c>
      <c r="B9" s="77">
        <f>IFERROR(VLOOKUP(Vaktplan!$A$63,Vaktplan!$V$4:$CL$35,87-AH62,FALSE),0)</f>
        <v>0</v>
      </c>
      <c r="C9" s="77">
        <f>IFERROR(VLOOKUP(Vaktplan!$A$63,Vaktplan!$V$4:$CL$35,87-AG62,FALSE),0)</f>
        <v>0</v>
      </c>
      <c r="D9" s="9">
        <f>IFERROR(VLOOKUP(Vaktplan!$A$63,Vaktplan!$V$4:$CL$35,89-AG62,FALSE),0)</f>
        <v>0</v>
      </c>
      <c r="E9" s="9">
        <f t="shared" si="16"/>
        <v>0</v>
      </c>
      <c r="F9" s="9">
        <f t="shared" si="2"/>
        <v>24</v>
      </c>
      <c r="G9" s="77">
        <f>IFERROR(VLOOKUP(Vaktplan!$A$63,Vaktplan!$W$4:$CL$35,86-AH62,FALSE),0)</f>
        <v>0</v>
      </c>
      <c r="H9" s="77">
        <f>IFERROR(VLOOKUP(Vaktplan!$A$63,Vaktplan!$W$4:$CL$35,86-AG62,FALSE),0)</f>
        <v>0</v>
      </c>
      <c r="I9" s="9">
        <f>IFERROR(VLOOKUP(Vaktplan!$A$63,Vaktplan!$W$4:$CL$35,89-$AH62,FALSE),0)</f>
        <v>0</v>
      </c>
      <c r="J9" s="9">
        <f t="shared" si="3"/>
        <v>0</v>
      </c>
      <c r="K9" s="9">
        <f t="shared" si="4"/>
        <v>24</v>
      </c>
      <c r="L9" s="77">
        <f>IFERROR(VLOOKUP(Vaktplan!$A$63,Vaktplan!$X$4:$CL$35,86-AI62,FALSE),0)</f>
        <v>0</v>
      </c>
      <c r="M9" s="77">
        <f>IFERROR(VLOOKUP(Vaktplan!$A$63,Vaktplan!$X$4:$CL$35,86-AH62,FALSE),0)</f>
        <v>0</v>
      </c>
      <c r="N9" s="9">
        <f>IFERROR(VLOOKUP(Vaktplan!$A$63,Vaktplan!$X$4:$CL$35,89-$AI62,FALSE),0)</f>
        <v>0</v>
      </c>
      <c r="O9" s="9">
        <f t="shared" si="5"/>
        <v>0</v>
      </c>
      <c r="P9" s="9">
        <f t="shared" si="6"/>
        <v>24</v>
      </c>
      <c r="Q9" s="77">
        <f>IFERROR(VLOOKUP(Vaktplan!$A$63,Vaktplan!$Y$4:$CL$35,86-AJ62,FALSE),0)</f>
        <v>0</v>
      </c>
      <c r="R9" s="77">
        <f>IFERROR(VLOOKUP(Vaktplan!$A$63,Vaktplan!$Y$4:$CL$35,86-AI62,FALSE),0)</f>
        <v>0</v>
      </c>
      <c r="S9" s="9">
        <f>IFERROR(VLOOKUP(Vaktplan!$A$63,Vaktplan!$Y$4:$CL$35,89-$AJ62,FALSE),0)</f>
        <v>0</v>
      </c>
      <c r="T9" s="9">
        <f t="shared" si="0"/>
        <v>0</v>
      </c>
      <c r="U9" s="9">
        <f t="shared" si="7"/>
        <v>24</v>
      </c>
      <c r="V9" s="77">
        <f>IFERROR(VLOOKUP(Vaktplan!$A$63,Vaktplan!$Z$4:$CL$35,86-AK62,FALSE),0)</f>
        <v>0</v>
      </c>
      <c r="W9" s="77">
        <f>IFERROR(VLOOKUP(Vaktplan!$A$63,Vaktplan!$Z$4:$CL$35,86-AJ62,FALSE),0)</f>
        <v>0</v>
      </c>
      <c r="X9" s="9">
        <f>IFERROR(VLOOKUP(Vaktplan!$A$63,Vaktplan!$Z$4:$CL$35,89-$AK62,FALSE),0)</f>
        <v>0</v>
      </c>
      <c r="Y9" s="9">
        <f t="shared" si="8"/>
        <v>0</v>
      </c>
      <c r="Z9" s="9">
        <f t="shared" si="9"/>
        <v>24</v>
      </c>
      <c r="AA9" s="77">
        <f>IFERROR(VLOOKUP(Vaktplan!$A$63,Vaktplan!$AA$4:$CL$35,86-AL62,FALSE),0)</f>
        <v>0</v>
      </c>
      <c r="AB9" s="77">
        <f>IFERROR(VLOOKUP(Vaktplan!$A$63,Vaktplan!$AA$4:$CL$35,86-AK62,FALSE),0)</f>
        <v>0</v>
      </c>
      <c r="AC9" s="9">
        <f>IFERROR(VLOOKUP(Vaktplan!$A$63,Vaktplan!$AA$4:$CL$35,89-$AL62,FALSE),0)</f>
        <v>0</v>
      </c>
      <c r="AD9" s="9">
        <f t="shared" si="10"/>
        <v>0</v>
      </c>
      <c r="AE9" s="9">
        <f t="shared" si="11"/>
        <v>24</v>
      </c>
      <c r="AF9" s="77">
        <f>IFERROR(VLOOKUP(Vaktplan!$A$63,Vaktplan!$AB$4:$CL$35,86-AM62,FALSE),0)</f>
        <v>0</v>
      </c>
      <c r="AG9" s="77">
        <f>IFERROR(VLOOKUP(Vaktplan!$A$63,Vaktplan!$AB$4:$CL$35,86-AL62,FALSE),0)</f>
        <v>0</v>
      </c>
      <c r="AH9" s="9">
        <f>IFERROR(VLOOKUP(Vaktplan!$A$63,Vaktplan!$AB$4:$CL$35,89-$AM62,FALSE),0)</f>
        <v>0</v>
      </c>
      <c r="AI9" s="9">
        <f t="shared" si="12"/>
        <v>0</v>
      </c>
      <c r="AJ9" s="9">
        <f t="shared" si="13"/>
        <v>24</v>
      </c>
      <c r="AK9" s="9">
        <f t="shared" si="1"/>
        <v>0</v>
      </c>
      <c r="AL9" s="92">
        <f t="shared" si="14"/>
        <v>24</v>
      </c>
      <c r="AM9" s="10">
        <f t="shared" si="15"/>
        <v>0</v>
      </c>
    </row>
    <row r="10" spans="1:39" ht="13" x14ac:dyDescent="0.25">
      <c r="A10" s="7">
        <f>IF($M$1&gt;=5,5,0)</f>
        <v>5</v>
      </c>
      <c r="B10" s="77">
        <f>IFERROR(VLOOKUP(Vaktplan!$A$63,Vaktplan!$AC$4:$CL$35,87-AH63,FALSE),0)</f>
        <v>0</v>
      </c>
      <c r="C10" s="77">
        <f>IFERROR(VLOOKUP(Vaktplan!$A$63,Vaktplan!$AC$4:$CL$35,87-AG63,FALSE),0)</f>
        <v>0</v>
      </c>
      <c r="D10" s="9">
        <f>IFERROR(VLOOKUP(Vaktplan!$A$63,Vaktplan!$AC$4:$CL$35,89-AG63,FALSE),0)</f>
        <v>0</v>
      </c>
      <c r="E10" s="9">
        <f t="shared" si="16"/>
        <v>0</v>
      </c>
      <c r="F10" s="9">
        <f t="shared" si="2"/>
        <v>24</v>
      </c>
      <c r="G10" s="77">
        <f>IFERROR(VLOOKUP(Vaktplan!$A$63,Vaktplan!$AD$4:$CL$35,86-AH63,FALSE),0)</f>
        <v>0</v>
      </c>
      <c r="H10" s="77">
        <f>IFERROR(VLOOKUP(Vaktplan!$A$63,Vaktplan!$AD$4:$CL$35,86-AG63,FALSE),0)</f>
        <v>0</v>
      </c>
      <c r="I10" s="9">
        <f>IFERROR(VLOOKUP(Vaktplan!$A$63,Vaktplan!$AD$4:$CL$35,89-$AH63,FALSE),0)</f>
        <v>0</v>
      </c>
      <c r="J10" s="9">
        <f t="shared" si="3"/>
        <v>0</v>
      </c>
      <c r="K10" s="9">
        <f t="shared" si="4"/>
        <v>24</v>
      </c>
      <c r="L10" s="77">
        <f>IFERROR(VLOOKUP(Vaktplan!$A$63,Vaktplan!$AE$4:$CL$35,86-AI63,FALSE),0)</f>
        <v>0</v>
      </c>
      <c r="M10" s="77">
        <f>IFERROR(VLOOKUP(Vaktplan!$A$63,Vaktplan!$AE$4:$CL$35,86-AH63,FALSE),0)</f>
        <v>0</v>
      </c>
      <c r="N10" s="9">
        <f>IFERROR(VLOOKUP(Vaktplan!$A$63,Vaktplan!$AE$4:$CL$35,89-$AI63,FALSE),0)</f>
        <v>0</v>
      </c>
      <c r="O10" s="9">
        <f t="shared" si="5"/>
        <v>0</v>
      </c>
      <c r="P10" s="9">
        <f t="shared" si="6"/>
        <v>24</v>
      </c>
      <c r="Q10" s="77">
        <f>IFERROR(VLOOKUP(Vaktplan!$A$63,Vaktplan!$AF$4:$CL$35,86-AJ63,FALSE),0)</f>
        <v>0</v>
      </c>
      <c r="R10" s="77">
        <f>IFERROR(VLOOKUP(Vaktplan!$A$63,Vaktplan!$AF$4:$CL$35,86-AI63,FALSE),0)</f>
        <v>0</v>
      </c>
      <c r="S10" s="9">
        <f>IFERROR(VLOOKUP(Vaktplan!$A$63,Vaktplan!$AF$4:$CL$35,89-$AJ63,FALSE),0)</f>
        <v>0</v>
      </c>
      <c r="T10" s="9">
        <f t="shared" si="0"/>
        <v>0</v>
      </c>
      <c r="U10" s="9">
        <f t="shared" si="7"/>
        <v>24</v>
      </c>
      <c r="V10" s="77">
        <f>IFERROR(VLOOKUP(Vaktplan!$A$63,Vaktplan!$AG$4:$CL$35,86-AK63,FALSE),0)</f>
        <v>0</v>
      </c>
      <c r="W10" s="77">
        <f>IFERROR(VLOOKUP(Vaktplan!$A$63,Vaktplan!$AG$4:$CL$35,86-AJ63,FALSE),0)</f>
        <v>0</v>
      </c>
      <c r="X10" s="9">
        <f>IFERROR(VLOOKUP(Vaktplan!$A$63,Vaktplan!$AG$4:$CL$35,89-$AK63,FALSE),0)</f>
        <v>0</v>
      </c>
      <c r="Y10" s="9">
        <f t="shared" si="8"/>
        <v>0</v>
      </c>
      <c r="Z10" s="9">
        <f t="shared" si="9"/>
        <v>24</v>
      </c>
      <c r="AA10" s="77">
        <f>IFERROR(VLOOKUP(Vaktplan!$A$63,Vaktplan!$AH$4:$CL$35,86-AL63,FALSE),0)</f>
        <v>0</v>
      </c>
      <c r="AB10" s="77">
        <f>IFERROR(VLOOKUP(Vaktplan!$A$63,Vaktplan!$AH$4:$CL$35,86-AK63,FALSE),0)</f>
        <v>0</v>
      </c>
      <c r="AC10" s="9">
        <f>IFERROR(VLOOKUP(Vaktplan!$A$63,Vaktplan!$AH$4:$CL$35,89-$AL63,FALSE),0)</f>
        <v>0</v>
      </c>
      <c r="AD10" s="9">
        <f t="shared" si="10"/>
        <v>0</v>
      </c>
      <c r="AE10" s="9">
        <f t="shared" si="11"/>
        <v>24</v>
      </c>
      <c r="AF10" s="77">
        <f>IFERROR(VLOOKUP(Vaktplan!$A$63,Vaktplan!$AI$4:$CL$35,86-AM63,FALSE),0)</f>
        <v>0</v>
      </c>
      <c r="AG10" s="77">
        <f>IFERROR(VLOOKUP(Vaktplan!$A$63,Vaktplan!$AI$4:$CL$35,86-AL63,FALSE),0)</f>
        <v>0</v>
      </c>
      <c r="AH10" s="9">
        <f>IFERROR(VLOOKUP(Vaktplan!$A$63,Vaktplan!$AI$4:$CL$35,89-$AM63,FALSE),0)</f>
        <v>0</v>
      </c>
      <c r="AI10" s="9">
        <f t="shared" si="12"/>
        <v>0</v>
      </c>
      <c r="AJ10" s="9">
        <f t="shared" si="13"/>
        <v>24</v>
      </c>
      <c r="AK10" s="9">
        <f t="shared" si="1"/>
        <v>0</v>
      </c>
      <c r="AL10" s="92">
        <f t="shared" si="14"/>
        <v>24</v>
      </c>
      <c r="AM10" s="10">
        <f t="shared" si="15"/>
        <v>0</v>
      </c>
    </row>
    <row r="11" spans="1:39" ht="13" x14ac:dyDescent="0.25">
      <c r="A11" s="7">
        <f>IF($M$1&gt;=6,6,0)</f>
        <v>6</v>
      </c>
      <c r="B11" s="77">
        <f>IFERROR(VLOOKUP(Vaktplan!$A$63,Vaktplan!$AJ$4:$CL$35,87-AH64,FALSE),0)</f>
        <v>0</v>
      </c>
      <c r="C11" s="77">
        <f>IFERROR(VLOOKUP(Vaktplan!$A$63,Vaktplan!$AJ$4:$CL$35,87-AG64,FALSE),0)</f>
        <v>0</v>
      </c>
      <c r="D11" s="9">
        <f>IFERROR(VLOOKUP(Vaktplan!$A$63,Vaktplan!$AJ$4:$CL$35,89-AG64,FALSE),0)</f>
        <v>0</v>
      </c>
      <c r="E11" s="9">
        <f t="shared" si="16"/>
        <v>0</v>
      </c>
      <c r="F11" s="9">
        <f t="shared" si="2"/>
        <v>24</v>
      </c>
      <c r="G11" s="77">
        <f>IFERROR(VLOOKUP(Vaktplan!$A$63,Vaktplan!$AK$4:$CL$35,86-AH64,FALSE),0)</f>
        <v>0</v>
      </c>
      <c r="H11" s="77">
        <f>IFERROR(VLOOKUP(Vaktplan!$A$63,Vaktplan!$AK$4:$CL$35,86-AG64,FALSE),0)</f>
        <v>0</v>
      </c>
      <c r="I11" s="9">
        <f>IFERROR(VLOOKUP(Vaktplan!$A$63,Vaktplan!$AK$4:$CL$35,89-$AH64,FALSE),0)</f>
        <v>0</v>
      </c>
      <c r="J11" s="9">
        <f t="shared" si="3"/>
        <v>0</v>
      </c>
      <c r="K11" s="9">
        <f t="shared" si="4"/>
        <v>24</v>
      </c>
      <c r="L11" s="77">
        <f>IFERROR(VLOOKUP(Vaktplan!$A$63,Vaktplan!$AL$4:$CL$35,86-AI64,FALSE),0)</f>
        <v>0</v>
      </c>
      <c r="M11" s="77">
        <f>IFERROR(VLOOKUP(Vaktplan!$A$63,Vaktplan!$AL$4:$CL$35,86-AH64,FALSE),0)</f>
        <v>0</v>
      </c>
      <c r="N11" s="9">
        <f>IFERROR(VLOOKUP(Vaktplan!$A$63,Vaktplan!$AL$4:$CL$35,89-$AI64,FALSE),0)</f>
        <v>0</v>
      </c>
      <c r="O11" s="9">
        <f t="shared" si="5"/>
        <v>0</v>
      </c>
      <c r="P11" s="9">
        <f t="shared" si="6"/>
        <v>24</v>
      </c>
      <c r="Q11" s="77">
        <f>IFERROR(VLOOKUP(Vaktplan!$A$63,Vaktplan!$AM$4:$CL$35,86-AJ64,FALSE),0)</f>
        <v>0</v>
      </c>
      <c r="R11" s="77">
        <f>IFERROR(VLOOKUP(Vaktplan!$A$63,Vaktplan!$AM$4:$CL$35,86-AI64,FALSE),0)</f>
        <v>0</v>
      </c>
      <c r="S11" s="9">
        <f>IFERROR(VLOOKUP(Vaktplan!$A$63,Vaktplan!$AM$4:$CL$35,89-$AJ64,FALSE),0)</f>
        <v>0</v>
      </c>
      <c r="T11" s="9">
        <f t="shared" si="0"/>
        <v>0</v>
      </c>
      <c r="U11" s="9">
        <f t="shared" si="7"/>
        <v>24</v>
      </c>
      <c r="V11" s="77">
        <f>IFERROR(VLOOKUP(Vaktplan!$A$63,Vaktplan!$AN$4:$CL$35,86-AK64,FALSE),0)</f>
        <v>0</v>
      </c>
      <c r="W11" s="77">
        <f>IFERROR(VLOOKUP(Vaktplan!$A$63,Vaktplan!$AN$4:$CL$35,86-AJ64,FALSE),0)</f>
        <v>0</v>
      </c>
      <c r="X11" s="9">
        <f>IFERROR(VLOOKUP(Vaktplan!$A$63,Vaktplan!$AN$4:$CL$35,89-$AK64,FALSE),0)</f>
        <v>0</v>
      </c>
      <c r="Y11" s="9">
        <f t="shared" si="8"/>
        <v>0</v>
      </c>
      <c r="Z11" s="9">
        <f t="shared" si="9"/>
        <v>24</v>
      </c>
      <c r="AA11" s="77">
        <f>IFERROR(VLOOKUP(Vaktplan!$A$63,Vaktplan!$AO$4:$CL$35,86-AL64,FALSE),0)</f>
        <v>0</v>
      </c>
      <c r="AB11" s="77">
        <f>IFERROR(VLOOKUP(Vaktplan!$A$63,Vaktplan!$AO$4:$CL$35,86-AK64,FALSE),0)</f>
        <v>0</v>
      </c>
      <c r="AC11" s="9">
        <f>IFERROR(VLOOKUP(Vaktplan!$A$63,Vaktplan!$AO$4:$CL$35,89-$AL64,FALSE),0)</f>
        <v>0</v>
      </c>
      <c r="AD11" s="9">
        <f t="shared" si="10"/>
        <v>0</v>
      </c>
      <c r="AE11" s="9">
        <f t="shared" si="11"/>
        <v>24</v>
      </c>
      <c r="AF11" s="77">
        <f>IFERROR(VLOOKUP(Vaktplan!$A$63,Vaktplan!$AP$4:$CL$35,86-AM64,FALSE),0)</f>
        <v>0</v>
      </c>
      <c r="AG11" s="77">
        <f>IFERROR(VLOOKUP(Vaktplan!$A$63,Vaktplan!$AP$4:$CL$35,86-AL64,FALSE),0)</f>
        <v>0</v>
      </c>
      <c r="AH11" s="9">
        <f>IFERROR(VLOOKUP(Vaktplan!$A$63,Vaktplan!$AP$4:$CL$35,89-$AM64,FALSE),0)</f>
        <v>0</v>
      </c>
      <c r="AI11" s="9">
        <f t="shared" si="12"/>
        <v>0</v>
      </c>
      <c r="AJ11" s="9">
        <f t="shared" si="13"/>
        <v>24</v>
      </c>
      <c r="AK11" s="9">
        <f t="shared" si="1"/>
        <v>0</v>
      </c>
      <c r="AL11" s="92">
        <f t="shared" si="14"/>
        <v>24</v>
      </c>
      <c r="AM11" s="10">
        <f t="shared" si="15"/>
        <v>0</v>
      </c>
    </row>
    <row r="12" spans="1:39" ht="13" x14ac:dyDescent="0.25">
      <c r="A12" s="7">
        <f>IF($M$1&gt;=7,7,0)</f>
        <v>7</v>
      </c>
      <c r="B12" s="77">
        <f>IFERROR(VLOOKUP(Vaktplan!$A$63,Vaktplan!$AQ$4:$CL$35,87-AH65,FALSE),0)</f>
        <v>0</v>
      </c>
      <c r="C12" s="77">
        <f>IFERROR(VLOOKUP(Vaktplan!$A$63,Vaktplan!$AQ$4:$CL$35,87-AG65,FALSE),0)</f>
        <v>0</v>
      </c>
      <c r="D12" s="9">
        <f>IFERROR(VLOOKUP(Vaktplan!$A$63,Vaktplan!$AQ$4:$CL$35,89-AG65,FALSE),0)</f>
        <v>0</v>
      </c>
      <c r="E12" s="9">
        <f t="shared" si="16"/>
        <v>0</v>
      </c>
      <c r="F12" s="9">
        <f t="shared" si="2"/>
        <v>24</v>
      </c>
      <c r="G12" s="77">
        <f>IFERROR(VLOOKUP(Vaktplan!$A$63,Vaktplan!$AR$4:$CL$35,86-AH65,FALSE),0)</f>
        <v>0</v>
      </c>
      <c r="H12" s="77">
        <f>IFERROR(VLOOKUP(Vaktplan!$A$63,Vaktplan!$AR$4:$CL$35,86-AG65,FALSE),0)</f>
        <v>0</v>
      </c>
      <c r="I12" s="9">
        <f>IFERROR(VLOOKUP(Vaktplan!$A$63,Vaktplan!$AR$4:$CL$35,89-$AH65,FALSE),0)</f>
        <v>0</v>
      </c>
      <c r="J12" s="9">
        <f t="shared" si="3"/>
        <v>0</v>
      </c>
      <c r="K12" s="9">
        <f t="shared" si="4"/>
        <v>24</v>
      </c>
      <c r="L12" s="77">
        <f>IFERROR(VLOOKUP(Vaktplan!$A$63,Vaktplan!$AS$4:$CL$35,86-AI65,FALSE),0)</f>
        <v>0</v>
      </c>
      <c r="M12" s="77">
        <f>IFERROR(VLOOKUP(Vaktplan!$A$63,Vaktplan!$AS$4:$CL$35,86-AH65,FALSE),0)</f>
        <v>0</v>
      </c>
      <c r="N12" s="9">
        <f>IFERROR(VLOOKUP(Vaktplan!$A$63,Vaktplan!$AS$4:$CL$35,89-$AI65,FALSE),0)</f>
        <v>0</v>
      </c>
      <c r="O12" s="9">
        <f t="shared" si="5"/>
        <v>0</v>
      </c>
      <c r="P12" s="9">
        <f t="shared" si="6"/>
        <v>24</v>
      </c>
      <c r="Q12" s="77">
        <f>IFERROR(VLOOKUP(Vaktplan!$A$63,Vaktplan!$AT$4:$CL$35,86-AJ65,FALSE),0)</f>
        <v>0</v>
      </c>
      <c r="R12" s="77">
        <f>IFERROR(VLOOKUP(Vaktplan!$A$63,Vaktplan!$AT$4:$CL$35,86-AI65,FALSE),0)</f>
        <v>0</v>
      </c>
      <c r="S12" s="9">
        <f>IFERROR(VLOOKUP(Vaktplan!$A$63,Vaktplan!$AT$4:$CL$35,89-$AJ65,FALSE),0)</f>
        <v>0</v>
      </c>
      <c r="T12" s="9">
        <f t="shared" si="0"/>
        <v>0</v>
      </c>
      <c r="U12" s="9">
        <f t="shared" si="7"/>
        <v>24</v>
      </c>
      <c r="V12" s="77">
        <f>IFERROR(VLOOKUP(Vaktplan!$A$63,Vaktplan!$AU$4:$CL$35,86-AK65,FALSE),0)</f>
        <v>0</v>
      </c>
      <c r="W12" s="77">
        <f>IFERROR(VLOOKUP(Vaktplan!$A$63,Vaktplan!$AU$4:$CL$35,86-AJ65,FALSE),0)</f>
        <v>0</v>
      </c>
      <c r="X12" s="9">
        <f>IFERROR(VLOOKUP(Vaktplan!$A$63,Vaktplan!$AU$4:$CL$35,89-$AK65,FALSE),0)</f>
        <v>0</v>
      </c>
      <c r="Y12" s="9">
        <f t="shared" si="8"/>
        <v>0</v>
      </c>
      <c r="Z12" s="9">
        <f t="shared" si="9"/>
        <v>24</v>
      </c>
      <c r="AA12" s="77">
        <f>IFERROR(VLOOKUP(Vaktplan!$A$63,Vaktplan!$AV$4:$CL$35,86-AL65,FALSE),0)</f>
        <v>0</v>
      </c>
      <c r="AB12" s="77">
        <f>IFERROR(VLOOKUP(Vaktplan!$A$63,Vaktplan!$AV$4:$CL$35,86-AK65,FALSE),0)</f>
        <v>0</v>
      </c>
      <c r="AC12" s="9">
        <f>IFERROR(VLOOKUP(Vaktplan!$A$63,Vaktplan!$AV$4:$CL$35,89-$AL65,FALSE),0)</f>
        <v>0</v>
      </c>
      <c r="AD12" s="9">
        <f t="shared" si="10"/>
        <v>0</v>
      </c>
      <c r="AE12" s="9">
        <f t="shared" si="11"/>
        <v>24</v>
      </c>
      <c r="AF12" s="77">
        <f>IFERROR(VLOOKUP(Vaktplan!$A$63,Vaktplan!$AW$4:$CL$35,86-AM65,FALSE),0)</f>
        <v>0</v>
      </c>
      <c r="AG12" s="77">
        <f>IFERROR(VLOOKUP(Vaktplan!$A$63,Vaktplan!$AW$4:$CL$35,86-AL65,FALSE),0)</f>
        <v>0</v>
      </c>
      <c r="AH12" s="9">
        <f>IFERROR(VLOOKUP(Vaktplan!$A$63,Vaktplan!$AW$4:$CL$35,89-$AM65,FALSE),0)</f>
        <v>0</v>
      </c>
      <c r="AI12" s="9">
        <f t="shared" si="12"/>
        <v>0</v>
      </c>
      <c r="AJ12" s="9">
        <f t="shared" si="13"/>
        <v>24</v>
      </c>
      <c r="AK12" s="9">
        <f t="shared" si="1"/>
        <v>0</v>
      </c>
      <c r="AL12" s="92">
        <f t="shared" si="14"/>
        <v>24</v>
      </c>
      <c r="AM12" s="10">
        <f t="shared" si="15"/>
        <v>0</v>
      </c>
    </row>
    <row r="13" spans="1:39" ht="13" x14ac:dyDescent="0.25">
      <c r="A13" s="7">
        <f>IF($M$1&gt;=8,8,0)</f>
        <v>8</v>
      </c>
      <c r="B13" s="77">
        <f>IFERROR(VLOOKUP(Vaktplan!$A$63,Vaktplan!$AX$4:$CL$35,87-AH66,FALSE),0)</f>
        <v>0</v>
      </c>
      <c r="C13" s="77">
        <f>IFERROR(VLOOKUP(Vaktplan!$A$63,Vaktplan!$AX$4:$CL$35,87-AG66,FALSE),0)</f>
        <v>0</v>
      </c>
      <c r="D13" s="9">
        <f>IFERROR(VLOOKUP(Vaktplan!$A$63,Vaktplan!$AX$4:$CL$35,89-AG66,FALSE),0)</f>
        <v>0</v>
      </c>
      <c r="E13" s="9">
        <f t="shared" si="16"/>
        <v>0</v>
      </c>
      <c r="F13" s="9">
        <f t="shared" si="2"/>
        <v>24</v>
      </c>
      <c r="G13" s="77">
        <f>IFERROR(VLOOKUP(Vaktplan!$A$63,Vaktplan!$AY$4:$CL$35,86-AH66,FALSE),0)</f>
        <v>0</v>
      </c>
      <c r="H13" s="77">
        <f>IFERROR(VLOOKUP(Vaktplan!$A$63,Vaktplan!$AY$4:$CL$35,86-AG66,FALSE),0)</f>
        <v>0</v>
      </c>
      <c r="I13" s="9">
        <f>IFERROR(VLOOKUP(Vaktplan!$A$63,Vaktplan!$AY$4:$CL$35,89-$AH66,FALSE),0)</f>
        <v>0</v>
      </c>
      <c r="J13" s="9">
        <f t="shared" si="3"/>
        <v>0</v>
      </c>
      <c r="K13" s="9">
        <f t="shared" si="4"/>
        <v>24</v>
      </c>
      <c r="L13" s="77">
        <f>IFERROR(VLOOKUP(Vaktplan!$A$63,Vaktplan!$AZ$4:$CL$35,86-AI66,FALSE),0)</f>
        <v>0</v>
      </c>
      <c r="M13" s="77">
        <f>IFERROR(VLOOKUP(Vaktplan!$A$63,Vaktplan!$AZ$4:$CL$35,86-AH66,FALSE),0)</f>
        <v>0</v>
      </c>
      <c r="N13" s="9">
        <f>IFERROR(VLOOKUP(Vaktplan!$A$63,Vaktplan!$AZ$4:$CL$35,89-$AI66,FALSE),0)</f>
        <v>0</v>
      </c>
      <c r="O13" s="9">
        <f t="shared" si="5"/>
        <v>0</v>
      </c>
      <c r="P13" s="9">
        <f t="shared" si="6"/>
        <v>24</v>
      </c>
      <c r="Q13" s="77">
        <f>IFERROR(VLOOKUP(Vaktplan!$A$63,Vaktplan!$BA$4:$CL$35,86-AJ66,FALSE),0)</f>
        <v>0</v>
      </c>
      <c r="R13" s="77">
        <f>IFERROR(VLOOKUP(Vaktplan!$A$63,Vaktplan!$BA$4:$CL$35,86-AI66,FALSE),0)</f>
        <v>0</v>
      </c>
      <c r="S13" s="9">
        <f>IFERROR(VLOOKUP(Vaktplan!$A$63,Vaktplan!$BA$4:$CL$35,89-$AJ66,FALSE),0)</f>
        <v>0</v>
      </c>
      <c r="T13" s="9">
        <f t="shared" si="0"/>
        <v>0</v>
      </c>
      <c r="U13" s="9">
        <f t="shared" si="7"/>
        <v>24</v>
      </c>
      <c r="V13" s="77">
        <f>IFERROR(VLOOKUP(Vaktplan!$A$63,Vaktplan!$BB$4:$CL$35,86-AK66,FALSE),0)</f>
        <v>0</v>
      </c>
      <c r="W13" s="77">
        <f>IFERROR(VLOOKUP(Vaktplan!$A$63,Vaktplan!$BB$4:$CL$35,86-AJ66,FALSE),0)</f>
        <v>0</v>
      </c>
      <c r="X13" s="9">
        <f>IFERROR(VLOOKUP(Vaktplan!$A$63,Vaktplan!$BB$4:$CL$35,89-$AK66,FALSE),0)</f>
        <v>0</v>
      </c>
      <c r="Y13" s="9">
        <f t="shared" si="8"/>
        <v>0</v>
      </c>
      <c r="Z13" s="9">
        <f t="shared" si="9"/>
        <v>24</v>
      </c>
      <c r="AA13" s="77">
        <f>IFERROR(VLOOKUP(Vaktplan!$A$63,Vaktplan!$BC$4:$CL$35,86-AL66,FALSE),0)</f>
        <v>0</v>
      </c>
      <c r="AB13" s="77">
        <f>IFERROR(VLOOKUP(Vaktplan!$A$63,Vaktplan!$BC$4:$CL$35,86-AK66,FALSE),0)</f>
        <v>0</v>
      </c>
      <c r="AC13" s="9">
        <f>IFERROR(VLOOKUP(Vaktplan!$A$63,Vaktplan!$BC$4:$CL$35,89-$AL66,FALSE),0)</f>
        <v>0</v>
      </c>
      <c r="AD13" s="9">
        <f t="shared" si="10"/>
        <v>0</v>
      </c>
      <c r="AE13" s="9">
        <f t="shared" si="11"/>
        <v>24</v>
      </c>
      <c r="AF13" s="77">
        <f>IFERROR(VLOOKUP(Vaktplan!$A$63,Vaktplan!$BD$4:$CL$35,86-AM66,FALSE),0)</f>
        <v>0</v>
      </c>
      <c r="AG13" s="77">
        <f>IFERROR(VLOOKUP(Vaktplan!$A$63,Vaktplan!$BD$4:$CL$35,86-AL66,FALSE),0)</f>
        <v>0</v>
      </c>
      <c r="AH13" s="9">
        <f>IFERROR(VLOOKUP(Vaktplan!$A$63,Vaktplan!$BD$4:$CL$35,89-$AM66,FALSE),0)</f>
        <v>0</v>
      </c>
      <c r="AI13" s="9">
        <f t="shared" si="12"/>
        <v>0</v>
      </c>
      <c r="AJ13" s="9">
        <f t="shared" si="13"/>
        <v>24</v>
      </c>
      <c r="AK13" s="9">
        <f t="shared" si="1"/>
        <v>0</v>
      </c>
      <c r="AL13" s="92">
        <f t="shared" si="14"/>
        <v>24</v>
      </c>
      <c r="AM13" s="10">
        <f t="shared" si="15"/>
        <v>0</v>
      </c>
    </row>
    <row r="14" spans="1:39" ht="13" x14ac:dyDescent="0.25">
      <c r="A14" s="7">
        <v>9</v>
      </c>
      <c r="B14" s="77">
        <f>IFERROR(VLOOKUP(Vaktplan!$A$63,Vaktplan!$BE$4:$CL$35,87-AH67,FALSE),0)</f>
        <v>0</v>
      </c>
      <c r="C14" s="77">
        <f>IFERROR(VLOOKUP(Vaktplan!$A$63,Vaktplan!$BE$4:$CL$35,87-AG67,FALSE),0)</f>
        <v>0</v>
      </c>
      <c r="D14" s="9">
        <f>IFERROR(VLOOKUP(Vaktplan!$A$63,Vaktplan!$BE$4:$CL$35,89-AG67,FALSE),0)</f>
        <v>0</v>
      </c>
      <c r="E14" s="9">
        <f t="shared" si="16"/>
        <v>0</v>
      </c>
      <c r="F14" s="9">
        <f t="shared" si="2"/>
        <v>24</v>
      </c>
      <c r="G14" s="77">
        <f>IFERROR(VLOOKUP(Vaktplan!$A$63,Vaktplan!$BF$4:$CL$35,86-AH67,FALSE),0)</f>
        <v>0</v>
      </c>
      <c r="H14" s="77">
        <f>IFERROR(VLOOKUP(Vaktplan!$A$63,Vaktplan!$BF$4:$CL$35,86-AG67,FALSE),0)</f>
        <v>0</v>
      </c>
      <c r="I14" s="9">
        <f>IFERROR(VLOOKUP(Vaktplan!$A$63,Vaktplan!$BF$4:$CL$35,89-$AH67,FALSE),0)</f>
        <v>0</v>
      </c>
      <c r="J14" s="9">
        <f t="shared" si="3"/>
        <v>0</v>
      </c>
      <c r="K14" s="9">
        <f t="shared" si="4"/>
        <v>24</v>
      </c>
      <c r="L14" s="77">
        <f>IFERROR(VLOOKUP(Vaktplan!$A$63,Vaktplan!$BG$4:$CL$35,86-AI67,FALSE),0)</f>
        <v>0</v>
      </c>
      <c r="M14" s="77">
        <f>IFERROR(VLOOKUP(Vaktplan!$A$63,Vaktplan!$BG$4:$CL$35,86-AH67,FALSE),0)</f>
        <v>0</v>
      </c>
      <c r="N14" s="9">
        <f>IFERROR(VLOOKUP(Vaktplan!$A$63,Vaktplan!$BG$4:$CL$35,89-$AI67,FALSE),0)</f>
        <v>0</v>
      </c>
      <c r="O14" s="9">
        <f t="shared" si="5"/>
        <v>0</v>
      </c>
      <c r="P14" s="9">
        <f t="shared" si="6"/>
        <v>24</v>
      </c>
      <c r="Q14" s="77">
        <f>IFERROR(VLOOKUP(Vaktplan!$A$63,Vaktplan!$BH$4:$CL$35,86-AJ67,FALSE),0)</f>
        <v>0</v>
      </c>
      <c r="R14" s="77">
        <f>IFERROR(VLOOKUP(Vaktplan!$A$63,Vaktplan!$BH$4:$CL$35,86-AI67,FALSE),0)</f>
        <v>0</v>
      </c>
      <c r="S14" s="9">
        <f>IFERROR(VLOOKUP(Vaktplan!$A$63,Vaktplan!$BH$4:$CL$35,89-$AJ67,FALSE),0)</f>
        <v>0</v>
      </c>
      <c r="T14" s="9">
        <f t="shared" si="0"/>
        <v>0</v>
      </c>
      <c r="U14" s="9">
        <f t="shared" si="7"/>
        <v>24</v>
      </c>
      <c r="V14" s="77">
        <f>IFERROR(VLOOKUP(Vaktplan!$A$63,Vaktplan!$BI$4:$CL$35,86-AK67,FALSE),0)</f>
        <v>0</v>
      </c>
      <c r="W14" s="77">
        <f>IFERROR(VLOOKUP(Vaktplan!$A$63,Vaktplan!$BI$4:$CL$35,86-AJ67,FALSE),0)</f>
        <v>0</v>
      </c>
      <c r="X14" s="9">
        <f>IFERROR(VLOOKUP(Vaktplan!$A$63,Vaktplan!$BI$4:$CL$35,89-$AK67,FALSE),0)</f>
        <v>0</v>
      </c>
      <c r="Y14" s="9">
        <f>IF(AND(V14=0,W14=0),0,IF(V14&lt;W14,((W14-V14)*24)-X14,(((1-V14)+W14)*24)-X14))</f>
        <v>0</v>
      </c>
      <c r="Z14" s="9">
        <f t="shared" si="9"/>
        <v>24</v>
      </c>
      <c r="AA14" s="77">
        <f>IFERROR(VLOOKUP(Vaktplan!$A$63,Vaktplan!$BJ$4:$CL$35,86-AL67,FALSE),0)</f>
        <v>0</v>
      </c>
      <c r="AB14" s="77">
        <f>IFERROR(VLOOKUP(Vaktplan!$A$63,Vaktplan!$BJ$4:$CL$35,86-AK67,FALSE),0)</f>
        <v>0</v>
      </c>
      <c r="AC14" s="9">
        <f>IFERROR(VLOOKUP(Vaktplan!$A$63,Vaktplan!$BJ$4:$CL$35,89-$AL67,FALSE),0)</f>
        <v>0</v>
      </c>
      <c r="AD14" s="9">
        <f>IF(AND(AA14=0,AB14=0),0,IF(AA14&lt;AB14,((AB14-AA14)*24)-AC14,(((1-AA14)+AB14)*24)-AC14))</f>
        <v>0</v>
      </c>
      <c r="AE14" s="9">
        <f t="shared" si="11"/>
        <v>24</v>
      </c>
      <c r="AF14" s="77">
        <f>IFERROR(VLOOKUP(Vaktplan!$A$63,Vaktplan!$BK$4:$CL$35,86-AM67,FALSE),0)</f>
        <v>0</v>
      </c>
      <c r="AG14" s="77">
        <f>IFERROR(VLOOKUP(Vaktplan!$A$63,Vaktplan!$BK$4:$CL$35,86-AL67,FALSE),0)</f>
        <v>0</v>
      </c>
      <c r="AH14" s="9">
        <f>IFERROR(VLOOKUP(Vaktplan!$A$63,Vaktplan!$BK$4:$CL$35,89-$AM67,FALSE),0)</f>
        <v>0</v>
      </c>
      <c r="AI14" s="9">
        <f>IF(AND(AF14=0,AG14=0),0,IF(AF14&lt;AG14,((AG14-AF14)*24)-AH14,(((1-AF14)+AG14)*24)-AH14))</f>
        <v>0</v>
      </c>
      <c r="AJ14" s="9">
        <f t="shared" si="13"/>
        <v>24</v>
      </c>
      <c r="AK14" s="9">
        <f t="shared" si="1"/>
        <v>0</v>
      </c>
      <c r="AL14" s="92"/>
      <c r="AM14" s="10"/>
    </row>
    <row r="15" spans="1:39" ht="13" x14ac:dyDescent="0.25">
      <c r="A15" s="7">
        <v>10</v>
      </c>
      <c r="B15" s="77">
        <f>IFERROR(VLOOKUP(Vaktplan!$A$63,Vaktplan!$BL$4:$CL$35,87-AH68,FALSE),0)</f>
        <v>0</v>
      </c>
      <c r="C15" s="77">
        <f>IFERROR(VLOOKUP(Vaktplan!$A$63,Vaktplan!$BL$4:$CL$35,87-AG68,FALSE),0)</f>
        <v>0</v>
      </c>
      <c r="D15" s="9">
        <f>IFERROR(VLOOKUP(Vaktplan!$A$63,Vaktplan!$BL$4:$CL$35,89-AG68,FALSE),0)</f>
        <v>0</v>
      </c>
      <c r="E15" s="9">
        <f t="shared" si="16"/>
        <v>0</v>
      </c>
      <c r="F15" s="9">
        <f t="shared" si="2"/>
        <v>24</v>
      </c>
      <c r="G15" s="77">
        <f>IFERROR(VLOOKUP(Vaktplan!$A$63,Vaktplan!$BM$4:$CL$35,86-AH68,FALSE),0)</f>
        <v>0</v>
      </c>
      <c r="H15" s="77">
        <f>IFERROR(VLOOKUP(Vaktplan!$A$63,Vaktplan!$BM$4:$CL$35,86-AG68,FALSE),0)</f>
        <v>0</v>
      </c>
      <c r="I15" s="9">
        <f>IFERROR(VLOOKUP(Vaktplan!$A$63,Vaktplan!$BM$4:$CL$35,89-$AH68,FALSE),0)</f>
        <v>0</v>
      </c>
      <c r="J15" s="9">
        <f t="shared" si="3"/>
        <v>0</v>
      </c>
      <c r="K15" s="9">
        <f t="shared" si="4"/>
        <v>24</v>
      </c>
      <c r="L15" s="77">
        <f>IFERROR(VLOOKUP(Vaktplan!$A$63,Vaktplan!$BN$4:$CL$35,86-AI68,FALSE),0)</f>
        <v>0</v>
      </c>
      <c r="M15" s="77">
        <f>IFERROR(VLOOKUP(Vaktplan!$A$63,Vaktplan!$BN$4:$CL$35,86-AH68,FALSE),0)</f>
        <v>0</v>
      </c>
      <c r="N15" s="9">
        <f>IFERROR(VLOOKUP(Vaktplan!$A$63,Vaktplan!$BN$4:$CL$35,89-$AI68,FALSE),0)</f>
        <v>0</v>
      </c>
      <c r="O15" s="9">
        <f t="shared" si="5"/>
        <v>0</v>
      </c>
      <c r="P15" s="9">
        <f t="shared" si="6"/>
        <v>24</v>
      </c>
      <c r="Q15" s="77">
        <f>IFERROR(VLOOKUP(Vaktplan!$A$63,Vaktplan!$BO$4:$CL$35,86-AJ68,FALSE),0)</f>
        <v>0</v>
      </c>
      <c r="R15" s="77">
        <f>IFERROR(VLOOKUP(Vaktplan!$A$63,Vaktplan!$BO$4:$CL$35,86-AI68,FALSE),0)</f>
        <v>0</v>
      </c>
      <c r="S15" s="9">
        <f>IFERROR(VLOOKUP(Vaktplan!$A$63,Vaktplan!$BO$4:$CL$35,89-$AJ68,FALSE),0)</f>
        <v>0</v>
      </c>
      <c r="T15" s="9">
        <f t="shared" si="0"/>
        <v>0</v>
      </c>
      <c r="U15" s="9">
        <f t="shared" si="7"/>
        <v>24</v>
      </c>
      <c r="V15" s="77">
        <f>IFERROR(VLOOKUP(Vaktplan!$A$63,Vaktplan!$BP$4:$CL$35,86-AK68,FALSE),0)</f>
        <v>0</v>
      </c>
      <c r="W15" s="77">
        <f>IFERROR(VLOOKUP(Vaktplan!$A$63,Vaktplan!$BP$4:$CL$35,86-AJ68,FALSE),0)</f>
        <v>0</v>
      </c>
      <c r="X15" s="9">
        <f>IFERROR(VLOOKUP(Vaktplan!$A$63,Vaktplan!$BP$4:$CL$35,89-$AK68,FALSE),0)</f>
        <v>0</v>
      </c>
      <c r="Y15" s="9">
        <f>IF(AND(V15=0,W15=0),0,IF(V15&lt;W15,((W15-V15)*24)-X15,(((1-V15)+W15)*24)-X15))</f>
        <v>0</v>
      </c>
      <c r="Z15" s="9">
        <f t="shared" si="9"/>
        <v>24</v>
      </c>
      <c r="AA15" s="77">
        <f>IFERROR(VLOOKUP(Vaktplan!$A$63,Vaktplan!$BQ$4:$CL$35,86-AL68,FALSE),0)</f>
        <v>0</v>
      </c>
      <c r="AB15" s="77">
        <f>IFERROR(VLOOKUP(Vaktplan!$A$63,Vaktplan!$BQ$4:$CL$35,86-AK68,FALSE),0)</f>
        <v>0</v>
      </c>
      <c r="AC15" s="9">
        <f>IFERROR(VLOOKUP(Vaktplan!$A$63,Vaktplan!$BQ$4:$CL$35,89-$AL68,FALSE),0)</f>
        <v>0</v>
      </c>
      <c r="AD15" s="9">
        <f>IF(AND(AA15=0,AB15=0),0,IF(AA15&lt;AB15,((AB15-AA15)*24)-AC15,(((1-AA15)+AB15)*24)-AC15))</f>
        <v>0</v>
      </c>
      <c r="AE15" s="9">
        <f t="shared" si="11"/>
        <v>24</v>
      </c>
      <c r="AF15" s="77">
        <f>IFERROR(VLOOKUP(Vaktplan!$A$63,Vaktplan!$BR$4:$CL$35,86-AM68,FALSE),0)</f>
        <v>0</v>
      </c>
      <c r="AG15" s="77">
        <f>IFERROR(VLOOKUP(Vaktplan!$A$63,Vaktplan!$BR$4:$CL$35,86-AL68,FALSE),0)</f>
        <v>0</v>
      </c>
      <c r="AH15" s="9">
        <f>IFERROR(VLOOKUP(Vaktplan!$A$63,Vaktplan!$BR$4:$CL$35,89-$AM68,FALSE),0)</f>
        <v>0</v>
      </c>
      <c r="AI15" s="9">
        <f>IF(AND(AF15=0,AG15=0),0,IF(AF15&lt;AG15,((AG15-AF15)*24)-AH15,(((1-AF15)+AG15)*24)-AH15))</f>
        <v>0</v>
      </c>
      <c r="AJ15" s="9">
        <f t="shared" si="13"/>
        <v>24</v>
      </c>
      <c r="AK15" s="9">
        <f t="shared" si="1"/>
        <v>0</v>
      </c>
      <c r="AL15" s="92"/>
      <c r="AM15" s="10"/>
    </row>
    <row r="16" spans="1:39" ht="13" x14ac:dyDescent="0.25">
      <c r="A16" s="7">
        <v>11</v>
      </c>
      <c r="B16" s="77">
        <f>IFERROR(VLOOKUP(Vaktplan!$A$63,Vaktplan!$BS$4:$CL$35,87-AH69,FALSE),0)</f>
        <v>0</v>
      </c>
      <c r="C16" s="77">
        <f>IFERROR(VLOOKUP(Vaktplan!$A$63,Vaktplan!$BS$4:$CL$35,87-AG69,FALSE),0)</f>
        <v>0</v>
      </c>
      <c r="D16" s="9">
        <f>IFERROR(VLOOKUP(Vaktplan!$A$63,Vaktplan!$BS$4:$CL$35,89-AG69,FALSE),0)</f>
        <v>0</v>
      </c>
      <c r="E16" s="9">
        <f t="shared" si="16"/>
        <v>0</v>
      </c>
      <c r="F16" s="9">
        <f t="shared" si="2"/>
        <v>24</v>
      </c>
      <c r="G16" s="77">
        <f>IFERROR(VLOOKUP(Vaktplan!$A$63,Vaktplan!$BT$4:$CL$35,86-AH69,FALSE),0)</f>
        <v>0</v>
      </c>
      <c r="H16" s="77">
        <f>IFERROR(VLOOKUP(Vaktplan!$A$63,Vaktplan!$BT$4:$CL$35,86-AG69,FALSE),0)</f>
        <v>0</v>
      </c>
      <c r="I16" s="9">
        <f>IFERROR(VLOOKUP(Vaktplan!$A$63,Vaktplan!$BT$4:$CL$35,89-$AH69,FALSE),0)</f>
        <v>0</v>
      </c>
      <c r="J16" s="9">
        <f t="shared" si="3"/>
        <v>0</v>
      </c>
      <c r="K16" s="9">
        <f t="shared" si="4"/>
        <v>24</v>
      </c>
      <c r="L16" s="77">
        <f>IFERROR(VLOOKUP(Vaktplan!$A$63,Vaktplan!$BU$4:$CL$35,86-AI69,FALSE),0)</f>
        <v>0</v>
      </c>
      <c r="M16" s="77">
        <f>IFERROR(VLOOKUP(Vaktplan!$A$63,Vaktplan!$BU$4:$CL$35,86-AH69,FALSE),0)</f>
        <v>0</v>
      </c>
      <c r="N16" s="9">
        <f>IFERROR(VLOOKUP(Vaktplan!$A$63,Vaktplan!$BU$4:$CL$35,89-$AI69,FALSE),0)</f>
        <v>0</v>
      </c>
      <c r="O16" s="9">
        <f t="shared" si="5"/>
        <v>0</v>
      </c>
      <c r="P16" s="9">
        <f t="shared" si="6"/>
        <v>24</v>
      </c>
      <c r="Q16" s="77">
        <f>IFERROR(VLOOKUP(Vaktplan!$A$63,Vaktplan!$BV$4:$CL$35,86-AJ69,FALSE),0)</f>
        <v>0</v>
      </c>
      <c r="R16" s="77">
        <f>IFERROR(VLOOKUP(Vaktplan!$A$63,Vaktplan!$BV$4:$CL$35,86-AI69,FALSE),0)</f>
        <v>0</v>
      </c>
      <c r="S16" s="9">
        <f>IFERROR(VLOOKUP(Vaktplan!$A$63,Vaktplan!$BV$4:$CL$35,89-$AJ69,FALSE),0)</f>
        <v>0</v>
      </c>
      <c r="T16" s="9">
        <f t="shared" si="0"/>
        <v>0</v>
      </c>
      <c r="U16" s="9">
        <f t="shared" si="7"/>
        <v>24</v>
      </c>
      <c r="V16" s="77">
        <f>IFERROR(VLOOKUP(Vaktplan!$A$63,Vaktplan!$BW$4:$CL$35,86-AK69,FALSE),0)</f>
        <v>0</v>
      </c>
      <c r="W16" s="77">
        <f>IFERROR(VLOOKUP(Vaktplan!$A$63,Vaktplan!$BW$4:$CL$35,86-AJ69,FALSE),0)</f>
        <v>0</v>
      </c>
      <c r="X16" s="9">
        <f>IFERROR(VLOOKUP(Vaktplan!$A$63,Vaktplan!$BW$4:$CL$35,89-$AK69,FALSE),0)</f>
        <v>0</v>
      </c>
      <c r="Y16" s="9">
        <f>IF(AND(V16=0,W16=0),0,IF(V16&lt;W16,((W16-V16)*24)-X16,(((1-V16)+W16)*24)-X16))</f>
        <v>0</v>
      </c>
      <c r="Z16" s="9">
        <f t="shared" si="9"/>
        <v>24</v>
      </c>
      <c r="AA16" s="77">
        <f>IFERROR(VLOOKUP(Vaktplan!$A$63,Vaktplan!$BX$4:$CL$35,86-AL69,FALSE),0)</f>
        <v>0</v>
      </c>
      <c r="AB16" s="77">
        <f>IFERROR(VLOOKUP(Vaktplan!$A$63,Vaktplan!$BX$4:$CL$35,86-AK69,FALSE),0)</f>
        <v>0</v>
      </c>
      <c r="AC16" s="9">
        <f>IFERROR(VLOOKUP(Vaktplan!$A$63,Vaktplan!$BX$4:$CL$35,89-$AL69,FALSE),0)</f>
        <v>0</v>
      </c>
      <c r="AD16" s="9">
        <f>IF(AND(AA16=0,AB16=0),0,IF(AA16&lt;AB16,((AB16-AA16)*24)-AC16,(((1-AA16)+AB16)*24)-AC16))</f>
        <v>0</v>
      </c>
      <c r="AE16" s="9">
        <f t="shared" si="11"/>
        <v>24</v>
      </c>
      <c r="AF16" s="77">
        <f>IFERROR(VLOOKUP(Vaktplan!$A$63,Vaktplan!$BY$4:$CL$35,86-AM69,FALSE),0)</f>
        <v>0</v>
      </c>
      <c r="AG16" s="77">
        <f>IFERROR(VLOOKUP(Vaktplan!$A$63,Vaktplan!$BY$4:$CL$35,86-AL69,FALSE),0)</f>
        <v>0</v>
      </c>
      <c r="AH16" s="9">
        <f>IFERROR(VLOOKUP(Vaktplan!$A$63,Vaktplan!$BY$4:$CL$35,89-$AM69,FALSE),0)</f>
        <v>0</v>
      </c>
      <c r="AI16" s="9">
        <f>IF(AND(AF16=0,AG16=0),0,IF(AF16&lt;AG16,((AG16-AF16)*24)-AH16,(((1-AF16)+AG16)*24)-AH16))</f>
        <v>0</v>
      </c>
      <c r="AJ16" s="9">
        <f t="shared" si="13"/>
        <v>24</v>
      </c>
      <c r="AK16" s="9">
        <f t="shared" si="1"/>
        <v>0</v>
      </c>
      <c r="AL16" s="92"/>
      <c r="AM16" s="10"/>
    </row>
    <row r="17" spans="1:43" ht="13" x14ac:dyDescent="0.25">
      <c r="A17" s="7">
        <v>12</v>
      </c>
      <c r="B17" s="77">
        <f>IFERROR(VLOOKUP(Vaktplan!$A$63,Vaktplan!$BZ$4:$CL$35,87-AH70,FALSE),0)</f>
        <v>0</v>
      </c>
      <c r="C17" s="77">
        <f>IFERROR(VLOOKUP(Vaktplan!$A$63,Vaktplan!$BZ$4:$CL$35,87-AG70,FALSE),0)</f>
        <v>0</v>
      </c>
      <c r="D17" s="9">
        <f>IFERROR(VLOOKUP(Vaktplan!$A$63,Vaktplan!$BZ$4:$CL$35,89-AG70,FALSE),0)</f>
        <v>0</v>
      </c>
      <c r="E17" s="9">
        <f t="shared" si="16"/>
        <v>0</v>
      </c>
      <c r="F17" s="9">
        <f t="shared" si="2"/>
        <v>24</v>
      </c>
      <c r="G17" s="77">
        <f>IFERROR(VLOOKUP(Vaktplan!$A$63,Vaktplan!$CA$4:$CL$35,86-AH70,FALSE),0)</f>
        <v>0</v>
      </c>
      <c r="H17" s="77">
        <f>IFERROR(VLOOKUP(Vaktplan!$A$63,Vaktplan!$CA$4:$CL$35,86-AG70,FALSE),0)</f>
        <v>0</v>
      </c>
      <c r="I17" s="9">
        <f>IFERROR(VLOOKUP(Vaktplan!$A$63,Vaktplan!$CA$4:$CL$35,89-$AH70,FALSE),0)</f>
        <v>0</v>
      </c>
      <c r="J17" s="9">
        <f t="shared" si="3"/>
        <v>0</v>
      </c>
      <c r="K17" s="9">
        <f t="shared" si="4"/>
        <v>24</v>
      </c>
      <c r="L17" s="77">
        <f>IFERROR(VLOOKUP(Vaktplan!$A$63,Vaktplan!$CB$4:$CL$35,86-AI70,FALSE),0)</f>
        <v>0</v>
      </c>
      <c r="M17" s="77">
        <f>IFERROR(VLOOKUP(Vaktplan!$A$63,Vaktplan!$CB$4:$CL$35,86-AH70,FALSE),0)</f>
        <v>0</v>
      </c>
      <c r="N17" s="9">
        <f>IFERROR(VLOOKUP(Vaktplan!$A$63,Vaktplan!$CB$4:$CL$35,89-$AI70,FALSE),0)</f>
        <v>0</v>
      </c>
      <c r="O17" s="9">
        <f t="shared" si="5"/>
        <v>0</v>
      </c>
      <c r="P17" s="9">
        <f t="shared" si="6"/>
        <v>24</v>
      </c>
      <c r="Q17" s="77">
        <f>IFERROR(VLOOKUP(Vaktplan!$A$63,Vaktplan!$CC$4:$CL$35,86-AJ70,FALSE),0)</f>
        <v>0</v>
      </c>
      <c r="R17" s="77">
        <f>IFERROR(VLOOKUP(Vaktplan!$A$63,Vaktplan!$CC$4:$CL$35,86-AI70,FALSE),0)</f>
        <v>0</v>
      </c>
      <c r="S17" s="9">
        <f>IFERROR(VLOOKUP(Vaktplan!$A$63,Vaktplan!$CC$4:$CL$35,89-$AJ70,FALSE),0)</f>
        <v>0</v>
      </c>
      <c r="T17" s="9">
        <f t="shared" si="0"/>
        <v>0</v>
      </c>
      <c r="U17" s="9">
        <f t="shared" si="7"/>
        <v>24</v>
      </c>
      <c r="V17" s="77">
        <f>IFERROR(VLOOKUP(Vaktplan!$A$63,Vaktplan!$CD$4:$CL$35,86-AK70,FALSE),0)</f>
        <v>0</v>
      </c>
      <c r="W17" s="77">
        <f>IFERROR(VLOOKUP(Vaktplan!$A$63,Vaktplan!$CD$4:$CL$35,86-AJ70,FALSE),0)</f>
        <v>0</v>
      </c>
      <c r="X17" s="9">
        <f>IFERROR(VLOOKUP(Vaktplan!$A$63,Vaktplan!$CD$4:$CL$35,89-$AK70,FALSE),0)</f>
        <v>0</v>
      </c>
      <c r="Y17" s="9">
        <f>IF(AND(V17=0,W17=0),0,IF(V17&lt;W17,((W17-V17)*24)-X17,(((1-V17)+W17)*24)-X17))</f>
        <v>0</v>
      </c>
      <c r="Z17" s="9">
        <f t="shared" si="9"/>
        <v>24</v>
      </c>
      <c r="AA17" s="77">
        <f>IFERROR(VLOOKUP(Vaktplan!$A$63,Vaktplan!$CE$4:$CL$35,86-AL70,FALSE),0)</f>
        <v>0</v>
      </c>
      <c r="AB17" s="77">
        <f>IFERROR(VLOOKUP(Vaktplan!$A$63,Vaktplan!$CE$4:$CL$35,86-AK70,FALSE),0)</f>
        <v>0</v>
      </c>
      <c r="AC17" s="9">
        <f>IFERROR(VLOOKUP(Vaktplan!$A$63,Vaktplan!$CE$4:$FCE$35,89-$AL70,FALSE),0)</f>
        <v>0</v>
      </c>
      <c r="AD17" s="9">
        <f>IF(AND(AA17=0,AB17=0),0,IF(AA17&lt;AB17,((AB17-AA17)*24)-AC17,(((1-AA17)+AB17)*24)-AC17))</f>
        <v>0</v>
      </c>
      <c r="AE17" s="9">
        <f t="shared" si="11"/>
        <v>24</v>
      </c>
      <c r="AF17" s="77">
        <f>IFERROR(VLOOKUP(Vaktplan!$A$63,Vaktplan!$CF$4:$CL$35,86-AM70,FALSE),0)</f>
        <v>0</v>
      </c>
      <c r="AG17" s="77">
        <f>IFERROR(VLOOKUP(Vaktplan!$A$63,Vaktplan!$CF$4:$CL$35,86-AL70,FALSE),0)</f>
        <v>0</v>
      </c>
      <c r="AH17" s="9">
        <f>IFERROR(VLOOKUP(Vaktplan!$A$63,Vaktplan!$CF$4:$CL$35,89-$AM70,FALSE),0)</f>
        <v>0</v>
      </c>
      <c r="AI17" s="9">
        <f>IF(AND(AF17=0,AG17=0),0,IF(AF17&lt;AG17,((AG17-AF17)*24)-AH17,(((1-AF17)+AG17)*24)-AH17))</f>
        <v>0</v>
      </c>
      <c r="AJ17" s="9">
        <f t="shared" si="13"/>
        <v>24</v>
      </c>
      <c r="AK17" s="9">
        <f t="shared" si="1"/>
        <v>0</v>
      </c>
      <c r="AL17" s="92"/>
      <c r="AM17" s="10"/>
    </row>
    <row r="19" spans="1:43" ht="13" x14ac:dyDescent="0.3">
      <c r="A19" s="4" t="s">
        <v>76</v>
      </c>
    </row>
    <row r="20" spans="1:43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3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3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3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3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6" spans="1:43" ht="13" x14ac:dyDescent="0.3">
      <c r="A26" s="4" t="s">
        <v>77</v>
      </c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</row>
    <row r="27" spans="1:43" ht="13" x14ac:dyDescent="0.3">
      <c r="A27" s="3" t="s">
        <v>78</v>
      </c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80" t="s">
        <v>79</v>
      </c>
      <c r="AM27" s="78"/>
      <c r="AN27" s="78"/>
      <c r="AO27" s="78"/>
    </row>
    <row r="28" spans="1:43" ht="13" x14ac:dyDescent="0.3">
      <c r="A28" s="98" t="s">
        <v>36</v>
      </c>
      <c r="B28" s="98"/>
      <c r="C28" s="98"/>
      <c r="D28" s="88"/>
      <c r="E28" s="8">
        <f>E2</f>
        <v>0</v>
      </c>
      <c r="F28" s="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>
        <v>1</v>
      </c>
      <c r="AM28" s="78"/>
      <c r="AN28" s="78"/>
      <c r="AO28" s="78"/>
    </row>
    <row r="29" spans="1:43" ht="13" x14ac:dyDescent="0.3">
      <c r="A29" s="98" t="s">
        <v>80</v>
      </c>
      <c r="B29" s="98"/>
      <c r="C29" s="98"/>
      <c r="D29" s="88"/>
      <c r="E29" s="5">
        <f>E3</f>
        <v>0</v>
      </c>
      <c r="F29" s="5"/>
      <c r="T29" s="10"/>
      <c r="U29" s="10"/>
      <c r="V29" s="10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80" t="s">
        <v>81</v>
      </c>
      <c r="AH29" s="80"/>
      <c r="AI29" s="78"/>
      <c r="AJ29" s="78"/>
      <c r="AK29" s="78"/>
      <c r="AL29" s="78">
        <v>2</v>
      </c>
      <c r="AM29" s="78"/>
      <c r="AN29" s="78"/>
      <c r="AO29" s="78"/>
      <c r="AP29" s="10"/>
      <c r="AQ29" s="10"/>
    </row>
    <row r="30" spans="1:43" ht="13" x14ac:dyDescent="0.3">
      <c r="A30" s="98" t="s">
        <v>82</v>
      </c>
      <c r="B30" s="98"/>
      <c r="C30" s="98"/>
      <c r="D30" s="88"/>
      <c r="T30" s="10"/>
      <c r="U30" s="10"/>
      <c r="V30" s="10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>
        <v>3</v>
      </c>
      <c r="AM30" s="78"/>
      <c r="AN30" s="78"/>
      <c r="AO30" s="78"/>
      <c r="AP30" s="10"/>
      <c r="AQ30" s="10"/>
    </row>
    <row r="31" spans="1:43" ht="13" x14ac:dyDescent="0.3">
      <c r="A31" s="4" t="s">
        <v>83</v>
      </c>
      <c r="B31" s="4" t="s">
        <v>84</v>
      </c>
      <c r="C31" s="4" t="s">
        <v>85</v>
      </c>
      <c r="D31" s="98" t="s">
        <v>86</v>
      </c>
      <c r="E31" s="98"/>
      <c r="F31" s="4" t="s">
        <v>87</v>
      </c>
      <c r="G31" s="4" t="s">
        <v>88</v>
      </c>
      <c r="H31" s="98" t="s">
        <v>27</v>
      </c>
      <c r="I31" s="98"/>
      <c r="J31" s="4" t="s">
        <v>28</v>
      </c>
      <c r="K31" s="4" t="s">
        <v>29</v>
      </c>
      <c r="L31" s="4" t="s">
        <v>30</v>
      </c>
      <c r="M31" s="4" t="s">
        <v>31</v>
      </c>
      <c r="N31" s="98" t="s">
        <v>32</v>
      </c>
      <c r="O31" s="98"/>
      <c r="T31" s="10"/>
      <c r="U31" s="10"/>
      <c r="V31" s="10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80" t="s">
        <v>9</v>
      </c>
      <c r="AH31" s="80"/>
      <c r="AI31" s="78"/>
      <c r="AJ31" s="78"/>
      <c r="AK31" s="78"/>
      <c r="AL31" s="78">
        <v>4</v>
      </c>
      <c r="AM31" s="78"/>
      <c r="AN31" s="78"/>
      <c r="AO31" s="78"/>
      <c r="AP31" s="10"/>
      <c r="AQ31" s="10"/>
    </row>
    <row r="32" spans="1:43" ht="13" x14ac:dyDescent="0.3">
      <c r="A32" s="3">
        <f>AK6</f>
        <v>0</v>
      </c>
      <c r="B32" s="3">
        <f>AK7</f>
        <v>0</v>
      </c>
      <c r="C32" s="3">
        <f>AK8</f>
        <v>0</v>
      </c>
      <c r="D32" s="101">
        <f>AK9</f>
        <v>0</v>
      </c>
      <c r="E32" s="101"/>
      <c r="F32" s="3">
        <f>AK10</f>
        <v>0</v>
      </c>
      <c r="G32" s="3">
        <f>AK11</f>
        <v>0</v>
      </c>
      <c r="H32" s="101">
        <f>AK12</f>
        <v>0</v>
      </c>
      <c r="I32" s="101"/>
      <c r="J32" s="3">
        <f>AK13</f>
        <v>0</v>
      </c>
      <c r="K32" s="3">
        <f>AK14</f>
        <v>0</v>
      </c>
      <c r="L32" s="3">
        <f>AK15</f>
        <v>0</v>
      </c>
      <c r="M32" s="3">
        <f>AK16</f>
        <v>0</v>
      </c>
      <c r="N32" s="101">
        <f>AK17</f>
        <v>0</v>
      </c>
      <c r="O32" s="101"/>
      <c r="T32" s="11" t="s">
        <v>70</v>
      </c>
      <c r="U32" s="10" t="s">
        <v>89</v>
      </c>
      <c r="V32" s="10" t="s">
        <v>90</v>
      </c>
      <c r="W32" s="78" t="s">
        <v>91</v>
      </c>
      <c r="X32" s="78" t="s">
        <v>92</v>
      </c>
      <c r="Y32" s="78" t="s">
        <v>93</v>
      </c>
      <c r="Z32" s="78" t="s">
        <v>94</v>
      </c>
      <c r="AA32" s="78"/>
      <c r="AB32" s="78"/>
      <c r="AC32" s="78"/>
      <c r="AD32" s="78"/>
      <c r="AE32" s="78"/>
      <c r="AF32" s="78"/>
      <c r="AG32" s="78" t="s">
        <v>10</v>
      </c>
      <c r="AH32" s="78"/>
      <c r="AI32" s="79">
        <v>42177</v>
      </c>
      <c r="AJ32" s="79"/>
      <c r="AK32" s="78"/>
      <c r="AL32" s="78">
        <v>5</v>
      </c>
      <c r="AM32" s="78"/>
      <c r="AN32" s="78"/>
      <c r="AO32" s="78"/>
      <c r="AP32" s="10"/>
      <c r="AQ32" s="10"/>
    </row>
    <row r="33" spans="1:43" ht="13" x14ac:dyDescent="0.3">
      <c r="A33" s="98" t="s">
        <v>95</v>
      </c>
      <c r="B33" s="98"/>
      <c r="C33" s="98"/>
      <c r="D33" s="88"/>
      <c r="G33" s="101"/>
      <c r="H33" s="101"/>
      <c r="I33" s="90"/>
      <c r="T33" s="10">
        <v>1</v>
      </c>
      <c r="U33" s="10">
        <f>IF(AND(B6&gt;0,G6&gt;0),0,IF(AND(G6&gt;0),0,F6+K6))</f>
        <v>48</v>
      </c>
      <c r="V33" s="10">
        <f>IF(AND(G6&gt;0,L6&gt;0),0,IF(AND(L6&gt;0),0,K6+P6))</f>
        <v>48</v>
      </c>
      <c r="W33" s="78">
        <f>IF(AND(L6&gt;0,Q6&gt;0),0,IF(AND(Q6&gt;0),0,P6+U6))</f>
        <v>48</v>
      </c>
      <c r="X33" s="78">
        <f>IF(AND(Q6&gt;0,V6&gt;0),0,IF(AND(V6&gt;0),0,U6+Z6))</f>
        <v>48</v>
      </c>
      <c r="Y33" s="78">
        <f>IF(AND(V6&gt;0,AA6&gt;0),0,IF(AND(AA6&gt;0),0,Z6+AE6))</f>
        <v>48</v>
      </c>
      <c r="Z33" s="78">
        <f>IF(AND(AA6&gt;0,AF6&gt;0),0,IF(AND(AF6&gt;0),0,AE6+AJ6))</f>
        <v>48</v>
      </c>
      <c r="AA33" s="78"/>
      <c r="AB33" s="78"/>
      <c r="AC33" s="78"/>
      <c r="AD33" s="78"/>
      <c r="AE33" s="78"/>
      <c r="AF33" s="78"/>
      <c r="AG33" s="78" t="s">
        <v>11</v>
      </c>
      <c r="AH33" s="78"/>
      <c r="AI33" s="79">
        <v>42178</v>
      </c>
      <c r="AJ33" s="79"/>
      <c r="AK33" s="78"/>
      <c r="AL33" s="78">
        <v>6</v>
      </c>
      <c r="AM33" s="78"/>
      <c r="AN33" s="78"/>
      <c r="AO33" s="78"/>
      <c r="AP33" s="10"/>
      <c r="AQ33" s="10"/>
    </row>
    <row r="34" spans="1:43" x14ac:dyDescent="0.25">
      <c r="A34" s="101" t="s">
        <v>96</v>
      </c>
      <c r="B34" s="101"/>
      <c r="C34" s="3">
        <f>(AK6+AK7+AK8+AK9+AK10+AK11+AK12+AK13+AK14+AK15+AK16+AK17)/M1</f>
        <v>0</v>
      </c>
      <c r="T34" s="10">
        <v>2</v>
      </c>
      <c r="U34" s="10">
        <f t="shared" ref="U34:U40" si="17">IF(AND(B7&gt;0,G7&gt;0),0,IF(AND(G7&gt;0),0,F7+K7))</f>
        <v>48</v>
      </c>
      <c r="V34" s="10">
        <f t="shared" ref="V34:V40" si="18">IF(AND(G7&gt;0,L7&gt;0),0,IF(AND(L7&gt;0),0,K7+P7))</f>
        <v>48</v>
      </c>
      <c r="W34" s="78">
        <f t="shared" ref="W34:W44" si="19">IF(AND(L7&gt;0,Q7&gt;0),0,IF(AND(Q7&gt;0),0,P7+U7))</f>
        <v>48</v>
      </c>
      <c r="X34" s="78">
        <f t="shared" ref="X34:X44" si="20">IF(AND(Q7&gt;0,V7&gt;0),0,IF(AND(V7&gt;0),0,U7+Z7))</f>
        <v>48</v>
      </c>
      <c r="Y34" s="78">
        <f t="shared" ref="Y34:Y44" si="21">IF(AND(V7&gt;0,AA7&gt;0),0,IF(AND(AA7&gt;0),0,Z7+AE7))</f>
        <v>48</v>
      </c>
      <c r="Z34" s="78">
        <f t="shared" ref="Z34:Z44" si="22">IF(AND(AA7&gt;0,AF7&gt;0),0,IF(AND(AF7&gt;0),0,AE7+AJ7))</f>
        <v>48</v>
      </c>
      <c r="AA34" s="78"/>
      <c r="AB34" s="78"/>
      <c r="AC34" s="78"/>
      <c r="AD34" s="78"/>
      <c r="AE34" s="78"/>
      <c r="AF34" s="78"/>
      <c r="AG34" s="78" t="s">
        <v>12</v>
      </c>
      <c r="AH34" s="78"/>
      <c r="AI34" s="79">
        <v>42179</v>
      </c>
      <c r="AJ34" s="79"/>
      <c r="AK34" s="78"/>
      <c r="AL34" s="78">
        <v>7</v>
      </c>
      <c r="AM34" s="78"/>
      <c r="AN34" s="78"/>
      <c r="AO34" s="78"/>
      <c r="AP34" s="10"/>
      <c r="AQ34" s="10"/>
    </row>
    <row r="35" spans="1:43" x14ac:dyDescent="0.25">
      <c r="T35" s="10">
        <v>3</v>
      </c>
      <c r="U35" s="10">
        <f t="shared" si="17"/>
        <v>48</v>
      </c>
      <c r="V35" s="10">
        <f t="shared" si="18"/>
        <v>48</v>
      </c>
      <c r="W35" s="78">
        <f t="shared" si="19"/>
        <v>48</v>
      </c>
      <c r="X35" s="78">
        <f t="shared" si="20"/>
        <v>48</v>
      </c>
      <c r="Y35" s="78">
        <f t="shared" si="21"/>
        <v>48</v>
      </c>
      <c r="Z35" s="78">
        <f t="shared" si="22"/>
        <v>48</v>
      </c>
      <c r="AA35" s="78"/>
      <c r="AB35" s="78"/>
      <c r="AC35" s="78"/>
      <c r="AD35" s="78"/>
      <c r="AE35" s="78"/>
      <c r="AF35" s="78"/>
      <c r="AG35" s="78" t="s">
        <v>13</v>
      </c>
      <c r="AH35" s="78"/>
      <c r="AI35" s="79">
        <v>42180</v>
      </c>
      <c r="AJ35" s="79"/>
      <c r="AK35" s="78"/>
      <c r="AL35" s="78">
        <v>8</v>
      </c>
      <c r="AM35" s="78"/>
      <c r="AN35" s="78"/>
      <c r="AO35" s="78"/>
      <c r="AP35" s="78"/>
      <c r="AQ35" s="10"/>
    </row>
    <row r="36" spans="1:43" ht="13" x14ac:dyDescent="0.3">
      <c r="A36" s="98" t="s">
        <v>97</v>
      </c>
      <c r="B36" s="98"/>
      <c r="C36" s="98"/>
      <c r="D36" s="98"/>
      <c r="E36" s="98"/>
      <c r="F36" s="88"/>
      <c r="T36" s="10">
        <v>4</v>
      </c>
      <c r="U36" s="10">
        <f t="shared" si="17"/>
        <v>48</v>
      </c>
      <c r="V36" s="10">
        <f t="shared" si="18"/>
        <v>48</v>
      </c>
      <c r="W36" s="78">
        <f t="shared" si="19"/>
        <v>48</v>
      </c>
      <c r="X36" s="78">
        <f t="shared" si="20"/>
        <v>48</v>
      </c>
      <c r="Y36" s="78">
        <f t="shared" si="21"/>
        <v>48</v>
      </c>
      <c r="Z36" s="78">
        <f t="shared" si="22"/>
        <v>48</v>
      </c>
      <c r="AA36" s="78"/>
      <c r="AB36" s="78"/>
      <c r="AC36" s="78"/>
      <c r="AD36" s="78"/>
      <c r="AE36" s="78"/>
      <c r="AF36" s="78"/>
      <c r="AG36" s="78" t="s">
        <v>14</v>
      </c>
      <c r="AH36" s="78"/>
      <c r="AI36" s="79">
        <v>42181</v>
      </c>
      <c r="AJ36" s="79"/>
      <c r="AK36" s="78"/>
      <c r="AL36" s="3">
        <v>9</v>
      </c>
      <c r="AM36" s="78"/>
      <c r="AN36" s="78"/>
      <c r="AO36" s="78"/>
      <c r="AP36" s="78"/>
      <c r="AQ36" s="10"/>
    </row>
    <row r="37" spans="1:43" x14ac:dyDescent="0.25">
      <c r="A37" s="99" t="e">
        <f>C34/E3</f>
        <v>#DIV/0!</v>
      </c>
      <c r="B37" s="99"/>
      <c r="C37" s="99"/>
      <c r="T37" s="10">
        <v>5</v>
      </c>
      <c r="U37" s="10">
        <f t="shared" si="17"/>
        <v>48</v>
      </c>
      <c r="V37" s="10">
        <f t="shared" si="18"/>
        <v>48</v>
      </c>
      <c r="W37" s="78">
        <f t="shared" si="19"/>
        <v>48</v>
      </c>
      <c r="X37" s="78">
        <f t="shared" si="20"/>
        <v>48</v>
      </c>
      <c r="Y37" s="78">
        <f t="shared" si="21"/>
        <v>48</v>
      </c>
      <c r="Z37" s="78">
        <f t="shared" si="22"/>
        <v>48</v>
      </c>
      <c r="AA37" s="78"/>
      <c r="AB37" s="78"/>
      <c r="AC37" s="78"/>
      <c r="AD37" s="78"/>
      <c r="AE37" s="78"/>
      <c r="AF37" s="78"/>
      <c r="AG37" s="78" t="s">
        <v>15</v>
      </c>
      <c r="AH37" s="78"/>
      <c r="AI37" s="79">
        <v>42182</v>
      </c>
      <c r="AJ37" s="79"/>
      <c r="AK37" s="78"/>
      <c r="AL37" s="3">
        <v>10</v>
      </c>
      <c r="AM37" s="78"/>
      <c r="AN37" s="78"/>
      <c r="AO37" s="78"/>
      <c r="AP37" s="78"/>
      <c r="AQ37" s="10"/>
    </row>
    <row r="38" spans="1:43" x14ac:dyDescent="0.25">
      <c r="T38" s="10">
        <v>6</v>
      </c>
      <c r="U38" s="10">
        <f t="shared" si="17"/>
        <v>48</v>
      </c>
      <c r="V38" s="10">
        <f t="shared" si="18"/>
        <v>48</v>
      </c>
      <c r="W38" s="78">
        <f t="shared" si="19"/>
        <v>48</v>
      </c>
      <c r="X38" s="78">
        <f t="shared" si="20"/>
        <v>48</v>
      </c>
      <c r="Y38" s="78">
        <f t="shared" si="21"/>
        <v>48</v>
      </c>
      <c r="Z38" s="78">
        <f t="shared" si="22"/>
        <v>48</v>
      </c>
      <c r="AA38" s="78"/>
      <c r="AB38" s="78"/>
      <c r="AC38" s="78"/>
      <c r="AD38" s="78"/>
      <c r="AE38" s="78"/>
      <c r="AF38" s="78"/>
      <c r="AG38" s="78" t="s">
        <v>16</v>
      </c>
      <c r="AH38" s="78"/>
      <c r="AI38" s="79">
        <v>42183</v>
      </c>
      <c r="AJ38" s="79"/>
      <c r="AK38" s="78"/>
      <c r="AL38" s="3">
        <v>11</v>
      </c>
      <c r="AM38" s="78"/>
      <c r="AN38" s="78"/>
      <c r="AO38" s="78"/>
      <c r="AP38" s="78"/>
      <c r="AQ38" s="10"/>
    </row>
    <row r="39" spans="1:43" x14ac:dyDescent="0.25">
      <c r="T39" s="10">
        <v>7</v>
      </c>
      <c r="U39" s="10">
        <f t="shared" si="17"/>
        <v>48</v>
      </c>
      <c r="V39" s="10">
        <f t="shared" si="18"/>
        <v>48</v>
      </c>
      <c r="W39" s="78">
        <f t="shared" si="19"/>
        <v>48</v>
      </c>
      <c r="X39" s="78">
        <f t="shared" si="20"/>
        <v>48</v>
      </c>
      <c r="Y39" s="78">
        <f t="shared" si="21"/>
        <v>48</v>
      </c>
      <c r="Z39" s="78">
        <f t="shared" si="22"/>
        <v>48</v>
      </c>
      <c r="AA39" s="78"/>
      <c r="AB39" s="78"/>
      <c r="AC39" s="78"/>
      <c r="AD39" s="78"/>
      <c r="AE39" s="78"/>
      <c r="AF39" s="78"/>
      <c r="AG39" s="100">
        <f>IF(E1=AG32,AI32,IF(E1=AG33,AI33,IF(E1=AG34,AI34,IF(E1=AG35,AI35,IF(E1=AG36,AI36,IF(E1=AG37,AI37,IF(E1=AG38,AI38,AI32)))))))</f>
        <v>42177</v>
      </c>
      <c r="AH39" s="100"/>
      <c r="AI39" s="100"/>
      <c r="AJ39" s="100"/>
      <c r="AK39" s="100"/>
      <c r="AL39" s="3">
        <v>12</v>
      </c>
      <c r="AM39" s="78"/>
      <c r="AN39" s="78"/>
      <c r="AO39" s="78"/>
      <c r="AP39" s="78"/>
      <c r="AQ39" s="10"/>
    </row>
    <row r="40" spans="1:43" ht="13" x14ac:dyDescent="0.3">
      <c r="A40" s="4" t="s">
        <v>98</v>
      </c>
      <c r="T40" s="10">
        <v>8</v>
      </c>
      <c r="U40" s="10">
        <f t="shared" si="17"/>
        <v>48</v>
      </c>
      <c r="V40" s="10">
        <f t="shared" si="18"/>
        <v>48</v>
      </c>
      <c r="W40" s="78">
        <f t="shared" si="19"/>
        <v>48</v>
      </c>
      <c r="X40" s="78">
        <f t="shared" si="20"/>
        <v>48</v>
      </c>
      <c r="Y40" s="78">
        <f t="shared" si="21"/>
        <v>48</v>
      </c>
      <c r="Z40" s="78">
        <f t="shared" si="22"/>
        <v>48</v>
      </c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10"/>
    </row>
    <row r="41" spans="1:43" x14ac:dyDescent="0.25">
      <c r="A41" s="3" t="s">
        <v>99</v>
      </c>
      <c r="T41" s="10"/>
      <c r="U41" s="10"/>
      <c r="V41" s="10"/>
      <c r="W41" s="78">
        <f t="shared" si="19"/>
        <v>48</v>
      </c>
      <c r="X41" s="78">
        <f t="shared" si="20"/>
        <v>48</v>
      </c>
      <c r="Y41" s="78">
        <f t="shared" si="21"/>
        <v>48</v>
      </c>
      <c r="Z41" s="78">
        <f t="shared" si="22"/>
        <v>48</v>
      </c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10"/>
    </row>
    <row r="42" spans="1:43" ht="13" x14ac:dyDescent="0.3">
      <c r="A42" s="3" t="s">
        <v>100</v>
      </c>
      <c r="O42" s="81">
        <v>0.29166666666666669</v>
      </c>
      <c r="P42" s="81">
        <v>0.33333333333333331</v>
      </c>
      <c r="Q42" s="3">
        <f>(P42-O42)*24</f>
        <v>0.99999999999999911</v>
      </c>
      <c r="T42" s="10"/>
      <c r="U42" s="10"/>
      <c r="V42" s="10"/>
      <c r="W42" s="78">
        <f t="shared" si="19"/>
        <v>48</v>
      </c>
      <c r="X42" s="78">
        <f t="shared" si="20"/>
        <v>48</v>
      </c>
      <c r="Y42" s="78">
        <f t="shared" si="21"/>
        <v>48</v>
      </c>
      <c r="Z42" s="78">
        <f t="shared" si="22"/>
        <v>48</v>
      </c>
      <c r="AA42" s="78"/>
      <c r="AB42" s="78"/>
      <c r="AC42" s="78"/>
      <c r="AD42" s="78"/>
      <c r="AE42" s="78"/>
      <c r="AF42" s="78"/>
      <c r="AG42" s="80" t="s">
        <v>101</v>
      </c>
      <c r="AH42" s="80"/>
      <c r="AI42" s="78"/>
      <c r="AJ42" s="78"/>
      <c r="AK42" s="78"/>
      <c r="AL42" s="80" t="s">
        <v>102</v>
      </c>
      <c r="AM42" s="78"/>
      <c r="AN42" s="78"/>
      <c r="AO42" s="78"/>
      <c r="AP42" s="78"/>
      <c r="AQ42" s="10"/>
    </row>
    <row r="43" spans="1:43" x14ac:dyDescent="0.25">
      <c r="T43" s="10"/>
      <c r="U43" s="10"/>
      <c r="V43" s="10"/>
      <c r="W43" s="78">
        <f t="shared" si="19"/>
        <v>48</v>
      </c>
      <c r="X43" s="78">
        <f t="shared" si="20"/>
        <v>48</v>
      </c>
      <c r="Y43" s="78">
        <f t="shared" si="21"/>
        <v>48</v>
      </c>
      <c r="Z43" s="78">
        <f t="shared" si="22"/>
        <v>48</v>
      </c>
      <c r="AA43" s="78"/>
      <c r="AB43" s="78"/>
      <c r="AC43" s="78"/>
      <c r="AD43" s="78"/>
      <c r="AE43" s="78"/>
      <c r="AF43" s="78"/>
      <c r="AG43" s="78">
        <v>33.6</v>
      </c>
      <c r="AH43" s="78"/>
      <c r="AI43" s="78"/>
      <c r="AJ43" s="78"/>
      <c r="AK43" s="78"/>
      <c r="AL43" s="78" t="s">
        <v>103</v>
      </c>
      <c r="AM43" s="78"/>
      <c r="AN43" s="78"/>
      <c r="AO43" s="78"/>
      <c r="AP43" s="78"/>
      <c r="AQ43" s="10"/>
    </row>
    <row r="44" spans="1:43" x14ac:dyDescent="0.25">
      <c r="A44" s="3" t="s">
        <v>104</v>
      </c>
      <c r="T44" s="10"/>
      <c r="U44" s="10"/>
      <c r="V44" s="10"/>
      <c r="W44" s="78">
        <f t="shared" si="19"/>
        <v>48</v>
      </c>
      <c r="X44" s="78">
        <f t="shared" si="20"/>
        <v>48</v>
      </c>
      <c r="Y44" s="78">
        <f t="shared" si="21"/>
        <v>48</v>
      </c>
      <c r="Z44" s="78">
        <f t="shared" si="22"/>
        <v>48</v>
      </c>
      <c r="AA44" s="78"/>
      <c r="AB44" s="78"/>
      <c r="AC44" s="78"/>
      <c r="AD44" s="78"/>
      <c r="AE44" s="78"/>
      <c r="AF44" s="78"/>
      <c r="AG44" s="78">
        <v>35.5</v>
      </c>
      <c r="AH44" s="78"/>
      <c r="AI44" s="78"/>
      <c r="AJ44" s="78"/>
      <c r="AK44" s="78"/>
      <c r="AL44" s="78" t="s">
        <v>105</v>
      </c>
      <c r="AM44" s="78"/>
      <c r="AN44" s="78"/>
      <c r="AO44" s="78"/>
      <c r="AP44" s="78"/>
      <c r="AQ44" s="10"/>
    </row>
    <row r="45" spans="1:43" x14ac:dyDescent="0.25">
      <c r="A45" s="1">
        <v>11</v>
      </c>
      <c r="B45" s="5">
        <f>COUNTIF($F$6:$F$13,"&lt;" &amp; A45)+COUNTIF($K$6:$K$13,"&lt;" &amp; A45)+COUNTIF($P$6:$P$13,"&lt;" &amp; A45)+COUNTIF($U$6:$U$13,"&lt;" &amp; A45)+COUNTIF($Z$6:$Z$13,"&lt;" &amp; A45)+COUNTIF($AE$6:$AE$13,"&lt;" &amp; A45)+COUNTIF($AJ$6:$AJ$13,"&lt;" &amp; A45)</f>
        <v>0</v>
      </c>
      <c r="T45" s="10"/>
      <c r="U45" s="10"/>
      <c r="V45" s="10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>
        <v>37.5</v>
      </c>
      <c r="AH45" s="78"/>
      <c r="AI45" s="78"/>
      <c r="AJ45" s="78"/>
      <c r="AK45" s="78"/>
      <c r="AL45" s="78"/>
      <c r="AM45" s="78"/>
      <c r="AN45" s="78"/>
      <c r="AO45" s="78"/>
      <c r="AP45" s="78"/>
      <c r="AQ45" s="10"/>
    </row>
    <row r="46" spans="1:43" x14ac:dyDescent="0.25">
      <c r="T46" s="10"/>
      <c r="U46" s="10"/>
      <c r="V46" s="10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78"/>
      <c r="AQ46" s="10"/>
    </row>
    <row r="47" spans="1:43" x14ac:dyDescent="0.25">
      <c r="T47" s="10"/>
      <c r="U47" s="10"/>
      <c r="V47" s="10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10"/>
    </row>
    <row r="48" spans="1:43" x14ac:dyDescent="0.25">
      <c r="T48" s="10"/>
      <c r="U48" s="10"/>
      <c r="V48" s="10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78"/>
      <c r="AO48" s="78"/>
      <c r="AP48" s="78"/>
      <c r="AQ48" s="10"/>
    </row>
    <row r="49" spans="1:43" ht="13" x14ac:dyDescent="0.3">
      <c r="A49" s="4" t="s">
        <v>106</v>
      </c>
      <c r="T49" s="10"/>
      <c r="U49" s="10"/>
      <c r="V49" s="10"/>
      <c r="W49" s="78"/>
      <c r="X49" s="78"/>
      <c r="Y49" s="78"/>
      <c r="Z49" s="78"/>
      <c r="AA49" s="78"/>
      <c r="AB49" s="80" t="s">
        <v>107</v>
      </c>
      <c r="AC49" s="80"/>
      <c r="AD49" s="78"/>
      <c r="AE49" s="78"/>
      <c r="AF49" s="78"/>
      <c r="AG49" s="78"/>
      <c r="AH49" s="78"/>
      <c r="AI49" s="78"/>
      <c r="AJ49" s="78"/>
      <c r="AK49" s="78"/>
      <c r="AL49" s="78"/>
      <c r="AM49" s="78"/>
      <c r="AN49" s="78"/>
      <c r="AO49" s="78"/>
      <c r="AP49" s="78"/>
      <c r="AQ49" s="10"/>
    </row>
    <row r="50" spans="1:43" x14ac:dyDescent="0.25">
      <c r="A50" s="3" t="s">
        <v>108</v>
      </c>
      <c r="T50" s="10"/>
      <c r="U50" s="10"/>
      <c r="V50" s="10"/>
      <c r="W50" s="78"/>
      <c r="X50" s="78"/>
      <c r="Y50" s="78"/>
      <c r="Z50" s="78"/>
      <c r="AA50" s="78"/>
      <c r="AB50" s="78" t="s">
        <v>109</v>
      </c>
      <c r="AC50" s="78"/>
      <c r="AD50" s="78"/>
      <c r="AE50" s="78"/>
      <c r="AF50" s="78"/>
      <c r="AG50" s="78"/>
      <c r="AH50" s="78"/>
      <c r="AI50" s="78"/>
      <c r="AJ50" s="78"/>
      <c r="AK50" s="78"/>
      <c r="AL50" s="78"/>
      <c r="AM50" s="78"/>
      <c r="AN50" s="78"/>
      <c r="AO50" s="78"/>
      <c r="AP50" s="78"/>
      <c r="AQ50" s="10"/>
    </row>
    <row r="51" spans="1:43" ht="13" x14ac:dyDescent="0.3">
      <c r="A51" s="4" t="s">
        <v>110</v>
      </c>
      <c r="T51" s="10"/>
      <c r="U51" s="10"/>
      <c r="V51" s="10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  <c r="AN51" s="78"/>
      <c r="AO51" s="78"/>
      <c r="AP51" s="78"/>
      <c r="AQ51" s="10"/>
    </row>
    <row r="52" spans="1:43" x14ac:dyDescent="0.25">
      <c r="A52" s="3" t="s">
        <v>111</v>
      </c>
      <c r="T52" s="10"/>
      <c r="U52" s="10"/>
      <c r="V52" s="10"/>
      <c r="W52" s="78"/>
      <c r="X52" s="78"/>
      <c r="Y52" s="78"/>
      <c r="Z52" s="78"/>
      <c r="AA52" s="78"/>
      <c r="AB52" s="78" t="s">
        <v>112</v>
      </c>
      <c r="AC52" s="78"/>
      <c r="AD52" s="78"/>
      <c r="AE52" s="78"/>
      <c r="AF52" s="78"/>
      <c r="AG52" s="78"/>
      <c r="AH52" s="78"/>
      <c r="AI52" s="78"/>
      <c r="AJ52" s="78"/>
      <c r="AK52" s="78"/>
      <c r="AL52" s="78"/>
      <c r="AM52" s="78"/>
      <c r="AN52" s="78"/>
      <c r="AO52" s="78"/>
      <c r="AP52" s="78"/>
      <c r="AQ52" s="10"/>
    </row>
    <row r="53" spans="1:43" x14ac:dyDescent="0.25">
      <c r="A53" s="3" t="s">
        <v>113</v>
      </c>
      <c r="T53" s="10"/>
      <c r="U53" s="10"/>
      <c r="V53" s="10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78"/>
      <c r="AO53" s="78"/>
      <c r="AP53" s="78"/>
      <c r="AQ53" s="10"/>
    </row>
    <row r="54" spans="1:43" x14ac:dyDescent="0.25">
      <c r="A54" s="3" t="s">
        <v>114</v>
      </c>
      <c r="T54" s="10"/>
      <c r="U54" s="10"/>
      <c r="V54" s="10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78"/>
      <c r="AL54" s="78"/>
      <c r="AM54" s="78"/>
      <c r="AN54" s="78"/>
      <c r="AO54" s="78"/>
      <c r="AP54" s="78"/>
      <c r="AQ54" s="10"/>
    </row>
    <row r="55" spans="1:43" x14ac:dyDescent="0.25">
      <c r="T55" s="10"/>
      <c r="U55" s="10"/>
      <c r="V55" s="10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10"/>
    </row>
    <row r="56" spans="1:43" ht="13" x14ac:dyDescent="0.3">
      <c r="A56" s="4" t="s">
        <v>115</v>
      </c>
      <c r="T56" s="10"/>
      <c r="U56" s="10"/>
      <c r="V56" s="10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78"/>
      <c r="AO56" s="78"/>
      <c r="AP56" s="78"/>
      <c r="AQ56" s="10"/>
    </row>
    <row r="57" spans="1:43" x14ac:dyDescent="0.25">
      <c r="A57" s="3" t="s">
        <v>116</v>
      </c>
      <c r="T57" s="10"/>
      <c r="U57" s="10"/>
      <c r="V57" s="10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/>
      <c r="AO57" s="78"/>
      <c r="AP57" s="78"/>
      <c r="AQ57" s="10"/>
    </row>
    <row r="58" spans="1:43" ht="13" x14ac:dyDescent="0.3">
      <c r="A58" s="4" t="s">
        <v>110</v>
      </c>
      <c r="T58" s="10"/>
      <c r="U58" s="10"/>
      <c r="V58" s="10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 t="s">
        <v>117</v>
      </c>
      <c r="AH58" s="78"/>
      <c r="AI58" s="78"/>
      <c r="AJ58" s="78"/>
      <c r="AK58" s="78"/>
      <c r="AL58" s="78"/>
      <c r="AM58" s="78"/>
      <c r="AN58" s="78"/>
      <c r="AO58" s="78"/>
      <c r="AP58" s="78"/>
      <c r="AQ58" s="10"/>
    </row>
    <row r="59" spans="1:43" x14ac:dyDescent="0.25">
      <c r="A59" s="3" t="s">
        <v>111</v>
      </c>
      <c r="T59" s="10"/>
      <c r="U59" s="10"/>
      <c r="V59" s="10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>
        <v>0</v>
      </c>
      <c r="AH59" s="78">
        <v>1</v>
      </c>
      <c r="AI59" s="78">
        <v>2</v>
      </c>
      <c r="AJ59" s="78">
        <v>3</v>
      </c>
      <c r="AK59" s="78">
        <v>4</v>
      </c>
      <c r="AL59" s="78">
        <v>5</v>
      </c>
      <c r="AM59" s="78">
        <v>6</v>
      </c>
      <c r="AN59" s="78"/>
      <c r="AO59" s="78"/>
      <c r="AP59" s="78"/>
      <c r="AQ59" s="10"/>
    </row>
    <row r="60" spans="1:43" x14ac:dyDescent="0.25">
      <c r="A60" s="3" t="s">
        <v>113</v>
      </c>
      <c r="T60" s="10"/>
      <c r="U60" s="10"/>
      <c r="V60" s="10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>
        <v>7</v>
      </c>
      <c r="AH60" s="78">
        <v>8</v>
      </c>
      <c r="AI60" s="78">
        <v>9</v>
      </c>
      <c r="AJ60" s="78">
        <v>10</v>
      </c>
      <c r="AK60" s="78">
        <v>11</v>
      </c>
      <c r="AL60" s="78">
        <v>12</v>
      </c>
      <c r="AM60" s="78">
        <v>13</v>
      </c>
      <c r="AN60" s="78"/>
      <c r="AO60" s="78"/>
      <c r="AP60" s="78"/>
      <c r="AQ60" s="10"/>
    </row>
    <row r="61" spans="1:43" x14ac:dyDescent="0.25">
      <c r="T61" s="10"/>
      <c r="U61" s="10"/>
      <c r="V61" s="10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>
        <v>14</v>
      </c>
      <c r="AH61" s="78">
        <v>15</v>
      </c>
      <c r="AI61" s="78">
        <v>16</v>
      </c>
      <c r="AJ61" s="78">
        <v>17</v>
      </c>
      <c r="AK61" s="78">
        <v>18</v>
      </c>
      <c r="AL61" s="78">
        <v>19</v>
      </c>
      <c r="AM61" s="78">
        <v>20</v>
      </c>
      <c r="AN61" s="78"/>
      <c r="AO61" s="78"/>
      <c r="AP61" s="78"/>
      <c r="AQ61" s="10"/>
    </row>
    <row r="62" spans="1:43" ht="13" x14ac:dyDescent="0.3">
      <c r="A62" s="4" t="s">
        <v>118</v>
      </c>
      <c r="T62" s="10"/>
      <c r="U62" s="10"/>
      <c r="V62" s="10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>
        <v>21</v>
      </c>
      <c r="AH62" s="78">
        <v>22</v>
      </c>
      <c r="AI62" s="78">
        <v>23</v>
      </c>
      <c r="AJ62" s="78">
        <v>24</v>
      </c>
      <c r="AK62" s="78">
        <v>25</v>
      </c>
      <c r="AL62" s="78">
        <v>26</v>
      </c>
      <c r="AM62" s="78">
        <v>27</v>
      </c>
      <c r="AN62" s="78"/>
      <c r="AO62" s="78"/>
      <c r="AP62" s="78"/>
      <c r="AQ62" s="10"/>
    </row>
    <row r="63" spans="1:43" x14ac:dyDescent="0.25">
      <c r="A63" s="3" t="s">
        <v>119</v>
      </c>
      <c r="T63" s="10"/>
      <c r="U63" s="10"/>
      <c r="V63" s="10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>
        <v>28</v>
      </c>
      <c r="AH63" s="78">
        <v>29</v>
      </c>
      <c r="AI63" s="78">
        <v>30</v>
      </c>
      <c r="AJ63" s="78">
        <v>31</v>
      </c>
      <c r="AK63" s="78">
        <v>32</v>
      </c>
      <c r="AL63" s="78">
        <v>33</v>
      </c>
      <c r="AM63" s="78">
        <v>34</v>
      </c>
      <c r="AN63" s="78"/>
      <c r="AO63" s="78"/>
      <c r="AP63" s="78"/>
      <c r="AQ63" s="10"/>
    </row>
    <row r="64" spans="1:43" x14ac:dyDescent="0.25">
      <c r="A64" s="3" t="s">
        <v>120</v>
      </c>
      <c r="T64" s="10"/>
      <c r="U64" s="10"/>
      <c r="V64" s="10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>
        <v>35</v>
      </c>
      <c r="AH64" s="78">
        <v>36</v>
      </c>
      <c r="AI64" s="78">
        <v>37</v>
      </c>
      <c r="AJ64" s="78">
        <v>38</v>
      </c>
      <c r="AK64" s="78">
        <v>39</v>
      </c>
      <c r="AL64" s="78">
        <v>40</v>
      </c>
      <c r="AM64" s="78">
        <v>41</v>
      </c>
      <c r="AN64" s="78"/>
      <c r="AO64" s="78"/>
      <c r="AP64" s="78"/>
      <c r="AQ64" s="10"/>
    </row>
    <row r="65" spans="1:43" x14ac:dyDescent="0.25">
      <c r="T65" s="10"/>
      <c r="U65" s="10"/>
      <c r="V65" s="10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>
        <v>42</v>
      </c>
      <c r="AH65" s="78">
        <v>43</v>
      </c>
      <c r="AI65" s="78">
        <v>44</v>
      </c>
      <c r="AJ65" s="78">
        <v>45</v>
      </c>
      <c r="AK65" s="78">
        <v>46</v>
      </c>
      <c r="AL65" s="78">
        <v>47</v>
      </c>
      <c r="AM65" s="78">
        <v>48</v>
      </c>
      <c r="AN65" s="78"/>
      <c r="AO65" s="78"/>
      <c r="AP65" s="78"/>
      <c r="AQ65" s="10"/>
    </row>
    <row r="66" spans="1:43" ht="13" x14ac:dyDescent="0.3">
      <c r="A66" s="3" t="s">
        <v>121</v>
      </c>
      <c r="B66" s="4"/>
      <c r="T66" s="10"/>
      <c r="U66" s="10"/>
      <c r="V66" s="10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>
        <v>49</v>
      </c>
      <c r="AH66" s="78">
        <v>50</v>
      </c>
      <c r="AI66" s="78">
        <v>51</v>
      </c>
      <c r="AJ66" s="78">
        <v>52</v>
      </c>
      <c r="AK66" s="78">
        <v>53</v>
      </c>
      <c r="AL66" s="78">
        <v>54</v>
      </c>
      <c r="AM66" s="78">
        <v>55</v>
      </c>
      <c r="AN66" s="78"/>
      <c r="AO66" s="78"/>
      <c r="AP66" s="78"/>
      <c r="AQ66" s="10"/>
    </row>
    <row r="67" spans="1:43" ht="13" x14ac:dyDescent="0.3">
      <c r="A67" s="1">
        <v>9</v>
      </c>
      <c r="B67" s="5">
        <f>COUNTIF($E$6:$E$13,"&gt;" &amp; A67)+COUNTIF($J$6:$J$13,"&gt;" &amp; A67)+COUNTIF($O$6:$O$13,"&gt;" &amp; A67)+COUNTIF($T$6:$T$13,"&gt;" &amp; A67)+COUNTIF($Y$6:$Y$13,"&gt;" &amp; A67)+COUNTIF($AD$6:$AD$13,"&gt;" &amp; A67)+COUNTIF($AI$6:$AI$13,"&gt;" &amp; A67)</f>
        <v>0</v>
      </c>
      <c r="C67" s="3" t="s">
        <v>122</v>
      </c>
      <c r="E67" s="3" t="s">
        <v>123</v>
      </c>
      <c r="H67" s="1" t="s">
        <v>124</v>
      </c>
      <c r="L67" s="3" t="s">
        <v>125</v>
      </c>
      <c r="T67" s="10"/>
      <c r="U67" s="10"/>
      <c r="V67" s="10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>
        <v>56</v>
      </c>
      <c r="AH67" s="78">
        <v>57</v>
      </c>
      <c r="AI67" s="78">
        <v>58</v>
      </c>
      <c r="AJ67" s="78">
        <v>59</v>
      </c>
      <c r="AK67" s="78">
        <v>60</v>
      </c>
      <c r="AL67" s="78">
        <v>61</v>
      </c>
      <c r="AM67" s="78">
        <v>62</v>
      </c>
      <c r="AN67" s="78"/>
      <c r="AO67" s="78"/>
      <c r="AP67" s="78"/>
      <c r="AQ67" s="10"/>
    </row>
    <row r="68" spans="1:43" x14ac:dyDescent="0.25">
      <c r="T68" s="10"/>
      <c r="U68" s="10"/>
      <c r="V68" s="10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>
        <v>63</v>
      </c>
      <c r="AH68" s="78">
        <v>64</v>
      </c>
      <c r="AI68" s="78">
        <v>65</v>
      </c>
      <c r="AJ68" s="78">
        <v>66</v>
      </c>
      <c r="AK68" s="78">
        <v>67</v>
      </c>
      <c r="AL68" s="78">
        <v>68</v>
      </c>
      <c r="AM68" s="78">
        <v>69</v>
      </c>
      <c r="AN68" s="78"/>
      <c r="AO68" s="78"/>
      <c r="AP68" s="78"/>
      <c r="AQ68" s="10"/>
    </row>
    <row r="69" spans="1:43" x14ac:dyDescent="0.25">
      <c r="A69" s="3" t="s">
        <v>126</v>
      </c>
      <c r="T69" s="10"/>
      <c r="U69" s="10"/>
      <c r="V69" s="10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>
        <v>70</v>
      </c>
      <c r="AH69" s="78">
        <v>71</v>
      </c>
      <c r="AI69" s="78">
        <v>72</v>
      </c>
      <c r="AJ69" s="78">
        <v>73</v>
      </c>
      <c r="AK69" s="78">
        <v>74</v>
      </c>
      <c r="AL69" s="78">
        <v>75</v>
      </c>
      <c r="AM69" s="78">
        <v>76</v>
      </c>
      <c r="AN69" s="78"/>
      <c r="AO69" s="78"/>
      <c r="AP69" s="78"/>
      <c r="AQ69" s="10"/>
    </row>
    <row r="70" spans="1:43" x14ac:dyDescent="0.25">
      <c r="A70" s="1">
        <v>20</v>
      </c>
      <c r="B70" s="5">
        <f>COUNTIF($AK$6:$AK$13,"&gt;" &amp; A70)</f>
        <v>0</v>
      </c>
      <c r="C70" s="3" t="s">
        <v>127</v>
      </c>
      <c r="E70" s="3" t="s">
        <v>128</v>
      </c>
      <c r="H70" s="1" t="s">
        <v>124</v>
      </c>
      <c r="T70" s="10"/>
      <c r="U70" s="10"/>
      <c r="V70" s="10"/>
      <c r="W70" s="78"/>
      <c r="X70" s="78"/>
      <c r="Y70" s="78"/>
      <c r="Z70" s="78"/>
      <c r="AA70" s="78"/>
      <c r="AB70" s="78"/>
      <c r="AC70" s="78"/>
      <c r="AD70" s="78"/>
      <c r="AE70" s="78"/>
      <c r="AF70" s="78"/>
      <c r="AG70" s="78">
        <v>77</v>
      </c>
      <c r="AH70" s="78">
        <v>78</v>
      </c>
      <c r="AI70" s="78">
        <v>79</v>
      </c>
      <c r="AJ70" s="78">
        <v>80</v>
      </c>
      <c r="AK70" s="78">
        <v>81</v>
      </c>
      <c r="AL70" s="78">
        <v>82</v>
      </c>
      <c r="AM70" s="78">
        <v>83</v>
      </c>
      <c r="AN70" s="78"/>
      <c r="AO70" s="78"/>
      <c r="AP70" s="78"/>
      <c r="AQ70" s="10"/>
    </row>
    <row r="71" spans="1:43" x14ac:dyDescent="0.25">
      <c r="W71" s="78"/>
      <c r="X71" s="78"/>
      <c r="Y71" s="78"/>
      <c r="Z71" s="78"/>
      <c r="AA71" s="78"/>
      <c r="AB71" s="78"/>
      <c r="AC71" s="78"/>
      <c r="AD71" s="78"/>
      <c r="AE71" s="78"/>
      <c r="AF71" s="78"/>
      <c r="AG71" s="78">
        <v>84</v>
      </c>
      <c r="AH71" s="78">
        <v>85</v>
      </c>
      <c r="AI71" s="78">
        <v>86</v>
      </c>
      <c r="AJ71" s="78">
        <v>87</v>
      </c>
      <c r="AK71" s="78">
        <v>88</v>
      </c>
      <c r="AL71" s="78">
        <v>89</v>
      </c>
      <c r="AM71" s="78">
        <v>90</v>
      </c>
      <c r="AN71" s="78"/>
      <c r="AO71" s="78"/>
      <c r="AP71" s="78"/>
    </row>
    <row r="72" spans="1:43" x14ac:dyDescent="0.25"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  <c r="AL72" s="78"/>
      <c r="AM72" s="78"/>
      <c r="AN72" s="78"/>
      <c r="AO72" s="78"/>
      <c r="AP72" s="78"/>
    </row>
    <row r="73" spans="1:43" x14ac:dyDescent="0.25">
      <c r="W73" s="78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8"/>
      <c r="AK73" s="78"/>
      <c r="AL73" s="78"/>
      <c r="AM73" s="78"/>
      <c r="AN73" s="78"/>
      <c r="AO73" s="78"/>
      <c r="AP73" s="78"/>
    </row>
    <row r="74" spans="1:43" x14ac:dyDescent="0.25"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78"/>
      <c r="AO74" s="78"/>
      <c r="AP74" s="78"/>
    </row>
    <row r="75" spans="1:43" x14ac:dyDescent="0.25"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  <c r="AK75" s="78"/>
      <c r="AL75" s="78"/>
      <c r="AM75" s="78"/>
      <c r="AN75" s="78"/>
      <c r="AO75" s="78"/>
      <c r="AP75" s="78"/>
    </row>
    <row r="76" spans="1:43" x14ac:dyDescent="0.25">
      <c r="W76" s="78"/>
      <c r="X76" s="78"/>
      <c r="Y76" s="78"/>
      <c r="Z76" s="78"/>
      <c r="AA76" s="78"/>
      <c r="AB76" s="78"/>
      <c r="AC76" s="78"/>
      <c r="AD76" s="78"/>
      <c r="AE76" s="78"/>
      <c r="AF76" s="78"/>
      <c r="AG76" s="78"/>
      <c r="AH76" s="78"/>
      <c r="AI76" s="78"/>
      <c r="AJ76" s="78"/>
      <c r="AK76" s="78"/>
      <c r="AL76" s="78"/>
      <c r="AM76" s="78"/>
      <c r="AN76" s="78"/>
      <c r="AO76" s="78"/>
      <c r="AP76" s="78"/>
    </row>
    <row r="77" spans="1:43" x14ac:dyDescent="0.25"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78"/>
      <c r="AK77" s="78"/>
      <c r="AL77" s="78"/>
      <c r="AM77" s="78"/>
      <c r="AN77" s="78"/>
      <c r="AO77" s="78"/>
      <c r="AP77" s="78"/>
    </row>
    <row r="78" spans="1:43" x14ac:dyDescent="0.25">
      <c r="W78" s="78"/>
      <c r="X78" s="78"/>
      <c r="Y78" s="78"/>
      <c r="Z78" s="78"/>
      <c r="AA78" s="78"/>
      <c r="AB78" s="78"/>
      <c r="AC78" s="78"/>
      <c r="AD78" s="78"/>
      <c r="AE78" s="78"/>
      <c r="AF78" s="78"/>
      <c r="AG78" s="78"/>
      <c r="AH78" s="78"/>
      <c r="AI78" s="78"/>
      <c r="AJ78" s="78"/>
      <c r="AK78" s="78"/>
      <c r="AL78" s="78"/>
      <c r="AM78" s="78"/>
      <c r="AN78" s="78"/>
      <c r="AO78" s="78"/>
      <c r="AP78" s="78"/>
    </row>
    <row r="79" spans="1:43" x14ac:dyDescent="0.25">
      <c r="W79" s="78"/>
      <c r="X79" s="78"/>
      <c r="Y79" s="78"/>
      <c r="Z79" s="78"/>
      <c r="AA79" s="78"/>
      <c r="AB79" s="78"/>
      <c r="AC79" s="78"/>
      <c r="AD79" s="78"/>
      <c r="AE79" s="78"/>
      <c r="AF79" s="78"/>
      <c r="AG79" s="78"/>
      <c r="AH79" s="78"/>
      <c r="AI79" s="78"/>
      <c r="AJ79" s="78"/>
      <c r="AK79" s="78"/>
      <c r="AL79" s="78"/>
      <c r="AM79" s="78"/>
      <c r="AN79" s="78"/>
      <c r="AO79" s="78"/>
      <c r="AP79" s="78"/>
    </row>
    <row r="80" spans="1:43" x14ac:dyDescent="0.25">
      <c r="W80" s="78"/>
      <c r="X80" s="78"/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  <c r="AJ80" s="78"/>
      <c r="AK80" s="78"/>
      <c r="AL80" s="78"/>
      <c r="AM80" s="78"/>
      <c r="AN80" s="78"/>
      <c r="AO80" s="78"/>
      <c r="AP80" s="78"/>
    </row>
    <row r="81" spans="1:42" x14ac:dyDescent="0.25"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  <c r="AJ81" s="78"/>
      <c r="AK81" s="78"/>
      <c r="AL81" s="78"/>
      <c r="AM81" s="78"/>
      <c r="AN81" s="78"/>
      <c r="AO81" s="78"/>
      <c r="AP81" s="78"/>
    </row>
    <row r="82" spans="1:42" x14ac:dyDescent="0.25"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8"/>
      <c r="AH82" s="78"/>
      <c r="AI82" s="78"/>
      <c r="AJ82" s="78"/>
      <c r="AK82" s="78"/>
      <c r="AL82" s="78"/>
      <c r="AM82" s="78"/>
      <c r="AN82" s="78"/>
      <c r="AO82" s="78"/>
      <c r="AP82" s="78"/>
    </row>
    <row r="83" spans="1:42" x14ac:dyDescent="0.25"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</row>
    <row r="84" spans="1:42" x14ac:dyDescent="0.25"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</row>
    <row r="85" spans="1:42" x14ac:dyDescent="0.25"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</row>
    <row r="86" spans="1:42" x14ac:dyDescent="0.25"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8"/>
      <c r="AO86" s="78"/>
      <c r="AP86" s="78"/>
    </row>
    <row r="87" spans="1:42" x14ac:dyDescent="0.25"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  <c r="AN87" s="78"/>
      <c r="AO87" s="78"/>
      <c r="AP87" s="78"/>
    </row>
    <row r="95" spans="1:42" ht="13" x14ac:dyDescent="0.3">
      <c r="A95" s="4"/>
    </row>
  </sheetData>
  <sheetProtection algorithmName="SHA-512" hashValue="Gm+zWytoGapJGyBppEJGyeU4Qryr7YHOl0DamH9wd/eHyZQaf/lq0Y9vRjhKu3Tev7Vg8/WVsQtTolvwBhGqlA==" saltValue="nU09VRhIa+EqCUkXIDQ2Cw==" spinCount="100000" sheet="1" objects="1" scenarios="1"/>
  <mergeCells count="27">
    <mergeCell ref="A1:C1"/>
    <mergeCell ref="H1:L1"/>
    <mergeCell ref="A2:C2"/>
    <mergeCell ref="A3:C3"/>
    <mergeCell ref="B4:F4"/>
    <mergeCell ref="G4:J4"/>
    <mergeCell ref="L4:O4"/>
    <mergeCell ref="I2:J2"/>
    <mergeCell ref="Q4:T4"/>
    <mergeCell ref="V4:Y4"/>
    <mergeCell ref="AA4:AD4"/>
    <mergeCell ref="AF4:AI4"/>
    <mergeCell ref="AG39:AK39"/>
    <mergeCell ref="A28:C28"/>
    <mergeCell ref="A29:C29"/>
    <mergeCell ref="A30:C30"/>
    <mergeCell ref="D32:E32"/>
    <mergeCell ref="H32:I32"/>
    <mergeCell ref="A37:C37"/>
    <mergeCell ref="D31:E31"/>
    <mergeCell ref="H31:I31"/>
    <mergeCell ref="A36:E36"/>
    <mergeCell ref="N32:O32"/>
    <mergeCell ref="A33:C33"/>
    <mergeCell ref="G33:H33"/>
    <mergeCell ref="A34:B34"/>
    <mergeCell ref="N31:O31"/>
  </mergeCells>
  <conditionalFormatting sqref="A6:A17">
    <cfRule type="cellIs" dxfId="140" priority="363" operator="equal">
      <formula>0</formula>
    </cfRule>
  </conditionalFormatting>
  <conditionalFormatting sqref="A37">
    <cfRule type="cellIs" dxfId="139" priority="243" operator="notEqual">
      <formula>$E$2</formula>
    </cfRule>
    <cfRule type="cellIs" dxfId="138" priority="244" operator="equal">
      <formula>$E$2</formula>
    </cfRule>
  </conditionalFormatting>
  <conditionalFormatting sqref="A32:D32 F32:H32 C34">
    <cfRule type="cellIs" dxfId="137" priority="241" operator="notEqual">
      <formula>$E$3</formula>
    </cfRule>
    <cfRule type="cellIs" dxfId="136" priority="242" operator="equal">
      <formula>$E$3</formula>
    </cfRule>
  </conditionalFormatting>
  <conditionalFormatting sqref="B6:D17">
    <cfRule type="expression" dxfId="135" priority="112">
      <formula>$A6=0</formula>
    </cfRule>
  </conditionalFormatting>
  <conditionalFormatting sqref="E6:E17">
    <cfRule type="expression" dxfId="134" priority="116">
      <formula>AND($H$67="ja",E6&gt;$A$67)</formula>
    </cfRule>
    <cfRule type="cellIs" dxfId="133" priority="117" operator="greaterThanOrEqual">
      <formula>0</formula>
    </cfRule>
  </conditionalFormatting>
  <conditionalFormatting sqref="F6:F17">
    <cfRule type="cellIs" dxfId="132" priority="31" operator="lessThan">
      <formula>$A$45</formula>
    </cfRule>
    <cfRule type="cellIs" dxfId="131" priority="32" operator="equal">
      <formula>0</formula>
    </cfRule>
    <cfRule type="cellIs" dxfId="130" priority="33" operator="notEqual">
      <formula>0</formula>
    </cfRule>
  </conditionalFormatting>
  <conditionalFormatting sqref="G6:I17">
    <cfRule type="expression" dxfId="129" priority="52">
      <formula>$A6=0</formula>
    </cfRule>
  </conditionalFormatting>
  <conditionalFormatting sqref="J6:J17">
    <cfRule type="expression" dxfId="128" priority="104">
      <formula>AND($H$67="ja",J6&gt;$A$67)</formula>
    </cfRule>
    <cfRule type="cellIs" dxfId="127" priority="105" operator="greaterThanOrEqual">
      <formula>0</formula>
    </cfRule>
  </conditionalFormatting>
  <conditionalFormatting sqref="J32:N32">
    <cfRule type="cellIs" dxfId="126" priority="239" operator="notEqual">
      <formula>$E$3</formula>
    </cfRule>
    <cfRule type="cellIs" dxfId="125" priority="240" operator="equal">
      <formula>$E$3</formula>
    </cfRule>
  </conditionalFormatting>
  <conditionalFormatting sqref="K6:K17">
    <cfRule type="cellIs" dxfId="124" priority="28" operator="lessThan">
      <formula>$A$45</formula>
    </cfRule>
    <cfRule type="cellIs" dxfId="123" priority="29" operator="equal">
      <formula>0</formula>
    </cfRule>
    <cfRule type="cellIs" dxfId="122" priority="30" operator="notEqual">
      <formula>0</formula>
    </cfRule>
  </conditionalFormatting>
  <conditionalFormatting sqref="L6:N17">
    <cfRule type="expression" dxfId="121" priority="48">
      <formula>$A6=0</formula>
    </cfRule>
  </conditionalFormatting>
  <conditionalFormatting sqref="O6:O17">
    <cfRule type="cellIs" dxfId="120" priority="97" operator="greaterThanOrEqual">
      <formula>0</formula>
    </cfRule>
    <cfRule type="expression" dxfId="119" priority="96">
      <formula>AND($H$67="ja",O6&gt;$A$67)</formula>
    </cfRule>
  </conditionalFormatting>
  <conditionalFormatting sqref="P6:P17">
    <cfRule type="cellIs" dxfId="118" priority="22" operator="lessThan">
      <formula>$A$45</formula>
    </cfRule>
    <cfRule type="cellIs" dxfId="117" priority="23" operator="equal">
      <formula>0</formula>
    </cfRule>
    <cfRule type="cellIs" dxfId="116" priority="24" operator="notEqual">
      <formula>0</formula>
    </cfRule>
  </conditionalFormatting>
  <conditionalFormatting sqref="Q6:S17">
    <cfRule type="expression" dxfId="115" priority="47">
      <formula>$A6=0</formula>
    </cfRule>
  </conditionalFormatting>
  <conditionalFormatting sqref="T6:T17">
    <cfRule type="cellIs" dxfId="114" priority="89" operator="greaterThanOrEqual">
      <formula>0</formula>
    </cfRule>
    <cfRule type="expression" dxfId="113" priority="88">
      <formula>AND($H$67="ja",T6&gt;$A$67)</formula>
    </cfRule>
  </conditionalFormatting>
  <conditionalFormatting sqref="U6:U17">
    <cfRule type="cellIs" dxfId="112" priority="17" operator="equal">
      <formula>0</formula>
    </cfRule>
    <cfRule type="cellIs" dxfId="111" priority="16" operator="lessThan">
      <formula>$A$45</formula>
    </cfRule>
    <cfRule type="cellIs" dxfId="110" priority="18" operator="notEqual">
      <formula>0</formula>
    </cfRule>
  </conditionalFormatting>
  <conditionalFormatting sqref="V6:X17">
    <cfRule type="expression" dxfId="109" priority="46">
      <formula>$A6=0</formula>
    </cfRule>
  </conditionalFormatting>
  <conditionalFormatting sqref="Y6:Y17 AD6:AD17 AI6:AI17">
    <cfRule type="expression" dxfId="108" priority="59">
      <formula>AND($H$67="ja",Y6&gt;$A$67)</formula>
    </cfRule>
    <cfRule type="cellIs" dxfId="107" priority="60" operator="greaterThanOrEqual">
      <formula>0</formula>
    </cfRule>
  </conditionalFormatting>
  <conditionalFormatting sqref="Z6:Z17">
    <cfRule type="cellIs" dxfId="106" priority="11" operator="equal">
      <formula>0</formula>
    </cfRule>
    <cfRule type="cellIs" dxfId="105" priority="10" operator="lessThan">
      <formula>$A$45</formula>
    </cfRule>
    <cfRule type="cellIs" dxfId="104" priority="12" operator="notEqual">
      <formula>0</formula>
    </cfRule>
  </conditionalFormatting>
  <conditionalFormatting sqref="AA6:AC17">
    <cfRule type="expression" dxfId="103" priority="43">
      <formula>$A6=0</formula>
    </cfRule>
  </conditionalFormatting>
  <conditionalFormatting sqref="AE6:AE17">
    <cfRule type="cellIs" dxfId="102" priority="5" operator="equal">
      <formula>0</formula>
    </cfRule>
    <cfRule type="cellIs" dxfId="101" priority="4" operator="lessThan">
      <formula>$A$45</formula>
    </cfRule>
    <cfRule type="cellIs" dxfId="100" priority="6" operator="notEqual">
      <formula>0</formula>
    </cfRule>
  </conditionalFormatting>
  <conditionalFormatting sqref="AF6:AH17">
    <cfRule type="expression" dxfId="99" priority="34">
      <formula>$A6=0</formula>
    </cfRule>
  </conditionalFormatting>
  <conditionalFormatting sqref="AJ6:AJ17">
    <cfRule type="cellIs" dxfId="98" priority="3" operator="notEqual">
      <formula>0</formula>
    </cfRule>
    <cfRule type="cellIs" dxfId="97" priority="2" operator="equal">
      <formula>0</formula>
    </cfRule>
    <cfRule type="cellIs" dxfId="96" priority="1" operator="lessThan">
      <formula>$A$45</formula>
    </cfRule>
  </conditionalFormatting>
  <conditionalFormatting sqref="AK6:AK17">
    <cfRule type="expression" dxfId="95" priority="58">
      <formula>AND($H$70="ja",AK6&gt;$A$70)</formula>
    </cfRule>
    <cfRule type="cellIs" dxfId="94" priority="61" operator="greaterThanOrEqual">
      <formula>0</formula>
    </cfRule>
  </conditionalFormatting>
  <dataValidations count="2">
    <dataValidation type="list" showInputMessage="1" showErrorMessage="1" promptTitle="Velg Turnus startdag" prompt="Velg hvilken dag turnusen starte å telle ifra. (Typisk Mandag)" sqref="E1" xr:uid="{00000000-0002-0000-1800-000000000000}">
      <formula1>Ukedager</formula1>
    </dataValidation>
    <dataValidation type="list" allowBlank="1" showInputMessage="1" showErrorMessage="1" sqref="H67 H70" xr:uid="{00000000-0002-0000-1800-000001000000}">
      <formula1>Ja_og_nei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8"/>
  <dimension ref="A1:AQ95"/>
  <sheetViews>
    <sheetView zoomScale="85" zoomScaleNormal="85" workbookViewId="0">
      <pane ySplit="24" topLeftCell="A25" activePane="bottomLeft" state="frozen"/>
      <selection pane="bottomLeft" activeCell="D11" sqref="D11"/>
    </sheetView>
  </sheetViews>
  <sheetFormatPr defaultColWidth="9.08984375" defaultRowHeight="12.5" x14ac:dyDescent="0.25"/>
  <cols>
    <col min="1" max="1" width="10.7265625" style="3" customWidth="1"/>
    <col min="2" max="2" width="7.6328125" style="3" customWidth="1"/>
    <col min="3" max="3" width="7.81640625" style="3" customWidth="1"/>
    <col min="4" max="4" width="4.36328125" style="3" bestFit="1" customWidth="1"/>
    <col min="5" max="6" width="10" style="3" customWidth="1"/>
    <col min="7" max="7" width="7" style="3" customWidth="1"/>
    <col min="8" max="8" width="7.6328125" style="3" customWidth="1"/>
    <col min="9" max="9" width="4.36328125" style="3" bestFit="1" customWidth="1"/>
    <col min="10" max="11" width="10" style="3" customWidth="1"/>
    <col min="12" max="12" width="7.26953125" style="3" customWidth="1"/>
    <col min="13" max="13" width="7.7265625" style="3" customWidth="1"/>
    <col min="14" max="14" width="4.36328125" style="3" bestFit="1" customWidth="1"/>
    <col min="15" max="15" width="10.08984375" style="3" bestFit="1" customWidth="1"/>
    <col min="16" max="16" width="10.08984375" style="3" customWidth="1"/>
    <col min="17" max="17" width="7.6328125" style="3" customWidth="1"/>
    <col min="18" max="18" width="7.7265625" style="3" customWidth="1"/>
    <col min="19" max="19" width="4.36328125" style="3" bestFit="1" customWidth="1"/>
    <col min="20" max="20" width="10.08984375" style="3" bestFit="1" customWidth="1"/>
    <col min="21" max="21" width="10.08984375" style="3" customWidth="1"/>
    <col min="22" max="22" width="8.36328125" style="3" customWidth="1"/>
    <col min="23" max="23" width="8.81640625" style="3" customWidth="1"/>
    <col min="24" max="24" width="4.36328125" style="3" bestFit="1" customWidth="1"/>
    <col min="25" max="26" width="10" style="3" customWidth="1"/>
    <col min="27" max="28" width="7.81640625" style="3" customWidth="1"/>
    <col min="29" max="29" width="4.36328125" style="3" bestFit="1" customWidth="1"/>
    <col min="30" max="31" width="9.7265625" style="3" customWidth="1"/>
    <col min="32" max="32" width="6.81640625" style="3" customWidth="1"/>
    <col min="33" max="33" width="7.6328125" style="3" customWidth="1"/>
    <col min="34" max="34" width="4.36328125" style="3" bestFit="1" customWidth="1"/>
    <col min="35" max="36" width="9.6328125" style="3" customWidth="1"/>
    <col min="37" max="37" width="15.6328125" style="3" bestFit="1" customWidth="1"/>
    <col min="38" max="16384" width="9.08984375" style="3"/>
  </cols>
  <sheetData>
    <row r="1" spans="1:39" ht="13" x14ac:dyDescent="0.3">
      <c r="A1" s="98" t="s">
        <v>66</v>
      </c>
      <c r="B1" s="98"/>
      <c r="C1" s="98"/>
      <c r="D1" s="88"/>
      <c r="E1" s="5" t="str">
        <f>Vaktplan!G38</f>
        <v>mandag</v>
      </c>
      <c r="H1" s="98" t="s">
        <v>67</v>
      </c>
      <c r="I1" s="98"/>
      <c r="J1" s="98"/>
      <c r="K1" s="98"/>
      <c r="L1" s="98"/>
      <c r="M1" s="5">
        <f>Vaktplan!AJ64</f>
        <v>12</v>
      </c>
    </row>
    <row r="2" spans="1:39" ht="13" x14ac:dyDescent="0.3">
      <c r="A2" s="98" t="s">
        <v>36</v>
      </c>
      <c r="B2" s="98"/>
      <c r="C2" s="98"/>
      <c r="D2" s="88"/>
      <c r="E2" s="8">
        <f>Vaktplan!AM64</f>
        <v>0</v>
      </c>
      <c r="I2" s="106"/>
      <c r="J2" s="106"/>
    </row>
    <row r="3" spans="1:39" ht="13" x14ac:dyDescent="0.3">
      <c r="A3" s="98" t="s">
        <v>68</v>
      </c>
      <c r="B3" s="98"/>
      <c r="C3" s="98"/>
      <c r="D3" s="88"/>
      <c r="E3" s="5">
        <f>Vaktplan!AQ64</f>
        <v>0</v>
      </c>
      <c r="F3" s="4" t="s">
        <v>69</v>
      </c>
    </row>
    <row r="4" spans="1:39" ht="13" x14ac:dyDescent="0.3">
      <c r="A4" s="89" t="s">
        <v>70</v>
      </c>
      <c r="B4" s="103" t="str">
        <f>TEXT(AG39,"DDDD")</f>
        <v>Monday</v>
      </c>
      <c r="C4" s="104"/>
      <c r="D4" s="104"/>
      <c r="E4" s="104"/>
      <c r="F4" s="105"/>
      <c r="G4" s="102" t="str">
        <f>TEXT($AG$39+1,"DDDD")</f>
        <v>Tuesday</v>
      </c>
      <c r="H4" s="102"/>
      <c r="I4" s="102"/>
      <c r="J4" s="102"/>
      <c r="K4" s="89"/>
      <c r="L4" s="102" t="str">
        <f>TEXT($AG$39+2,"DDDD")</f>
        <v>Wednesday</v>
      </c>
      <c r="M4" s="102"/>
      <c r="N4" s="102"/>
      <c r="O4" s="102"/>
      <c r="P4" s="89"/>
      <c r="Q4" s="102" t="str">
        <f>TEXT($AG$39+3,"DDDD")</f>
        <v>Thursday</v>
      </c>
      <c r="R4" s="102"/>
      <c r="S4" s="102"/>
      <c r="T4" s="102"/>
      <c r="U4" s="89"/>
      <c r="V4" s="102" t="str">
        <f>TEXT($AG$39+4,"DDDD")</f>
        <v>Friday</v>
      </c>
      <c r="W4" s="102"/>
      <c r="X4" s="102"/>
      <c r="Y4" s="102"/>
      <c r="Z4" s="89"/>
      <c r="AA4" s="102" t="str">
        <f>TEXT($AG$39+5,"DDDD")</f>
        <v>Saturday</v>
      </c>
      <c r="AB4" s="102"/>
      <c r="AC4" s="102"/>
      <c r="AD4" s="102"/>
      <c r="AE4" s="89"/>
      <c r="AF4" s="102" t="str">
        <f>TEXT($AG$39+6,"DDDD")</f>
        <v>Sunday</v>
      </c>
      <c r="AG4" s="102"/>
      <c r="AH4" s="102"/>
      <c r="AI4" s="102"/>
      <c r="AJ4" s="89"/>
      <c r="AK4" s="7" t="s">
        <v>71</v>
      </c>
      <c r="AL4" s="91"/>
    </row>
    <row r="5" spans="1:39" x14ac:dyDescent="0.25">
      <c r="A5" s="6"/>
      <c r="B5" s="6" t="s">
        <v>72</v>
      </c>
      <c r="C5" s="6" t="s">
        <v>73</v>
      </c>
      <c r="D5" s="6" t="s">
        <v>55</v>
      </c>
      <c r="E5" s="6" t="s">
        <v>74</v>
      </c>
      <c r="F5" s="6" t="s">
        <v>75</v>
      </c>
      <c r="G5" s="6" t="s">
        <v>72</v>
      </c>
      <c r="H5" s="6" t="s">
        <v>73</v>
      </c>
      <c r="I5" s="6" t="s">
        <v>55</v>
      </c>
      <c r="J5" s="6" t="s">
        <v>74</v>
      </c>
      <c r="K5" s="6" t="s">
        <v>75</v>
      </c>
      <c r="L5" s="6" t="s">
        <v>72</v>
      </c>
      <c r="M5" s="6" t="s">
        <v>73</v>
      </c>
      <c r="N5" s="6" t="s">
        <v>55</v>
      </c>
      <c r="O5" s="6" t="s">
        <v>74</v>
      </c>
      <c r="P5" s="6" t="s">
        <v>75</v>
      </c>
      <c r="Q5" s="6" t="s">
        <v>72</v>
      </c>
      <c r="R5" s="6" t="s">
        <v>73</v>
      </c>
      <c r="S5" s="6" t="s">
        <v>55</v>
      </c>
      <c r="T5" s="6" t="s">
        <v>74</v>
      </c>
      <c r="U5" s="6" t="s">
        <v>75</v>
      </c>
      <c r="V5" s="6" t="s">
        <v>72</v>
      </c>
      <c r="W5" s="6" t="s">
        <v>73</v>
      </c>
      <c r="X5" s="6" t="s">
        <v>55</v>
      </c>
      <c r="Y5" s="6" t="s">
        <v>74</v>
      </c>
      <c r="Z5" s="6" t="s">
        <v>75</v>
      </c>
      <c r="AA5" s="6" t="s">
        <v>72</v>
      </c>
      <c r="AB5" s="6" t="s">
        <v>73</v>
      </c>
      <c r="AC5" s="6" t="s">
        <v>55</v>
      </c>
      <c r="AD5" s="6" t="s">
        <v>74</v>
      </c>
      <c r="AE5" s="6" t="s">
        <v>75</v>
      </c>
      <c r="AF5" s="6" t="s">
        <v>72</v>
      </c>
      <c r="AG5" s="6" t="s">
        <v>73</v>
      </c>
      <c r="AH5" s="6" t="s">
        <v>55</v>
      </c>
      <c r="AI5" s="6" t="s">
        <v>74</v>
      </c>
      <c r="AJ5" s="6" t="s">
        <v>75</v>
      </c>
      <c r="AK5" s="6"/>
      <c r="AL5" s="91"/>
    </row>
    <row r="6" spans="1:39" ht="13" x14ac:dyDescent="0.25">
      <c r="A6" s="7">
        <f>IF(M1&gt;=1,1,0)</f>
        <v>1</v>
      </c>
      <c r="B6" s="77">
        <f>IFERROR(VLOOKUP(Vaktplan!$A$64,Vaktplan!$A$4:$CL$35,87-AH59,FALSE),0)</f>
        <v>0</v>
      </c>
      <c r="C6" s="77">
        <f>IFERROR(VLOOKUP(Vaktplan!$A$64,Vaktplan!$A$4:$CL$35,87-AG59,FALSE),0)</f>
        <v>0</v>
      </c>
      <c r="D6" s="9">
        <f>IFERROR(VLOOKUP(Vaktplan!$A$64,Vaktplan!$A$4:$CL$35,89-AG59,FALSE),0)</f>
        <v>0</v>
      </c>
      <c r="E6" s="9">
        <f>IF(AND(B6=0,C6=0),0,IF(B6&lt;C6,((C6-B6)*24)-D6,(((1-B6)+C6)*24)-D6))</f>
        <v>0</v>
      </c>
      <c r="F6" s="9">
        <f>IF(AND(C6=0,G6=0),24,IF(C6=0,12+(G6*24),IF(C6&lt;G6,((G6-C6)*24),IF(G6=0,(1-C6+0.5)*24,((1-C6)+G6)*24))))</f>
        <v>24</v>
      </c>
      <c r="G6" s="77">
        <f>IFERROR(VLOOKUP(Vaktplan!$A$64,Vaktplan!$B$4:$CL$35,86-AH59,FALSE),0)</f>
        <v>0</v>
      </c>
      <c r="H6" s="77">
        <f>IFERROR(VLOOKUP(Vaktplan!$A$64,Vaktplan!$B$4:$CL$35,86-AG59,FALSE),0)</f>
        <v>0</v>
      </c>
      <c r="I6" s="9">
        <f>IFERROR(VLOOKUP(Vaktplan!$A$64,Vaktplan!$B$4:$CL$35,89-$AH59,FALSE),0)</f>
        <v>0</v>
      </c>
      <c r="J6" s="9">
        <f>IF(AND(G6=0,H6=0),0,IF(G6&lt;H6,((H6-G6)*24)-I6,(((1-G6)+H6)*24)-I6))</f>
        <v>0</v>
      </c>
      <c r="K6" s="9">
        <f>IF(AND(H6=0,L6=0),24,IF(H6=0,12+(L6*24),IF(H6&lt;L6,((L6-H6)*24),IF(L6=0,(1-H6+0.5)*24,((1-H6)+L6)*24))))</f>
        <v>24</v>
      </c>
      <c r="L6" s="77">
        <f>IFERROR(VLOOKUP(Vaktplan!$A$64,Vaktplan!$C$4:$CL$35,86-AI59,FALSE),0)</f>
        <v>0</v>
      </c>
      <c r="M6" s="77">
        <f>IFERROR(VLOOKUP(Vaktplan!$A$64,Vaktplan!$C$4:$CL$35,86-AH59,FALSE),0)</f>
        <v>0</v>
      </c>
      <c r="N6" s="9">
        <f>IFERROR(VLOOKUP(Vaktplan!$A$64,Vaktplan!$C$4:$CL$35,89-$AI59,FALSE),0)</f>
        <v>0</v>
      </c>
      <c r="O6" s="9">
        <f>IF(AND(L6=0,M6=0),0,IF(L6&lt;M6,((M6-L6)*24)-N6,(((1-L6)+M6)*24)-N6))</f>
        <v>0</v>
      </c>
      <c r="P6" s="9">
        <f>IF(AND(M6=0,Q6=0),24,IF(M6=0,12+(Q6*24),IF(M6&lt;Q6,((Q6-M6)*24),IF(Q6=0,(1-M6+0.5)*24,((1-M6)+Q6)*24))))</f>
        <v>24</v>
      </c>
      <c r="Q6" s="77">
        <f>IFERROR(VLOOKUP(Vaktplan!$A$64,Vaktplan!$D$4:$CL$35,86-AJ59,FALSE),0)</f>
        <v>0</v>
      </c>
      <c r="R6" s="77">
        <f>IFERROR(VLOOKUP(Vaktplan!$A$64,Vaktplan!$D$4:$CL$35,86-AI59,FALSE),0)</f>
        <v>0</v>
      </c>
      <c r="S6" s="9">
        <f>IFERROR(VLOOKUP(Vaktplan!$A$64,Vaktplan!$D$4:$CL$35,89-$AJ59,FALSE),0)</f>
        <v>0</v>
      </c>
      <c r="T6" s="9">
        <f t="shared" ref="T6:T17" si="0">IF(AND(Q6=0,R6=0),0,IF(Q6&lt;R6,((R6-Q6)*24)-S6,(((1-Q6)+R6)*24)-S6))</f>
        <v>0</v>
      </c>
      <c r="U6" s="9">
        <f>IF(AND(R6=0,V6=0),24,IF(R6=0,12+(V6*24),IF(R6&lt;V6,((V6-R6)*24),IF(V6=0,(1-R6+0.5)*24,((1-R6)+V6)*24))))</f>
        <v>24</v>
      </c>
      <c r="V6" s="77">
        <f>IFERROR(VLOOKUP(Vaktplan!$A$64,Vaktplan!$E$4:$CL$35,86-AK59,FALSE),0)</f>
        <v>0</v>
      </c>
      <c r="W6" s="77">
        <f>IFERROR(VLOOKUP(Vaktplan!$A$64,Vaktplan!$E$4:$CL$35,86-AJ59,FALSE),0)</f>
        <v>0</v>
      </c>
      <c r="X6" s="9">
        <f>IFERROR(VLOOKUP(Vaktplan!$A$64,Vaktplan!$E$4:$CL$35,89-$AK59,FALSE),0)</f>
        <v>0</v>
      </c>
      <c r="Y6" s="9">
        <f>IF(AND(V6=0,W6=0),0,IF(V6&lt;W6,((W6-V6)*24)-X6,(((1-V6)+W6)*24)-X6))</f>
        <v>0</v>
      </c>
      <c r="Z6" s="9">
        <f>IF(AND(W6=0,AA6=0),24,IF(W6=0,12+(AA6*24),IF(W6&lt;AA6,((AA6-W6)*24),IF(AA6=0,(1-W6+0.5)*24,((1-W6)+AA6)*24))))</f>
        <v>24</v>
      </c>
      <c r="AA6" s="77">
        <f>IFERROR(VLOOKUP(Vaktplan!$A$64,Vaktplan!$F$4:$CL$35,86-AL59,FALSE),0)</f>
        <v>0</v>
      </c>
      <c r="AB6" s="77">
        <f>IFERROR(VLOOKUP(Vaktplan!$A$64,Vaktplan!$F$4:$CL$35,86-AK59,FALSE),0)</f>
        <v>0</v>
      </c>
      <c r="AC6" s="9">
        <f>IFERROR(VLOOKUP(Vaktplan!$A$64,Vaktplan!$F$4:$CL$35,89-$AL59,FALSE),0)</f>
        <v>0</v>
      </c>
      <c r="AD6" s="9">
        <f>IF(AND(AA6=0,AB6=0),0,IF(AA6&lt;AB6,((AB6-AA6)*24)-AC6,(((1-AA6)+AB6)*24)-AC6))</f>
        <v>0</v>
      </c>
      <c r="AE6" s="9">
        <f>IF(AND(AB6=0,AF6=0),24,IF(AB6=0,12+(AF6*24),IF(AB6&lt;AF6,((AF6-AB6)*24),IF(AF6=0,(1-AB6+0.5)*24,((1-AB6)+AF6)*24))))</f>
        <v>24</v>
      </c>
      <c r="AF6" s="77">
        <f>IFERROR(VLOOKUP(Vaktplan!$A$64,Vaktplan!$G$4:$CL$35,86-AM59,FALSE),0)</f>
        <v>0</v>
      </c>
      <c r="AG6" s="77">
        <f>IFERROR(VLOOKUP(Vaktplan!$A$64,Vaktplan!$G$4:$CL$35,86-AL59,FALSE),0)</f>
        <v>0</v>
      </c>
      <c r="AH6" s="9">
        <f>IFERROR(VLOOKUP(Vaktplan!$A$64,Vaktplan!$G$4:$CL$35,89-$AM59,FALSE),0)</f>
        <v>0</v>
      </c>
      <c r="AI6" s="9">
        <f>IF(AND(AF6=0,AG6=0),0,IF(AF6&lt;AG6,((AG6-AF6)*24)-AH6,(((1-AF6)+AG6)*24)-AH6))</f>
        <v>0</v>
      </c>
      <c r="AJ6" s="9">
        <f>IF($M$1=AL28,IF(AND(AG6=0,B6=0),24,IF(AG6=0,12+($B$6*24),IF(AG6&lt;$B$6,(($B$6-AG6)*24),IF($B$6=0,(1-AG6+1)*24,((1-AG6)+$B$6)*24)))),IF(AND(AG6=0,B7=0),24,IF(AG6=0,12+(B7*24),IF(AG6&lt;B7,((B7-AG6)*24),IF(B7=0,(1-AG6+1)*24,((1-AG6)+B7)*24)))))</f>
        <v>24</v>
      </c>
      <c r="AK6" s="9">
        <f t="shared" ref="AK6:AK17" si="1">E6+J6+O6+T6+Y6+AD6+AI6</f>
        <v>0</v>
      </c>
      <c r="AL6" s="92">
        <f>AJ6</f>
        <v>24</v>
      </c>
      <c r="AM6" s="10">
        <f>AK6</f>
        <v>0</v>
      </c>
    </row>
    <row r="7" spans="1:39" ht="13" x14ac:dyDescent="0.25">
      <c r="A7" s="7">
        <f>IF($M$1&gt;=2,2,0)</f>
        <v>2</v>
      </c>
      <c r="B7" s="77">
        <f>IFERROR(VLOOKUP(Vaktplan!$A$64,Vaktplan!$H$4:$CL$35,87-AH60,FALSE),0)</f>
        <v>0</v>
      </c>
      <c r="C7" s="77">
        <f>IFERROR(VLOOKUP(Vaktplan!$A$64,Vaktplan!$H$4:$CL$35,87-AG60,FALSE),0)</f>
        <v>0</v>
      </c>
      <c r="D7" s="9">
        <f>IFERROR(VLOOKUP(Vaktplan!$A$64,Vaktplan!$H$4:$CL$35,89-AG60,FALSE),0)</f>
        <v>0</v>
      </c>
      <c r="E7" s="9">
        <f>IF(AND(B7=0,C7=0),0,IF(B7&lt;C7,((C7-B7)*24)-D7,(((1-B7)+C7)*24)-D7))</f>
        <v>0</v>
      </c>
      <c r="F7" s="9">
        <f t="shared" ref="F7:F17" si="2">IF(AND(C7=0,G7=0),24,IF(C7=0,12+(G7*24),IF(C7&lt;G7,((G7-C7)*24),IF(G7=0,(1-C7+0.5)*24,((1-C7)+G7)*24))))</f>
        <v>24</v>
      </c>
      <c r="G7" s="77">
        <f>IFERROR(VLOOKUP(Vaktplan!$A$64,Vaktplan!$I$4:$CL$35,86-AH60,FALSE),0)</f>
        <v>0</v>
      </c>
      <c r="H7" s="77">
        <f>IFERROR(VLOOKUP(Vaktplan!$A$64,Vaktplan!$I$4:$CL$35,86-AG60,FALSE),0)</f>
        <v>0</v>
      </c>
      <c r="I7" s="9">
        <f>IFERROR(VLOOKUP(Vaktplan!$A$64,Vaktplan!$I$4:$CL$35,89-$AH60,FALSE),0)</f>
        <v>0</v>
      </c>
      <c r="J7" s="9">
        <f t="shared" ref="J7:J17" si="3">IF(AND(G7=0,H7=0),0,IF(G7&lt;H7,((H7-G7)*24)-I7,(((1-G7)+H7)*24)-I7))</f>
        <v>0</v>
      </c>
      <c r="K7" s="9">
        <f t="shared" ref="K7:K17" si="4">IF(AND(H7=0,L7=0),24,IF(H7=0,12+(L7*24),IF(H7&lt;L7,((L7-H7)*24),IF(L7=0,(1-H7+0.5)*24,((1-H7)+L7)*24))))</f>
        <v>24</v>
      </c>
      <c r="L7" s="77">
        <f>IFERROR(VLOOKUP(Vaktplan!$A$64,Vaktplan!$J$4:$CL$35,86-AI60,FALSE),0)</f>
        <v>0</v>
      </c>
      <c r="M7" s="77">
        <f>IFERROR(VLOOKUP(Vaktplan!$A$64,Vaktplan!$J$4:$CL$35,86-AH60,FALSE),0)</f>
        <v>0</v>
      </c>
      <c r="N7" s="9">
        <f>IFERROR(VLOOKUP(Vaktplan!$A$64,Vaktplan!$J$4:$CL$35,89-$AI60,FALSE),0)</f>
        <v>0</v>
      </c>
      <c r="O7" s="9">
        <f t="shared" ref="O7:O17" si="5">IF(AND(L7=0,M7=0),0,IF(L7&lt;M7,((M7-L7)*24)-N7,(((1-L7)+M7)*24)-N7))</f>
        <v>0</v>
      </c>
      <c r="P7" s="9">
        <f t="shared" ref="P7:P17" si="6">IF(AND(M7=0,Q7=0),24,IF(M7=0,12+(Q7*24),IF(M7&lt;Q7,((Q7-M7)*24),IF(Q7=0,(1-M7+0.5)*24,((1-M7)+Q7)*24))))</f>
        <v>24</v>
      </c>
      <c r="Q7" s="77">
        <f>IFERROR(VLOOKUP(Vaktplan!$A$64,Vaktplan!$K$4:$CL$35,86-AJ60,FALSE),0)</f>
        <v>0</v>
      </c>
      <c r="R7" s="77">
        <f>IFERROR(VLOOKUP(Vaktplan!$A$64,Vaktplan!$K$4:$CL$35,86-AI60,FALSE),0)</f>
        <v>0</v>
      </c>
      <c r="S7" s="9">
        <f>IFERROR(VLOOKUP(Vaktplan!$A$64,Vaktplan!$K$4:$CL$35,89-$AJ60,FALSE),0)</f>
        <v>0</v>
      </c>
      <c r="T7" s="9">
        <f t="shared" si="0"/>
        <v>0</v>
      </c>
      <c r="U7" s="9">
        <f t="shared" ref="U7:U17" si="7">IF(AND(R7=0,V7=0),24,IF(R7=0,12+(V7*24),IF(R7&lt;V7,((V7-R7)*24),IF(V7=0,(1-R7+0.5)*24,((1-R7)+V7)*24))))</f>
        <v>24</v>
      </c>
      <c r="V7" s="77">
        <f>IFERROR(VLOOKUP(Vaktplan!$A$64,Vaktplan!$L$4:$CL$35,86-AK60,FALSE),0)</f>
        <v>0</v>
      </c>
      <c r="W7" s="77">
        <f>IFERROR(VLOOKUP(Vaktplan!$A$64,Vaktplan!$L$4:$CL$35,86-AJ60,FALSE),0)</f>
        <v>0</v>
      </c>
      <c r="X7" s="9">
        <f>IFERROR(VLOOKUP(Vaktplan!$A$64,Vaktplan!$L$4:$CL$35,89-$AK60,FALSE),0)</f>
        <v>0</v>
      </c>
      <c r="Y7" s="9">
        <f t="shared" ref="Y7:Y13" si="8">IF(AND(V7=0,W7=0),0,IF(V7&lt;W7,((W7-V7)*24)-X7,(((1-V7)+W7)*24)-X7))</f>
        <v>0</v>
      </c>
      <c r="Z7" s="9">
        <f t="shared" ref="Z7:Z17" si="9">IF(AND(W7=0,AA7=0),24,IF(W7=0,12+(AA7*24),IF(W7&lt;AA7,((AA7-W7)*24),IF(AA7=0,(1-W7+0.5)*24,((1-W7)+AA7)*24))))</f>
        <v>24</v>
      </c>
      <c r="AA7" s="77">
        <f>IFERROR(VLOOKUP(Vaktplan!$A$64,Vaktplan!$M$4:$CL$35,86-AL60,FALSE),0)</f>
        <v>0</v>
      </c>
      <c r="AB7" s="77">
        <f>IFERROR(VLOOKUP(Vaktplan!$A$64,Vaktplan!$M$4:$CL$35,86-AK60,FALSE),0)</f>
        <v>0</v>
      </c>
      <c r="AC7" s="9">
        <f>IFERROR(VLOOKUP(Vaktplan!$A$64,Vaktplan!$M$4:$CL$35,89-$AL60,FALSE),0)</f>
        <v>0</v>
      </c>
      <c r="AD7" s="9">
        <f t="shared" ref="AD7:AD13" si="10">IF(AND(AA7=0,AB7=0),0,IF(AA7&lt;AB7,((AB7-AA7)*24)-AC7,(((1-AA7)+AB7)*24)-AC7))</f>
        <v>0</v>
      </c>
      <c r="AE7" s="9">
        <f t="shared" ref="AE7:AE17" si="11">IF(AND(AB7=0,AF7=0),24,IF(AB7=0,12+(AF7*24),IF(AB7&lt;AF7,((AF7-AB7)*24),IF(AF7=0,(1-AB7+0.5)*24,((1-AB7)+AF7)*24))))</f>
        <v>24</v>
      </c>
      <c r="AF7" s="77">
        <f>IFERROR(VLOOKUP(Vaktplan!$A$64,Vaktplan!$N$4:$CL$35,86-AM60,FALSE),0)</f>
        <v>0</v>
      </c>
      <c r="AG7" s="77">
        <f>IFERROR(VLOOKUP(Vaktplan!$A$64,Vaktplan!$N$4:$CL$35,86-AL60,FALSE),0)</f>
        <v>0</v>
      </c>
      <c r="AH7" s="9">
        <f>IFERROR(VLOOKUP(Vaktplan!$A$64,Vaktplan!$N$4:$CL$35,89-$AM60,FALSE),0)</f>
        <v>0</v>
      </c>
      <c r="AI7" s="9">
        <f t="shared" ref="AI7:AI13" si="12">IF(AND(AF7=0,AG7=0),0,IF(AF7&lt;AG7,((AG7-AF7)*24)-AH7,(((1-AF7)+AG7)*24)-AH7))</f>
        <v>0</v>
      </c>
      <c r="AJ7" s="9">
        <f t="shared" ref="AJ7:AJ17" si="13">IF($M$1=AL29,IF(AND(AG7=0,B7=0),24,IF(AG7=0,12+($B$6*24),IF(AG7&lt;$B$6,(($B$6-AG7)*24),IF($B$6=0,(1-AG7+1)*24,((1-AG7)+$B$6)*24)))),IF(AND(AG7=0,B8=0),24,IF(AG7=0,12+(B8*24),IF(AG7&lt;B8,((B8-AG7)*24),IF(B8=0,(1-AG7+1)*24,((1-AG7)+B8)*24)))))</f>
        <v>24</v>
      </c>
      <c r="AK7" s="9">
        <f t="shared" si="1"/>
        <v>0</v>
      </c>
      <c r="AL7" s="92">
        <f t="shared" ref="AL7:AL13" si="14">AJ7</f>
        <v>24</v>
      </c>
      <c r="AM7" s="10">
        <f t="shared" ref="AM7:AM13" si="15">AK7</f>
        <v>0</v>
      </c>
    </row>
    <row r="8" spans="1:39" ht="13" x14ac:dyDescent="0.25">
      <c r="A8" s="7">
        <f>IF($M$1&gt;=3,3,0)</f>
        <v>3</v>
      </c>
      <c r="B8" s="77">
        <f>IFERROR(VLOOKUP(Vaktplan!$A$64,Vaktplan!$O$4:$CL$35,87-AH61,FALSE),0)</f>
        <v>0</v>
      </c>
      <c r="C8" s="77">
        <f>IFERROR(VLOOKUP(Vaktplan!$A$64,Vaktplan!$O$4:$CL$35,87-AG61,FALSE),0)</f>
        <v>0</v>
      </c>
      <c r="D8" s="9">
        <f>IFERROR(VLOOKUP(Vaktplan!$A$64,Vaktplan!$O$4:$CL$35,89-AG61,FALSE),0)</f>
        <v>0</v>
      </c>
      <c r="E8" s="9">
        <f t="shared" ref="E8:E17" si="16">IF(AND(B8=0,C8=0),0,IF(B8&lt;C8,((C8-B8)*24)-D8,(((1-B8)+C8)*24)-D8))</f>
        <v>0</v>
      </c>
      <c r="F8" s="9">
        <f t="shared" si="2"/>
        <v>24</v>
      </c>
      <c r="G8" s="77">
        <f>IFERROR(VLOOKUP(Vaktplan!$A$64,Vaktplan!$P$4:$CL$35,86-AH61,FALSE),0)</f>
        <v>0</v>
      </c>
      <c r="H8" s="77">
        <f>IFERROR(VLOOKUP(Vaktplan!$A$64,Vaktplan!$P$4:$CL$35,86-AG61,FALSE),0)</f>
        <v>0</v>
      </c>
      <c r="I8" s="9">
        <f>IFERROR(VLOOKUP(Vaktplan!$A$64,Vaktplan!$P$4:$CL$35,89-$AH61,FALSE),0)</f>
        <v>0</v>
      </c>
      <c r="J8" s="9">
        <f>IF(AND(G8=0,H8=0),0,IF(G8&lt;H8,((H8-G8)*24)-I8,(((1-G8)+H8)*24)-I8))</f>
        <v>0</v>
      </c>
      <c r="K8" s="9">
        <f t="shared" si="4"/>
        <v>24</v>
      </c>
      <c r="L8" s="77">
        <f>IFERROR(VLOOKUP(Vaktplan!$A$64,Vaktplan!$Q$4:$CL$35,86-AI61,FALSE),0)</f>
        <v>0</v>
      </c>
      <c r="M8" s="77">
        <f>IFERROR(VLOOKUP(Vaktplan!$A$64,Vaktplan!$Q$4:$CL$35,86-AH61,FALSE),0)</f>
        <v>0</v>
      </c>
      <c r="N8" s="9">
        <f>IFERROR(VLOOKUP(Vaktplan!$A$64,Vaktplan!$Q$4:$CL$35,89-$AI61,FALSE),0)</f>
        <v>0</v>
      </c>
      <c r="O8" s="9">
        <f t="shared" si="5"/>
        <v>0</v>
      </c>
      <c r="P8" s="9">
        <f t="shared" si="6"/>
        <v>24</v>
      </c>
      <c r="Q8" s="77">
        <f>IFERROR(VLOOKUP(Vaktplan!$A$64,Vaktplan!$R$4:$CL$35,86-AJ61,FALSE),0)</f>
        <v>0</v>
      </c>
      <c r="R8" s="77">
        <f>IFERROR(VLOOKUP(Vaktplan!$A$64,Vaktplan!$R$4:$CL$35,86-AI61,FALSE),0)</f>
        <v>0</v>
      </c>
      <c r="S8" s="9">
        <f>IFERROR(VLOOKUP(Vaktplan!$A$64,Vaktplan!$R$4:$CL$35,89-$AJ61,FALSE),0)</f>
        <v>0</v>
      </c>
      <c r="T8" s="9">
        <f t="shared" si="0"/>
        <v>0</v>
      </c>
      <c r="U8" s="9">
        <f t="shared" si="7"/>
        <v>24</v>
      </c>
      <c r="V8" s="77">
        <f>IFERROR(VLOOKUP(Vaktplan!$A$64,Vaktplan!$S$4:$CL$35,86-AK61,FALSE),0)</f>
        <v>0</v>
      </c>
      <c r="W8" s="77">
        <f>IFERROR(VLOOKUP(Vaktplan!$A$64,Vaktplan!$S$4:$CL$35,86-AJ61,FALSE),0)</f>
        <v>0</v>
      </c>
      <c r="X8" s="9">
        <f>IFERROR(VLOOKUP(Vaktplan!$A$64,Vaktplan!$S$4:$CL$35,89-$AK61,FALSE),0)</f>
        <v>0</v>
      </c>
      <c r="Y8" s="9">
        <f t="shared" si="8"/>
        <v>0</v>
      </c>
      <c r="Z8" s="9">
        <f t="shared" si="9"/>
        <v>24</v>
      </c>
      <c r="AA8" s="77">
        <f>IFERROR(VLOOKUP(Vaktplan!$A$64,Vaktplan!$T$4:$CL$35,86-AL61,FALSE),0)</f>
        <v>0</v>
      </c>
      <c r="AB8" s="77">
        <f>IFERROR(VLOOKUP(Vaktplan!$A$64,Vaktplan!$T$4:$CL$35,86-AK61,FALSE),0)</f>
        <v>0</v>
      </c>
      <c r="AC8" s="9">
        <f>IFERROR(VLOOKUP(Vaktplan!$A$64,Vaktplan!$T$4:$CL$35,89-$AL61,FALSE),0)</f>
        <v>0</v>
      </c>
      <c r="AD8" s="9">
        <f t="shared" si="10"/>
        <v>0</v>
      </c>
      <c r="AE8" s="9">
        <f t="shared" si="11"/>
        <v>24</v>
      </c>
      <c r="AF8" s="77">
        <f>IFERROR(VLOOKUP(Vaktplan!$A$64,Vaktplan!$U$4:$CL$35,86-AM61,FALSE),0)</f>
        <v>0</v>
      </c>
      <c r="AG8" s="77">
        <f>IFERROR(VLOOKUP(Vaktplan!$A$64,Vaktplan!$U$4:$CL$35,86-AL61,FALSE),0)</f>
        <v>0</v>
      </c>
      <c r="AH8" s="9">
        <f>IFERROR(VLOOKUP(Vaktplan!$A$64,Vaktplan!$U$4:$CL$35,89-$AM61,FALSE),0)</f>
        <v>0</v>
      </c>
      <c r="AI8" s="9">
        <f t="shared" si="12"/>
        <v>0</v>
      </c>
      <c r="AJ8" s="9">
        <f t="shared" si="13"/>
        <v>24</v>
      </c>
      <c r="AK8" s="9">
        <f t="shared" si="1"/>
        <v>0</v>
      </c>
      <c r="AL8" s="92">
        <f t="shared" si="14"/>
        <v>24</v>
      </c>
      <c r="AM8" s="10">
        <f t="shared" si="15"/>
        <v>0</v>
      </c>
    </row>
    <row r="9" spans="1:39" ht="13" x14ac:dyDescent="0.25">
      <c r="A9" s="7">
        <f>IF($M$1&gt;=4,4,0)</f>
        <v>4</v>
      </c>
      <c r="B9" s="77">
        <f>IFERROR(VLOOKUP(Vaktplan!$A$64,Vaktplan!$V$4:$CL$35,87-AH62,FALSE),0)</f>
        <v>0</v>
      </c>
      <c r="C9" s="77">
        <f>IFERROR(VLOOKUP(Vaktplan!$A$64,Vaktplan!$V$4:$CL$35,87-AG62,FALSE),0)</f>
        <v>0</v>
      </c>
      <c r="D9" s="9">
        <f>IFERROR(VLOOKUP(Vaktplan!$A$64,Vaktplan!$V$4:$CL$35,89-AG62,FALSE),0)</f>
        <v>0</v>
      </c>
      <c r="E9" s="9">
        <f t="shared" si="16"/>
        <v>0</v>
      </c>
      <c r="F9" s="9">
        <f t="shared" si="2"/>
        <v>24</v>
      </c>
      <c r="G9" s="77">
        <f>IFERROR(VLOOKUP(Vaktplan!$A$64,Vaktplan!$W$4:$CL$35,86-AH62,FALSE),0)</f>
        <v>0</v>
      </c>
      <c r="H9" s="77">
        <f>IFERROR(VLOOKUP(Vaktplan!$A$64,Vaktplan!$W$4:$CL$35,86-AG62,FALSE),0)</f>
        <v>0</v>
      </c>
      <c r="I9" s="9">
        <f>IFERROR(VLOOKUP(Vaktplan!$A$64,Vaktplan!$W$4:$CL$35,89-$AH62,FALSE),0)</f>
        <v>0</v>
      </c>
      <c r="J9" s="9">
        <f t="shared" si="3"/>
        <v>0</v>
      </c>
      <c r="K9" s="9">
        <f t="shared" si="4"/>
        <v>24</v>
      </c>
      <c r="L9" s="77">
        <f>IFERROR(VLOOKUP(Vaktplan!$A$64,Vaktplan!$X$4:$CL$35,86-AI62,FALSE),0)</f>
        <v>0</v>
      </c>
      <c r="M9" s="77">
        <f>IFERROR(VLOOKUP(Vaktplan!$A$64,Vaktplan!$X$4:$CL$35,86-AH62,FALSE),0)</f>
        <v>0</v>
      </c>
      <c r="N9" s="9">
        <f>IFERROR(VLOOKUP(Vaktplan!$A$64,Vaktplan!$X$4:$CL$35,89-$AI62,FALSE),0)</f>
        <v>0</v>
      </c>
      <c r="O9" s="9">
        <f t="shared" si="5"/>
        <v>0</v>
      </c>
      <c r="P9" s="9">
        <f t="shared" si="6"/>
        <v>24</v>
      </c>
      <c r="Q9" s="77">
        <f>IFERROR(VLOOKUP(Vaktplan!$A$64,Vaktplan!$Y$4:$CL$35,86-AJ62,FALSE),0)</f>
        <v>0</v>
      </c>
      <c r="R9" s="77">
        <f>IFERROR(VLOOKUP(Vaktplan!$A$64,Vaktplan!$Y$4:$CL$35,86-AI62,FALSE),0)</f>
        <v>0</v>
      </c>
      <c r="S9" s="9">
        <f>IFERROR(VLOOKUP(Vaktplan!$A$64,Vaktplan!$Y$4:$CL$35,89-$AJ62,FALSE),0)</f>
        <v>0</v>
      </c>
      <c r="T9" s="9">
        <f t="shared" si="0"/>
        <v>0</v>
      </c>
      <c r="U9" s="9">
        <f t="shared" si="7"/>
        <v>24</v>
      </c>
      <c r="V9" s="77">
        <f>IFERROR(VLOOKUP(Vaktplan!$A$64,Vaktplan!$Z$4:$CL$35,86-AK62,FALSE),0)</f>
        <v>0</v>
      </c>
      <c r="W9" s="77">
        <f>IFERROR(VLOOKUP(Vaktplan!$A$64,Vaktplan!$Z$4:$CL$35,86-AJ62,FALSE),0)</f>
        <v>0</v>
      </c>
      <c r="X9" s="9">
        <f>IFERROR(VLOOKUP(Vaktplan!$A$64,Vaktplan!$Z$4:$CL$35,89-$AK62,FALSE),0)</f>
        <v>0</v>
      </c>
      <c r="Y9" s="9">
        <f t="shared" si="8"/>
        <v>0</v>
      </c>
      <c r="Z9" s="9">
        <f t="shared" si="9"/>
        <v>24</v>
      </c>
      <c r="AA9" s="77">
        <f>IFERROR(VLOOKUP(Vaktplan!$A$64,Vaktplan!$AA$4:$CL$35,86-AL62,FALSE),0)</f>
        <v>0</v>
      </c>
      <c r="AB9" s="77">
        <f>IFERROR(VLOOKUP(Vaktplan!$A$64,Vaktplan!$AA$4:$CL$35,86-AK62,FALSE),0)</f>
        <v>0</v>
      </c>
      <c r="AC9" s="9">
        <f>IFERROR(VLOOKUP(Vaktplan!$A$64,Vaktplan!$AA$4:$CL$35,89-$AL62,FALSE),0)</f>
        <v>0</v>
      </c>
      <c r="AD9" s="9">
        <f t="shared" si="10"/>
        <v>0</v>
      </c>
      <c r="AE9" s="9">
        <f t="shared" si="11"/>
        <v>24</v>
      </c>
      <c r="AF9" s="77">
        <f>IFERROR(VLOOKUP(Vaktplan!$A$64,Vaktplan!$AB$4:$CL$35,86-AM62,FALSE),0)</f>
        <v>0</v>
      </c>
      <c r="AG9" s="77">
        <f>IFERROR(VLOOKUP(Vaktplan!$A$64,Vaktplan!$AB$4:$CL$35,86-AL62,FALSE),0)</f>
        <v>0</v>
      </c>
      <c r="AH9" s="9">
        <f>IFERROR(VLOOKUP(Vaktplan!$A$64,Vaktplan!$AB$4:$CL$35,89-$AM62,FALSE),0)</f>
        <v>0</v>
      </c>
      <c r="AI9" s="9">
        <f t="shared" si="12"/>
        <v>0</v>
      </c>
      <c r="AJ9" s="9">
        <f t="shared" si="13"/>
        <v>24</v>
      </c>
      <c r="AK9" s="9">
        <f t="shared" si="1"/>
        <v>0</v>
      </c>
      <c r="AL9" s="92">
        <f t="shared" si="14"/>
        <v>24</v>
      </c>
      <c r="AM9" s="10">
        <f t="shared" si="15"/>
        <v>0</v>
      </c>
    </row>
    <row r="10" spans="1:39" ht="13" x14ac:dyDescent="0.25">
      <c r="A10" s="7">
        <f>IF($M$1&gt;=5,5,0)</f>
        <v>5</v>
      </c>
      <c r="B10" s="77">
        <f>IFERROR(VLOOKUP(Vaktplan!$A$64,Vaktplan!$AC$4:$CL$35,87-AH63,FALSE),0)</f>
        <v>0</v>
      </c>
      <c r="C10" s="77">
        <f>IFERROR(VLOOKUP(Vaktplan!$A$64,Vaktplan!$AC$4:$CL$35,87-AG63,FALSE),0)</f>
        <v>0</v>
      </c>
      <c r="D10" s="9">
        <f>IFERROR(VLOOKUP(Vaktplan!$A$64,Vaktplan!$AC$4:$CL$35,89-AG63,FALSE),0)</f>
        <v>0</v>
      </c>
      <c r="E10" s="9">
        <f t="shared" si="16"/>
        <v>0</v>
      </c>
      <c r="F10" s="9">
        <f t="shared" si="2"/>
        <v>24</v>
      </c>
      <c r="G10" s="77">
        <f>IFERROR(VLOOKUP(Vaktplan!$A$64,Vaktplan!$AD$4:$CL$35,86-AH63,FALSE),0)</f>
        <v>0</v>
      </c>
      <c r="H10" s="77">
        <f>IFERROR(VLOOKUP(Vaktplan!$A$64,Vaktplan!$AD$4:$CL$35,86-AG63,FALSE),0)</f>
        <v>0</v>
      </c>
      <c r="I10" s="9">
        <f>IFERROR(VLOOKUP(Vaktplan!$A$64,Vaktplan!$AD$4:$CL$35,89-$AH63,FALSE),0)</f>
        <v>0</v>
      </c>
      <c r="J10" s="9">
        <f t="shared" si="3"/>
        <v>0</v>
      </c>
      <c r="K10" s="9">
        <f t="shared" si="4"/>
        <v>24</v>
      </c>
      <c r="L10" s="77">
        <f>IFERROR(VLOOKUP(Vaktplan!$A$64,Vaktplan!$AE$4:$CL$35,86-AI63,FALSE),0)</f>
        <v>0</v>
      </c>
      <c r="M10" s="77">
        <f>IFERROR(VLOOKUP(Vaktplan!$A$64,Vaktplan!$AE$4:$CL$35,86-AH63,FALSE),0)</f>
        <v>0</v>
      </c>
      <c r="N10" s="9">
        <f>IFERROR(VLOOKUP(Vaktplan!$A$64,Vaktplan!$AE$4:$CL$35,89-$AI63,FALSE),0)</f>
        <v>0</v>
      </c>
      <c r="O10" s="9">
        <f t="shared" si="5"/>
        <v>0</v>
      </c>
      <c r="P10" s="9">
        <f t="shared" si="6"/>
        <v>24</v>
      </c>
      <c r="Q10" s="77">
        <f>IFERROR(VLOOKUP(Vaktplan!$A$64,Vaktplan!$AF$4:$CL$35,86-AJ63,FALSE),0)</f>
        <v>0</v>
      </c>
      <c r="R10" s="77">
        <f>IFERROR(VLOOKUP(Vaktplan!$A$64,Vaktplan!$AF$4:$CL$35,86-AI63,FALSE),0)</f>
        <v>0</v>
      </c>
      <c r="S10" s="9">
        <f>IFERROR(VLOOKUP(Vaktplan!$A$64,Vaktplan!$AF$4:$CL$35,89-$AJ63,FALSE),0)</f>
        <v>0</v>
      </c>
      <c r="T10" s="9">
        <f t="shared" si="0"/>
        <v>0</v>
      </c>
      <c r="U10" s="9">
        <f t="shared" si="7"/>
        <v>24</v>
      </c>
      <c r="V10" s="77">
        <f>IFERROR(VLOOKUP(Vaktplan!$A$64,Vaktplan!$AG$4:$CL$35,86-AK63,FALSE),0)</f>
        <v>0</v>
      </c>
      <c r="W10" s="77">
        <f>IFERROR(VLOOKUP(Vaktplan!$A$64,Vaktplan!$AG$4:$CL$35,86-AJ63,FALSE),0)</f>
        <v>0</v>
      </c>
      <c r="X10" s="9">
        <f>IFERROR(VLOOKUP(Vaktplan!$A$64,Vaktplan!$AG$4:$CL$35,89-$AK63,FALSE),0)</f>
        <v>0</v>
      </c>
      <c r="Y10" s="9">
        <f t="shared" si="8"/>
        <v>0</v>
      </c>
      <c r="Z10" s="9">
        <f t="shared" si="9"/>
        <v>24</v>
      </c>
      <c r="AA10" s="77">
        <f>IFERROR(VLOOKUP(Vaktplan!$A$64,Vaktplan!$AH$4:$CL$35,86-AL63,FALSE),0)</f>
        <v>0</v>
      </c>
      <c r="AB10" s="77">
        <f>IFERROR(VLOOKUP(Vaktplan!$A$64,Vaktplan!$AH$4:$CL$35,86-AK63,FALSE),0)</f>
        <v>0</v>
      </c>
      <c r="AC10" s="9">
        <f>IFERROR(VLOOKUP(Vaktplan!$A$64,Vaktplan!$AH$4:$CL$35,89-$AL63,FALSE),0)</f>
        <v>0</v>
      </c>
      <c r="AD10" s="9">
        <f t="shared" si="10"/>
        <v>0</v>
      </c>
      <c r="AE10" s="9">
        <f t="shared" si="11"/>
        <v>24</v>
      </c>
      <c r="AF10" s="77">
        <f>IFERROR(VLOOKUP(Vaktplan!$A$64,Vaktplan!$AI$4:$CL$35,86-AM63,FALSE),0)</f>
        <v>0</v>
      </c>
      <c r="AG10" s="77">
        <f>IFERROR(VLOOKUP(Vaktplan!$A$64,Vaktplan!$AI$4:$CL$35,86-AL63,FALSE),0)</f>
        <v>0</v>
      </c>
      <c r="AH10" s="9">
        <f>IFERROR(VLOOKUP(Vaktplan!$A$64,Vaktplan!$AI$4:$CL$35,89-$AM63,FALSE),0)</f>
        <v>0</v>
      </c>
      <c r="AI10" s="9">
        <f t="shared" si="12"/>
        <v>0</v>
      </c>
      <c r="AJ10" s="9">
        <f t="shared" si="13"/>
        <v>24</v>
      </c>
      <c r="AK10" s="9">
        <f t="shared" si="1"/>
        <v>0</v>
      </c>
      <c r="AL10" s="92">
        <f t="shared" si="14"/>
        <v>24</v>
      </c>
      <c r="AM10" s="10">
        <f t="shared" si="15"/>
        <v>0</v>
      </c>
    </row>
    <row r="11" spans="1:39" ht="13" x14ac:dyDescent="0.25">
      <c r="A11" s="7">
        <f>IF($M$1&gt;=6,6,0)</f>
        <v>6</v>
      </c>
      <c r="B11" s="77">
        <f>IFERROR(VLOOKUP(Vaktplan!$A$64,Vaktplan!$AJ$4:$CL$35,87-AH64,FALSE),0)</f>
        <v>0</v>
      </c>
      <c r="C11" s="77">
        <f>IFERROR(VLOOKUP(Vaktplan!$A$64,Vaktplan!$AJ$4:$CL$35,87-AG64,FALSE),0)</f>
        <v>0</v>
      </c>
      <c r="D11" s="9">
        <f>IFERROR(VLOOKUP(Vaktplan!$A$64,Vaktplan!$AJ$4:$CL$35,89-AG64,FALSE),0)</f>
        <v>0</v>
      </c>
      <c r="E11" s="9">
        <f t="shared" si="16"/>
        <v>0</v>
      </c>
      <c r="F11" s="9">
        <f t="shared" si="2"/>
        <v>24</v>
      </c>
      <c r="G11" s="77">
        <f>IFERROR(VLOOKUP(Vaktplan!$A$64,Vaktplan!$AK$4:$CL$35,86-AH64,FALSE),0)</f>
        <v>0</v>
      </c>
      <c r="H11" s="77">
        <f>IFERROR(VLOOKUP(Vaktplan!$A$64,Vaktplan!$AK$4:$CL$35,86-AG64,FALSE),0)</f>
        <v>0</v>
      </c>
      <c r="I11" s="9">
        <f>IFERROR(VLOOKUP(Vaktplan!$A$64,Vaktplan!$AK$4:$CL$35,89-$AH64,FALSE),0)</f>
        <v>0</v>
      </c>
      <c r="J11" s="9">
        <f t="shared" si="3"/>
        <v>0</v>
      </c>
      <c r="K11" s="9">
        <f t="shared" si="4"/>
        <v>24</v>
      </c>
      <c r="L11" s="77">
        <f>IFERROR(VLOOKUP(Vaktplan!$A$64,Vaktplan!$AL$4:$CL$35,86-AI64,FALSE),0)</f>
        <v>0</v>
      </c>
      <c r="M11" s="77">
        <f>IFERROR(VLOOKUP(Vaktplan!$A$64,Vaktplan!$AL$4:$CL$35,86-AH64,FALSE),0)</f>
        <v>0</v>
      </c>
      <c r="N11" s="9">
        <f>IFERROR(VLOOKUP(Vaktplan!$A$64,Vaktplan!$AL$4:$CL$35,89-$AI64,FALSE),0)</f>
        <v>0</v>
      </c>
      <c r="O11" s="9">
        <f t="shared" si="5"/>
        <v>0</v>
      </c>
      <c r="P11" s="9">
        <f t="shared" si="6"/>
        <v>24</v>
      </c>
      <c r="Q11" s="77">
        <f>IFERROR(VLOOKUP(Vaktplan!$A$64,Vaktplan!$AM$4:$CL$35,86-AJ64,FALSE),0)</f>
        <v>0</v>
      </c>
      <c r="R11" s="77">
        <f>IFERROR(VLOOKUP(Vaktplan!$A$64,Vaktplan!$AM$4:$CL$35,86-AI64,FALSE),0)</f>
        <v>0</v>
      </c>
      <c r="S11" s="9">
        <f>IFERROR(VLOOKUP(Vaktplan!$A$64,Vaktplan!$AM$4:$CL$35,89-$AJ64,FALSE),0)</f>
        <v>0</v>
      </c>
      <c r="T11" s="9">
        <f t="shared" si="0"/>
        <v>0</v>
      </c>
      <c r="U11" s="9">
        <f t="shared" si="7"/>
        <v>24</v>
      </c>
      <c r="V11" s="77">
        <f>IFERROR(VLOOKUP(Vaktplan!$A$64,Vaktplan!$AN$4:$CL$35,86-AK64,FALSE),0)</f>
        <v>0</v>
      </c>
      <c r="W11" s="77">
        <f>IFERROR(VLOOKUP(Vaktplan!$A$64,Vaktplan!$AN$4:$CL$35,86-AJ64,FALSE),0)</f>
        <v>0</v>
      </c>
      <c r="X11" s="9">
        <f>IFERROR(VLOOKUP(Vaktplan!$A$64,Vaktplan!$AN$4:$CL$35,89-$AK64,FALSE),0)</f>
        <v>0</v>
      </c>
      <c r="Y11" s="9">
        <f t="shared" si="8"/>
        <v>0</v>
      </c>
      <c r="Z11" s="9">
        <f t="shared" si="9"/>
        <v>24</v>
      </c>
      <c r="AA11" s="77">
        <f>IFERROR(VLOOKUP(Vaktplan!$A$64,Vaktplan!$AO$4:$CL$35,86-AL64,FALSE),0)</f>
        <v>0</v>
      </c>
      <c r="AB11" s="77">
        <f>IFERROR(VLOOKUP(Vaktplan!$A$64,Vaktplan!$AO$4:$CL$35,86-AK64,FALSE),0)</f>
        <v>0</v>
      </c>
      <c r="AC11" s="9">
        <f>IFERROR(VLOOKUP(Vaktplan!$A$64,Vaktplan!$AO$4:$CL$35,89-$AL64,FALSE),0)</f>
        <v>0</v>
      </c>
      <c r="AD11" s="9">
        <f t="shared" si="10"/>
        <v>0</v>
      </c>
      <c r="AE11" s="9">
        <f t="shared" si="11"/>
        <v>24</v>
      </c>
      <c r="AF11" s="77">
        <f>IFERROR(VLOOKUP(Vaktplan!$A$64,Vaktplan!$AP$4:$CL$35,86-AM64,FALSE),0)</f>
        <v>0</v>
      </c>
      <c r="AG11" s="77">
        <f>IFERROR(VLOOKUP(Vaktplan!$A$64,Vaktplan!$AP$4:$CL$35,86-AL64,FALSE),0)</f>
        <v>0</v>
      </c>
      <c r="AH11" s="9">
        <f>IFERROR(VLOOKUP(Vaktplan!$A$64,Vaktplan!$AP$4:$CL$35,89-$AM64,FALSE),0)</f>
        <v>0</v>
      </c>
      <c r="AI11" s="9">
        <f t="shared" si="12"/>
        <v>0</v>
      </c>
      <c r="AJ11" s="9">
        <f t="shared" si="13"/>
        <v>24</v>
      </c>
      <c r="AK11" s="9">
        <f t="shared" si="1"/>
        <v>0</v>
      </c>
      <c r="AL11" s="92">
        <f t="shared" si="14"/>
        <v>24</v>
      </c>
      <c r="AM11" s="10">
        <f t="shared" si="15"/>
        <v>0</v>
      </c>
    </row>
    <row r="12" spans="1:39" ht="13" x14ac:dyDescent="0.25">
      <c r="A12" s="7">
        <f>IF($M$1&gt;=7,7,0)</f>
        <v>7</v>
      </c>
      <c r="B12" s="77">
        <f>IFERROR(VLOOKUP(Vaktplan!$A$64,Vaktplan!$AQ$4:$CL$35,87-AH65,FALSE),0)</f>
        <v>0</v>
      </c>
      <c r="C12" s="77">
        <f>IFERROR(VLOOKUP(Vaktplan!$A$64,Vaktplan!$AQ$4:$CL$35,87-AG65,FALSE),0)</f>
        <v>0</v>
      </c>
      <c r="D12" s="9">
        <f>IFERROR(VLOOKUP(Vaktplan!$A$64,Vaktplan!$AQ$4:$CL$35,89-AG65,FALSE),0)</f>
        <v>0</v>
      </c>
      <c r="E12" s="9">
        <f t="shared" si="16"/>
        <v>0</v>
      </c>
      <c r="F12" s="9">
        <f t="shared" si="2"/>
        <v>24</v>
      </c>
      <c r="G12" s="77">
        <f>IFERROR(VLOOKUP(Vaktplan!$A$64,Vaktplan!$AR$4:$CL$35,86-AH65,FALSE),0)</f>
        <v>0</v>
      </c>
      <c r="H12" s="77">
        <f>IFERROR(VLOOKUP(Vaktplan!$A$64,Vaktplan!$AR$4:$CL$35,86-AG65,FALSE),0)</f>
        <v>0</v>
      </c>
      <c r="I12" s="9">
        <f>IFERROR(VLOOKUP(Vaktplan!$A$64,Vaktplan!$AR$4:$CL$35,89-$AH65,FALSE),0)</f>
        <v>0</v>
      </c>
      <c r="J12" s="9">
        <f t="shared" si="3"/>
        <v>0</v>
      </c>
      <c r="K12" s="9">
        <f t="shared" si="4"/>
        <v>24</v>
      </c>
      <c r="L12" s="77">
        <f>IFERROR(VLOOKUP(Vaktplan!$A$64,Vaktplan!$AS$4:$CL$35,86-AI65,FALSE),0)</f>
        <v>0</v>
      </c>
      <c r="M12" s="77">
        <f>IFERROR(VLOOKUP(Vaktplan!$A$64,Vaktplan!$AS$4:$CL$35,86-AH65,FALSE),0)</f>
        <v>0</v>
      </c>
      <c r="N12" s="9">
        <f>IFERROR(VLOOKUP(Vaktplan!$A$64,Vaktplan!$AS$4:$CL$35,89-$AI65,FALSE),0)</f>
        <v>0</v>
      </c>
      <c r="O12" s="9">
        <f t="shared" si="5"/>
        <v>0</v>
      </c>
      <c r="P12" s="9">
        <f t="shared" si="6"/>
        <v>24</v>
      </c>
      <c r="Q12" s="77">
        <f>IFERROR(VLOOKUP(Vaktplan!$A$64,Vaktplan!$AT$4:$CL$35,86-AJ65,FALSE),0)</f>
        <v>0</v>
      </c>
      <c r="R12" s="77">
        <f>IFERROR(VLOOKUP(Vaktplan!$A$64,Vaktplan!$AT$4:$CL$35,86-AI65,FALSE),0)</f>
        <v>0</v>
      </c>
      <c r="S12" s="9">
        <f>IFERROR(VLOOKUP(Vaktplan!$A$64,Vaktplan!$AT$4:$CL$35,89-$AJ65,FALSE),0)</f>
        <v>0</v>
      </c>
      <c r="T12" s="9">
        <f t="shared" si="0"/>
        <v>0</v>
      </c>
      <c r="U12" s="9">
        <f t="shared" si="7"/>
        <v>24</v>
      </c>
      <c r="V12" s="77">
        <f>IFERROR(VLOOKUP(Vaktplan!$A$64,Vaktplan!$AU$4:$CL$35,86-AK65,FALSE),0)</f>
        <v>0</v>
      </c>
      <c r="W12" s="77">
        <f>IFERROR(VLOOKUP(Vaktplan!$A$64,Vaktplan!$AU$4:$CL$35,86-AJ65,FALSE),0)</f>
        <v>0</v>
      </c>
      <c r="X12" s="9">
        <f>IFERROR(VLOOKUP(Vaktplan!$A$64,Vaktplan!$AU$4:$CL$35,89-$AK65,FALSE),0)</f>
        <v>0</v>
      </c>
      <c r="Y12" s="9">
        <f t="shared" si="8"/>
        <v>0</v>
      </c>
      <c r="Z12" s="9">
        <f t="shared" si="9"/>
        <v>24</v>
      </c>
      <c r="AA12" s="77">
        <f>IFERROR(VLOOKUP(Vaktplan!$A$64,Vaktplan!$AV$4:$CL$35,86-AL65,FALSE),0)</f>
        <v>0</v>
      </c>
      <c r="AB12" s="77">
        <f>IFERROR(VLOOKUP(Vaktplan!$A$64,Vaktplan!$AV$4:$CL$35,86-AK65,FALSE),0)</f>
        <v>0</v>
      </c>
      <c r="AC12" s="9">
        <f>IFERROR(VLOOKUP(Vaktplan!$A$64,Vaktplan!$AV$4:$CL$35,89-$AL65,FALSE),0)</f>
        <v>0</v>
      </c>
      <c r="AD12" s="9">
        <f t="shared" si="10"/>
        <v>0</v>
      </c>
      <c r="AE12" s="9">
        <f t="shared" si="11"/>
        <v>24</v>
      </c>
      <c r="AF12" s="77">
        <f>IFERROR(VLOOKUP(Vaktplan!$A$64,Vaktplan!$AW$4:$CL$35,86-AM65,FALSE),0)</f>
        <v>0</v>
      </c>
      <c r="AG12" s="77">
        <f>IFERROR(VLOOKUP(Vaktplan!$A$64,Vaktplan!$AW$4:$CL$35,86-AL65,FALSE),0)</f>
        <v>0</v>
      </c>
      <c r="AH12" s="9">
        <f>IFERROR(VLOOKUP(Vaktplan!$A$64,Vaktplan!$AW$4:$CL$35,89-$AM65,FALSE),0)</f>
        <v>0</v>
      </c>
      <c r="AI12" s="9">
        <f t="shared" si="12"/>
        <v>0</v>
      </c>
      <c r="AJ12" s="9">
        <f t="shared" si="13"/>
        <v>24</v>
      </c>
      <c r="AK12" s="9">
        <f t="shared" si="1"/>
        <v>0</v>
      </c>
      <c r="AL12" s="92">
        <f t="shared" si="14"/>
        <v>24</v>
      </c>
      <c r="AM12" s="10">
        <f t="shared" si="15"/>
        <v>0</v>
      </c>
    </row>
    <row r="13" spans="1:39" ht="13" x14ac:dyDescent="0.25">
      <c r="A13" s="7">
        <f>IF($M$1&gt;=8,8,0)</f>
        <v>8</v>
      </c>
      <c r="B13" s="77">
        <f>IFERROR(VLOOKUP(Vaktplan!$A$64,Vaktplan!$AX$4:$CL$35,87-AH66,FALSE),0)</f>
        <v>0</v>
      </c>
      <c r="C13" s="77">
        <f>IFERROR(VLOOKUP(Vaktplan!$A$64,Vaktplan!$AX$4:$CL$35,87-AG66,FALSE),0)</f>
        <v>0</v>
      </c>
      <c r="D13" s="9">
        <f>IFERROR(VLOOKUP(Vaktplan!$A$64,Vaktplan!$AX$4:$CL$35,89-AG66,FALSE),0)</f>
        <v>0</v>
      </c>
      <c r="E13" s="9">
        <f t="shared" si="16"/>
        <v>0</v>
      </c>
      <c r="F13" s="9">
        <f t="shared" si="2"/>
        <v>24</v>
      </c>
      <c r="G13" s="77">
        <f>IFERROR(VLOOKUP(Vaktplan!$A$64,Vaktplan!$AY$4:$CL$35,86-AH66,FALSE),0)</f>
        <v>0</v>
      </c>
      <c r="H13" s="77">
        <f>IFERROR(VLOOKUP(Vaktplan!$A$64,Vaktplan!$AY$4:$CL$35,86-AG66,FALSE),0)</f>
        <v>0</v>
      </c>
      <c r="I13" s="9">
        <f>IFERROR(VLOOKUP(Vaktplan!$A$64,Vaktplan!$AY$4:$CL$35,89-$AH66,FALSE),0)</f>
        <v>0</v>
      </c>
      <c r="J13" s="9">
        <f t="shared" si="3"/>
        <v>0</v>
      </c>
      <c r="K13" s="9">
        <f t="shared" si="4"/>
        <v>24</v>
      </c>
      <c r="L13" s="77">
        <f>IFERROR(VLOOKUP(Vaktplan!$A$64,Vaktplan!$AZ$4:$CL$35,86-AI66,FALSE),0)</f>
        <v>0</v>
      </c>
      <c r="M13" s="77">
        <f>IFERROR(VLOOKUP(Vaktplan!$A$64,Vaktplan!$AZ$4:$CL$35,86-AH66,FALSE),0)</f>
        <v>0</v>
      </c>
      <c r="N13" s="9">
        <f>IFERROR(VLOOKUP(Vaktplan!$A$64,Vaktplan!$AZ$4:$CL$35,89-$AI66,FALSE),0)</f>
        <v>0</v>
      </c>
      <c r="O13" s="9">
        <f t="shared" si="5"/>
        <v>0</v>
      </c>
      <c r="P13" s="9">
        <f t="shared" si="6"/>
        <v>24</v>
      </c>
      <c r="Q13" s="77">
        <f>IFERROR(VLOOKUP(Vaktplan!$A$64,Vaktplan!$BA$4:$CL$35,86-AJ66,FALSE),0)</f>
        <v>0</v>
      </c>
      <c r="R13" s="77">
        <f>IFERROR(VLOOKUP(Vaktplan!$A$64,Vaktplan!$BA$4:$CL$35,86-AI66,FALSE),0)</f>
        <v>0</v>
      </c>
      <c r="S13" s="9">
        <f>IFERROR(VLOOKUP(Vaktplan!$A$64,Vaktplan!$BA$4:$CL$35,89-$AJ66,FALSE),0)</f>
        <v>0</v>
      </c>
      <c r="T13" s="9">
        <f t="shared" si="0"/>
        <v>0</v>
      </c>
      <c r="U13" s="9">
        <f t="shared" si="7"/>
        <v>24</v>
      </c>
      <c r="V13" s="77">
        <f>IFERROR(VLOOKUP(Vaktplan!$A$64,Vaktplan!$BB$4:$CL$35,86-AK66,FALSE),0)</f>
        <v>0</v>
      </c>
      <c r="W13" s="77">
        <f>IFERROR(VLOOKUP(Vaktplan!$A$64,Vaktplan!$BB$4:$CL$35,86-AJ66,FALSE),0)</f>
        <v>0</v>
      </c>
      <c r="X13" s="9">
        <f>IFERROR(VLOOKUP(Vaktplan!$A$64,Vaktplan!$BB$4:$CL$35,89-$AK66,FALSE),0)</f>
        <v>0</v>
      </c>
      <c r="Y13" s="9">
        <f t="shared" si="8"/>
        <v>0</v>
      </c>
      <c r="Z13" s="9">
        <f t="shared" si="9"/>
        <v>24</v>
      </c>
      <c r="AA13" s="77">
        <f>IFERROR(VLOOKUP(Vaktplan!$A$64,Vaktplan!$BC$4:$CL$35,86-AL66,FALSE),0)</f>
        <v>0</v>
      </c>
      <c r="AB13" s="77">
        <f>IFERROR(VLOOKUP(Vaktplan!$A$64,Vaktplan!$BC$4:$CL$35,86-AK66,FALSE),0)</f>
        <v>0</v>
      </c>
      <c r="AC13" s="9">
        <f>IFERROR(VLOOKUP(Vaktplan!$A$64,Vaktplan!$BC$4:$CL$35,89-$AL66,FALSE),0)</f>
        <v>0</v>
      </c>
      <c r="AD13" s="9">
        <f t="shared" si="10"/>
        <v>0</v>
      </c>
      <c r="AE13" s="9">
        <f t="shared" si="11"/>
        <v>24</v>
      </c>
      <c r="AF13" s="77">
        <f>IFERROR(VLOOKUP(Vaktplan!$A$64,Vaktplan!$BD$4:$CL$35,86-AM66,FALSE),0)</f>
        <v>0</v>
      </c>
      <c r="AG13" s="77">
        <f>IFERROR(VLOOKUP(Vaktplan!$A$64,Vaktplan!$BD$4:$CL$35,86-AL66,FALSE),0)</f>
        <v>0</v>
      </c>
      <c r="AH13" s="9">
        <f>IFERROR(VLOOKUP(Vaktplan!$A$64,Vaktplan!$BD$4:$CL$35,89-$AM66,FALSE),0)</f>
        <v>0</v>
      </c>
      <c r="AI13" s="9">
        <f t="shared" si="12"/>
        <v>0</v>
      </c>
      <c r="AJ13" s="9">
        <f t="shared" si="13"/>
        <v>24</v>
      </c>
      <c r="AK13" s="9">
        <f t="shared" si="1"/>
        <v>0</v>
      </c>
      <c r="AL13" s="92">
        <f t="shared" si="14"/>
        <v>24</v>
      </c>
      <c r="AM13" s="10">
        <f t="shared" si="15"/>
        <v>0</v>
      </c>
    </row>
    <row r="14" spans="1:39" ht="13" x14ac:dyDescent="0.25">
      <c r="A14" s="7">
        <v>9</v>
      </c>
      <c r="B14" s="77">
        <f>IFERROR(VLOOKUP(Vaktplan!$A$64,Vaktplan!$BE$4:$CL$35,87-AH67,FALSE),0)</f>
        <v>0</v>
      </c>
      <c r="C14" s="77">
        <f>IFERROR(VLOOKUP(Vaktplan!$A$64,Vaktplan!$BE$4:$CL$35,87-AG67,FALSE),0)</f>
        <v>0</v>
      </c>
      <c r="D14" s="9">
        <f>IFERROR(VLOOKUP(Vaktplan!$A$64,Vaktplan!$BE$4:$CL$35,89-AG67,FALSE),0)</f>
        <v>0</v>
      </c>
      <c r="E14" s="9">
        <f t="shared" si="16"/>
        <v>0</v>
      </c>
      <c r="F14" s="9">
        <f t="shared" si="2"/>
        <v>24</v>
      </c>
      <c r="G14" s="77">
        <f>IFERROR(VLOOKUP(Vaktplan!$A$64,Vaktplan!$BF$4:$CL$35,86-AH67,FALSE),0)</f>
        <v>0</v>
      </c>
      <c r="H14" s="77">
        <f>IFERROR(VLOOKUP(Vaktplan!$A$64,Vaktplan!$BF$4:$CL$35,86-AG67,FALSE),0)</f>
        <v>0</v>
      </c>
      <c r="I14" s="9">
        <f>IFERROR(VLOOKUP(Vaktplan!$A$64,Vaktplan!$BF$4:$CL$35,89-$AH67,FALSE),0)</f>
        <v>0</v>
      </c>
      <c r="J14" s="9">
        <f t="shared" si="3"/>
        <v>0</v>
      </c>
      <c r="K14" s="9">
        <f t="shared" si="4"/>
        <v>24</v>
      </c>
      <c r="L14" s="77">
        <f>IFERROR(VLOOKUP(Vaktplan!$A$64,Vaktplan!$BG$4:$CL$35,86-AI67,FALSE),0)</f>
        <v>0</v>
      </c>
      <c r="M14" s="77">
        <f>IFERROR(VLOOKUP(Vaktplan!$A$64,Vaktplan!$BG$4:$CL$35,86-AH67,FALSE),0)</f>
        <v>0</v>
      </c>
      <c r="N14" s="9">
        <f>IFERROR(VLOOKUP(Vaktplan!$A$64,Vaktplan!$BG$4:$CL$35,89-$AI67,FALSE),0)</f>
        <v>0</v>
      </c>
      <c r="O14" s="9">
        <f t="shared" si="5"/>
        <v>0</v>
      </c>
      <c r="P14" s="9">
        <f t="shared" si="6"/>
        <v>24</v>
      </c>
      <c r="Q14" s="77">
        <f>IFERROR(VLOOKUP(Vaktplan!$A$64,Vaktplan!$BH$4:$CL$35,86-AJ67,FALSE),0)</f>
        <v>0</v>
      </c>
      <c r="R14" s="77">
        <f>IFERROR(VLOOKUP(Vaktplan!$A$64,Vaktplan!$BH$4:$CL$35,86-AI67,FALSE),0)</f>
        <v>0</v>
      </c>
      <c r="S14" s="9">
        <f>IFERROR(VLOOKUP(Vaktplan!$A$64,Vaktplan!$BH$4:$CL$35,89-$AJ67,FALSE),0)</f>
        <v>0</v>
      </c>
      <c r="T14" s="9">
        <f t="shared" si="0"/>
        <v>0</v>
      </c>
      <c r="U14" s="9">
        <f t="shared" si="7"/>
        <v>24</v>
      </c>
      <c r="V14" s="77">
        <f>IFERROR(VLOOKUP(Vaktplan!$A$64,Vaktplan!$BI$4:$CL$35,86-AK67,FALSE),0)</f>
        <v>0</v>
      </c>
      <c r="W14" s="77">
        <f>IFERROR(VLOOKUP(Vaktplan!$A$64,Vaktplan!$BI$4:$CL$35,86-AJ67,FALSE),0)</f>
        <v>0</v>
      </c>
      <c r="X14" s="9">
        <f>IFERROR(VLOOKUP(Vaktplan!$A$64,Vaktplan!$BI$4:$CL$35,89-$AK67,FALSE),0)</f>
        <v>0</v>
      </c>
      <c r="Y14" s="9">
        <f>IF(AND(V14=0,W14=0),0,IF(V14&lt;W14,((W14-V14)*24)-X14,(((1-V14)+W14)*24)-X14))</f>
        <v>0</v>
      </c>
      <c r="Z14" s="9">
        <f t="shared" si="9"/>
        <v>24</v>
      </c>
      <c r="AA14" s="77">
        <f>IFERROR(VLOOKUP(Vaktplan!$A$64,Vaktplan!$BJ$4:$CL$35,86-AL67,FALSE),0)</f>
        <v>0</v>
      </c>
      <c r="AB14" s="77">
        <f>IFERROR(VLOOKUP(Vaktplan!$A$64,Vaktplan!$BJ$4:$CL$35,86-AK67,FALSE),0)</f>
        <v>0</v>
      </c>
      <c r="AC14" s="9">
        <f>IFERROR(VLOOKUP(Vaktplan!$A$64,Vaktplan!$BJ$4:$CL$35,89-$AL67,FALSE),0)</f>
        <v>0</v>
      </c>
      <c r="AD14" s="9">
        <f>IF(AND(AA14=0,AB14=0),0,IF(AA14&lt;AB14,((AB14-AA14)*24)-AC14,(((1-AA14)+AB14)*24)-AC14))</f>
        <v>0</v>
      </c>
      <c r="AE14" s="9">
        <f t="shared" si="11"/>
        <v>24</v>
      </c>
      <c r="AF14" s="77">
        <f>IFERROR(VLOOKUP(Vaktplan!$A$64,Vaktplan!$BK$4:$CL$35,86-AM67,FALSE),0)</f>
        <v>0</v>
      </c>
      <c r="AG14" s="77">
        <f>IFERROR(VLOOKUP(Vaktplan!$A$64,Vaktplan!$BK$4:$CL$35,86-AL67,FALSE),0)</f>
        <v>0</v>
      </c>
      <c r="AH14" s="9">
        <f>IFERROR(VLOOKUP(Vaktplan!$A$64,Vaktplan!$BK$4:$CL$35,89-$AM67,FALSE),0)</f>
        <v>0</v>
      </c>
      <c r="AI14" s="9">
        <f>IF(AND(AF14=0,AG14=0),0,IF(AF14&lt;AG14,((AG14-AF14)*24)-AH14,(((1-AF14)+AG14)*24)-AH14))</f>
        <v>0</v>
      </c>
      <c r="AJ14" s="9">
        <f t="shared" si="13"/>
        <v>24</v>
      </c>
      <c r="AK14" s="9">
        <f t="shared" si="1"/>
        <v>0</v>
      </c>
      <c r="AL14" s="92"/>
      <c r="AM14" s="10"/>
    </row>
    <row r="15" spans="1:39" ht="13" x14ac:dyDescent="0.25">
      <c r="A15" s="7">
        <v>10</v>
      </c>
      <c r="B15" s="77">
        <f>IFERROR(VLOOKUP(Vaktplan!$A$64,Vaktplan!$BL$4:$CL$35,87-AH68,FALSE),0)</f>
        <v>0</v>
      </c>
      <c r="C15" s="77">
        <f>IFERROR(VLOOKUP(Vaktplan!$A$64,Vaktplan!$BL$4:$CL$35,87-AG68,FALSE),0)</f>
        <v>0</v>
      </c>
      <c r="D15" s="9">
        <f>IFERROR(VLOOKUP(Vaktplan!$A$64,Vaktplan!$BL$4:$CL$35,89-AG68,FALSE),0)</f>
        <v>0</v>
      </c>
      <c r="E15" s="9">
        <f t="shared" si="16"/>
        <v>0</v>
      </c>
      <c r="F15" s="9">
        <f t="shared" si="2"/>
        <v>24</v>
      </c>
      <c r="G15" s="77">
        <f>IFERROR(VLOOKUP(Vaktplan!$A$64,Vaktplan!$BM$4:$CL$35,86-AH68,FALSE),0)</f>
        <v>0</v>
      </c>
      <c r="H15" s="77">
        <f>IFERROR(VLOOKUP(Vaktplan!$A$64,Vaktplan!$BM$4:$CL$35,86-AG68,FALSE),0)</f>
        <v>0</v>
      </c>
      <c r="I15" s="9">
        <f>IFERROR(VLOOKUP(Vaktplan!$A$64,Vaktplan!$BM$4:$CL$35,89-$AH68,FALSE),0)</f>
        <v>0</v>
      </c>
      <c r="J15" s="9">
        <f t="shared" si="3"/>
        <v>0</v>
      </c>
      <c r="K15" s="9">
        <f t="shared" si="4"/>
        <v>24</v>
      </c>
      <c r="L15" s="77">
        <f>IFERROR(VLOOKUP(Vaktplan!$A$64,Vaktplan!$BN$4:$CL$35,86-AI68,FALSE),0)</f>
        <v>0</v>
      </c>
      <c r="M15" s="77">
        <f>IFERROR(VLOOKUP(Vaktplan!$A$64,Vaktplan!$BN$4:$CL$35,86-AH68,FALSE),0)</f>
        <v>0</v>
      </c>
      <c r="N15" s="9">
        <f>IFERROR(VLOOKUP(Vaktplan!$A$64,Vaktplan!$BN$4:$CL$35,89-$AI68,FALSE),0)</f>
        <v>0</v>
      </c>
      <c r="O15" s="9">
        <f t="shared" si="5"/>
        <v>0</v>
      </c>
      <c r="P15" s="9">
        <f t="shared" si="6"/>
        <v>24</v>
      </c>
      <c r="Q15" s="77">
        <f>IFERROR(VLOOKUP(Vaktplan!$A$64,Vaktplan!$BO$4:$CL$35,86-AJ68,FALSE),0)</f>
        <v>0</v>
      </c>
      <c r="R15" s="77">
        <f>IFERROR(VLOOKUP(Vaktplan!$A$64,Vaktplan!$BO$4:$CL$35,86-AI68,FALSE),0)</f>
        <v>0</v>
      </c>
      <c r="S15" s="9">
        <f>IFERROR(VLOOKUP(Vaktplan!$A$64,Vaktplan!$BO$4:$CL$35,89-$AJ68,FALSE),0)</f>
        <v>0</v>
      </c>
      <c r="T15" s="9">
        <f t="shared" si="0"/>
        <v>0</v>
      </c>
      <c r="U15" s="9">
        <f t="shared" si="7"/>
        <v>24</v>
      </c>
      <c r="V15" s="77">
        <f>IFERROR(VLOOKUP(Vaktplan!$A$64,Vaktplan!$BP$4:$CL$35,86-AK68,FALSE),0)</f>
        <v>0</v>
      </c>
      <c r="W15" s="77">
        <f>IFERROR(VLOOKUP(Vaktplan!$A$64,Vaktplan!$BP$4:$CL$35,86-AJ68,FALSE),0)</f>
        <v>0</v>
      </c>
      <c r="X15" s="9">
        <f>IFERROR(VLOOKUP(Vaktplan!$A$64,Vaktplan!$BP$4:$CL$35,89-$AK68,FALSE),0)</f>
        <v>0</v>
      </c>
      <c r="Y15" s="9">
        <f>IF(AND(V15=0,W15=0),0,IF(V15&lt;W15,((W15-V15)*24)-X15,(((1-V15)+W15)*24)-X15))</f>
        <v>0</v>
      </c>
      <c r="Z15" s="9">
        <f t="shared" si="9"/>
        <v>24</v>
      </c>
      <c r="AA15" s="77">
        <f>IFERROR(VLOOKUP(Vaktplan!$A$64,Vaktplan!$BQ$4:$CL$35,86-AL68,FALSE),0)</f>
        <v>0</v>
      </c>
      <c r="AB15" s="77">
        <f>IFERROR(VLOOKUP(Vaktplan!$A$64,Vaktplan!$BQ$4:$CL$35,86-AK68,FALSE),0)</f>
        <v>0</v>
      </c>
      <c r="AC15" s="9">
        <f>IFERROR(VLOOKUP(Vaktplan!$A$64,Vaktplan!$BQ$4:$CL$35,89-$AL68,FALSE),0)</f>
        <v>0</v>
      </c>
      <c r="AD15" s="9">
        <f>IF(AND(AA15=0,AB15=0),0,IF(AA15&lt;AB15,((AB15-AA15)*24)-AC15,(((1-AA15)+AB15)*24)-AC15))</f>
        <v>0</v>
      </c>
      <c r="AE15" s="9">
        <f t="shared" si="11"/>
        <v>24</v>
      </c>
      <c r="AF15" s="77">
        <f>IFERROR(VLOOKUP(Vaktplan!$A$64,Vaktplan!$BR$4:$CL$35,86-AM68,FALSE),0)</f>
        <v>0</v>
      </c>
      <c r="AG15" s="77">
        <f>IFERROR(VLOOKUP(Vaktplan!$A$64,Vaktplan!$BR$4:$CL$35,86-AL68,FALSE),0)</f>
        <v>0</v>
      </c>
      <c r="AH15" s="9">
        <f>IFERROR(VLOOKUP(Vaktplan!$A$64,Vaktplan!$BR$4:$CL$35,89-$AM68,FALSE),0)</f>
        <v>0</v>
      </c>
      <c r="AI15" s="9">
        <f>IF(AND(AF15=0,AG15=0),0,IF(AF15&lt;AG15,((AG15-AF15)*24)-AH15,(((1-AF15)+AG15)*24)-AH15))</f>
        <v>0</v>
      </c>
      <c r="AJ15" s="9">
        <f t="shared" si="13"/>
        <v>24</v>
      </c>
      <c r="AK15" s="9">
        <f t="shared" si="1"/>
        <v>0</v>
      </c>
      <c r="AL15" s="92"/>
      <c r="AM15" s="10"/>
    </row>
    <row r="16" spans="1:39" ht="13" x14ac:dyDescent="0.25">
      <c r="A16" s="7">
        <v>11</v>
      </c>
      <c r="B16" s="77">
        <f>IFERROR(VLOOKUP(Vaktplan!$A$64,Vaktplan!$BS$4:$CL$35,87-AH69,FALSE),0)</f>
        <v>0</v>
      </c>
      <c r="C16" s="77">
        <f>IFERROR(VLOOKUP(Vaktplan!$A$64,Vaktplan!$BS$4:$CL$35,87-AG69,FALSE),0)</f>
        <v>0</v>
      </c>
      <c r="D16" s="9">
        <f>IFERROR(VLOOKUP(Vaktplan!$A$64,Vaktplan!$BS$4:$CL$35,89-AG69,FALSE),0)</f>
        <v>0</v>
      </c>
      <c r="E16" s="9">
        <f t="shared" si="16"/>
        <v>0</v>
      </c>
      <c r="F16" s="9">
        <f t="shared" si="2"/>
        <v>24</v>
      </c>
      <c r="G16" s="77">
        <f>IFERROR(VLOOKUP(Vaktplan!$A$64,Vaktplan!$BT$4:$CL$35,86-AH69,FALSE),0)</f>
        <v>0</v>
      </c>
      <c r="H16" s="77">
        <f>IFERROR(VLOOKUP(Vaktplan!$A$64,Vaktplan!$BT$4:$CL$35,86-AG69,FALSE),0)</f>
        <v>0</v>
      </c>
      <c r="I16" s="9">
        <f>IFERROR(VLOOKUP(Vaktplan!$A$64,Vaktplan!$BT$4:$CL$35,89-$AH69,FALSE),0)</f>
        <v>0</v>
      </c>
      <c r="J16" s="9">
        <f t="shared" si="3"/>
        <v>0</v>
      </c>
      <c r="K16" s="9">
        <f t="shared" si="4"/>
        <v>24</v>
      </c>
      <c r="L16" s="77">
        <f>IFERROR(VLOOKUP(Vaktplan!$A$64,Vaktplan!$BU$4:$CL$35,86-AI69,FALSE),0)</f>
        <v>0</v>
      </c>
      <c r="M16" s="77">
        <f>IFERROR(VLOOKUP(Vaktplan!$A$64,Vaktplan!$BU$4:$CL$35,86-AH69,FALSE),0)</f>
        <v>0</v>
      </c>
      <c r="N16" s="9">
        <f>IFERROR(VLOOKUP(Vaktplan!$A$64,Vaktplan!$BU$4:$CL$35,89-$AI69,FALSE),0)</f>
        <v>0</v>
      </c>
      <c r="O16" s="9">
        <f t="shared" si="5"/>
        <v>0</v>
      </c>
      <c r="P16" s="9">
        <f t="shared" si="6"/>
        <v>24</v>
      </c>
      <c r="Q16" s="77">
        <f>IFERROR(VLOOKUP(Vaktplan!$A$64,Vaktplan!$BV$4:$CL$35,86-AJ69,FALSE),0)</f>
        <v>0</v>
      </c>
      <c r="R16" s="77">
        <f>IFERROR(VLOOKUP(Vaktplan!$A$64,Vaktplan!$BV$4:$CL$35,86-AI69,FALSE),0)</f>
        <v>0</v>
      </c>
      <c r="S16" s="9">
        <f>IFERROR(VLOOKUP(Vaktplan!$A$64,Vaktplan!$BV$4:$CL$35,89-$AJ69,FALSE),0)</f>
        <v>0</v>
      </c>
      <c r="T16" s="9">
        <f t="shared" si="0"/>
        <v>0</v>
      </c>
      <c r="U16" s="9">
        <f t="shared" si="7"/>
        <v>24</v>
      </c>
      <c r="V16" s="77">
        <f>IFERROR(VLOOKUP(Vaktplan!$A$64,Vaktplan!$BW$4:$CL$35,86-AK69,FALSE),0)</f>
        <v>0</v>
      </c>
      <c r="W16" s="77">
        <f>IFERROR(VLOOKUP(Vaktplan!$A$64,Vaktplan!$BW$4:$CL$35,86-AJ69,FALSE),0)</f>
        <v>0</v>
      </c>
      <c r="X16" s="9">
        <f>IFERROR(VLOOKUP(Vaktplan!$A$64,Vaktplan!$BW$4:$CL$35,89-$AK69,FALSE),0)</f>
        <v>0</v>
      </c>
      <c r="Y16" s="9">
        <f>IF(AND(V16=0,W16=0),0,IF(V16&lt;W16,((W16-V16)*24)-X16,(((1-V16)+W16)*24)-X16))</f>
        <v>0</v>
      </c>
      <c r="Z16" s="9">
        <f t="shared" si="9"/>
        <v>24</v>
      </c>
      <c r="AA16" s="77">
        <f>IFERROR(VLOOKUP(Vaktplan!$A$64,Vaktplan!$BX$4:$CL$35,86-AL69,FALSE),0)</f>
        <v>0</v>
      </c>
      <c r="AB16" s="77">
        <f>IFERROR(VLOOKUP(Vaktplan!$A$64,Vaktplan!$BX$4:$CL$35,86-AK69,FALSE),0)</f>
        <v>0</v>
      </c>
      <c r="AC16" s="9">
        <f>IFERROR(VLOOKUP(Vaktplan!$A$64,Vaktplan!$BX$4:$CL$35,89-$AL69,FALSE),0)</f>
        <v>0</v>
      </c>
      <c r="AD16" s="9">
        <f>IF(AND(AA16=0,AB16=0),0,IF(AA16&lt;AB16,((AB16-AA16)*24)-AC16,(((1-AA16)+AB16)*24)-AC16))</f>
        <v>0</v>
      </c>
      <c r="AE16" s="9">
        <f t="shared" si="11"/>
        <v>24</v>
      </c>
      <c r="AF16" s="77">
        <f>IFERROR(VLOOKUP(Vaktplan!$A$64,Vaktplan!$BY$4:$CL$35,86-AM69,FALSE),0)</f>
        <v>0</v>
      </c>
      <c r="AG16" s="77">
        <f>IFERROR(VLOOKUP(Vaktplan!$A$64,Vaktplan!$BY$4:$CL$35,86-AL69,FALSE),0)</f>
        <v>0</v>
      </c>
      <c r="AH16" s="9">
        <f>IFERROR(VLOOKUP(Vaktplan!$A$64,Vaktplan!$BY$4:$CL$35,89-$AM69,FALSE),0)</f>
        <v>0</v>
      </c>
      <c r="AI16" s="9">
        <f>IF(AND(AF16=0,AG16=0),0,IF(AF16&lt;AG16,((AG16-AF16)*24)-AH16,(((1-AF16)+AG16)*24)-AH16))</f>
        <v>0</v>
      </c>
      <c r="AJ16" s="9">
        <f t="shared" si="13"/>
        <v>24</v>
      </c>
      <c r="AK16" s="9">
        <f t="shared" si="1"/>
        <v>0</v>
      </c>
      <c r="AL16" s="92"/>
      <c r="AM16" s="10"/>
    </row>
    <row r="17" spans="1:43" ht="13" x14ac:dyDescent="0.25">
      <c r="A17" s="7">
        <v>12</v>
      </c>
      <c r="B17" s="77">
        <f>IFERROR(VLOOKUP(Vaktplan!$A$64,Vaktplan!$BZ$4:$CL$35,87-AH70,FALSE),0)</f>
        <v>0</v>
      </c>
      <c r="C17" s="77">
        <f>IFERROR(VLOOKUP(Vaktplan!$A$64,Vaktplan!$BZ$4:$CL$35,87-AG70,FALSE),0)</f>
        <v>0</v>
      </c>
      <c r="D17" s="9">
        <f>IFERROR(VLOOKUP(Vaktplan!$A$64,Vaktplan!$BZ$4:$CL$35,89-AG70,FALSE),0)</f>
        <v>0</v>
      </c>
      <c r="E17" s="9">
        <f t="shared" si="16"/>
        <v>0</v>
      </c>
      <c r="F17" s="9">
        <f t="shared" si="2"/>
        <v>24</v>
      </c>
      <c r="G17" s="77">
        <f>IFERROR(VLOOKUP(Vaktplan!$A$64,Vaktplan!$CA$4:$CL$35,86-AH70,FALSE),0)</f>
        <v>0</v>
      </c>
      <c r="H17" s="77">
        <f>IFERROR(VLOOKUP(Vaktplan!$A$64,Vaktplan!$CA$4:$CL$35,86-AG70,FALSE),0)</f>
        <v>0</v>
      </c>
      <c r="I17" s="9">
        <f>IFERROR(VLOOKUP(Vaktplan!$A$64,Vaktplan!$CA$4:$CL$35,89-$AH70,FALSE),0)</f>
        <v>0</v>
      </c>
      <c r="J17" s="9">
        <f t="shared" si="3"/>
        <v>0</v>
      </c>
      <c r="K17" s="9">
        <f t="shared" si="4"/>
        <v>24</v>
      </c>
      <c r="L17" s="77">
        <f>IFERROR(VLOOKUP(Vaktplan!$A$64,Vaktplan!$CB$4:$CL$35,86-AI70,FALSE),0)</f>
        <v>0</v>
      </c>
      <c r="M17" s="77">
        <f>IFERROR(VLOOKUP(Vaktplan!$A$64,Vaktplan!$CB$4:$CL$35,86-AH70,FALSE),0)</f>
        <v>0</v>
      </c>
      <c r="N17" s="9">
        <f>IFERROR(VLOOKUP(Vaktplan!$A$64,Vaktplan!$CB$4:$CL$35,89-$AI70,FALSE),0)</f>
        <v>0</v>
      </c>
      <c r="O17" s="9">
        <f t="shared" si="5"/>
        <v>0</v>
      </c>
      <c r="P17" s="9">
        <f t="shared" si="6"/>
        <v>24</v>
      </c>
      <c r="Q17" s="77">
        <f>IFERROR(VLOOKUP(Vaktplan!$A$64,Vaktplan!$CC$4:$CL$35,86-AJ70,FALSE),0)</f>
        <v>0</v>
      </c>
      <c r="R17" s="77">
        <f>IFERROR(VLOOKUP(Vaktplan!$A$64,Vaktplan!$CC$4:$CL$35,86-AI70,FALSE),0)</f>
        <v>0</v>
      </c>
      <c r="S17" s="9">
        <f>IFERROR(VLOOKUP(Vaktplan!$A$64,Vaktplan!$CC$4:$CL$35,89-$AJ70,FALSE),0)</f>
        <v>0</v>
      </c>
      <c r="T17" s="9">
        <f t="shared" si="0"/>
        <v>0</v>
      </c>
      <c r="U17" s="9">
        <f t="shared" si="7"/>
        <v>24</v>
      </c>
      <c r="V17" s="77">
        <f>IFERROR(VLOOKUP(Vaktplan!$A$64,Vaktplan!$CD$4:$CL$35,86-AK70,FALSE),0)</f>
        <v>0</v>
      </c>
      <c r="W17" s="77">
        <f>IFERROR(VLOOKUP(Vaktplan!$A$64,Vaktplan!$CD$4:$CL$35,86-AJ70,FALSE),0)</f>
        <v>0</v>
      </c>
      <c r="X17" s="9">
        <f>IFERROR(VLOOKUP(Vaktplan!$A$64,Vaktplan!$CD$4:$CL$35,89-$AK70,FALSE),0)</f>
        <v>0</v>
      </c>
      <c r="Y17" s="9">
        <f>IF(AND(V17=0,W17=0),0,IF(V17&lt;W17,((W17-V17)*24)-X17,(((1-V17)+W17)*24)-X17))</f>
        <v>0</v>
      </c>
      <c r="Z17" s="9">
        <f t="shared" si="9"/>
        <v>24</v>
      </c>
      <c r="AA17" s="77">
        <f>IFERROR(VLOOKUP(Vaktplan!$A$64,Vaktplan!$CE$4:$CL$35,86-AL70,FALSE),0)</f>
        <v>0</v>
      </c>
      <c r="AB17" s="77">
        <f>IFERROR(VLOOKUP(Vaktplan!$A$64,Vaktplan!$CE$4:$CL$35,86-AK70,FALSE),0)</f>
        <v>0</v>
      </c>
      <c r="AC17" s="9">
        <f>IFERROR(VLOOKUP(Vaktplan!$A$64,Vaktplan!$CE$4:$FCE$35,89-$AL70,FALSE),0)</f>
        <v>0</v>
      </c>
      <c r="AD17" s="9">
        <f>IF(AND(AA17=0,AB17=0),0,IF(AA17&lt;AB17,((AB17-AA17)*24)-AC17,(((1-AA17)+AB17)*24)-AC17))</f>
        <v>0</v>
      </c>
      <c r="AE17" s="9">
        <f t="shared" si="11"/>
        <v>24</v>
      </c>
      <c r="AF17" s="77">
        <f>IFERROR(VLOOKUP(Vaktplan!$A$64,Vaktplan!$CF$4:$CL$35,86-AM70,FALSE),0)</f>
        <v>0</v>
      </c>
      <c r="AG17" s="77">
        <f>IFERROR(VLOOKUP(Vaktplan!$A$64,Vaktplan!$CF$4:$CL$35,86-AL70,FALSE),0)</f>
        <v>0</v>
      </c>
      <c r="AH17" s="9">
        <f>IFERROR(VLOOKUP(Vaktplan!$A$64,Vaktplan!$CF$4:$CL$35,89-$AM70,FALSE),0)</f>
        <v>0</v>
      </c>
      <c r="AI17" s="9">
        <f>IF(AND(AF17=0,AG17=0),0,IF(AF17&lt;AG17,((AG17-AF17)*24)-AH17,(((1-AF17)+AG17)*24)-AH17))</f>
        <v>0</v>
      </c>
      <c r="AJ17" s="9">
        <f t="shared" si="13"/>
        <v>24</v>
      </c>
      <c r="AK17" s="9">
        <f t="shared" si="1"/>
        <v>0</v>
      </c>
      <c r="AL17" s="92"/>
      <c r="AM17" s="10"/>
    </row>
    <row r="19" spans="1:43" ht="13" x14ac:dyDescent="0.3">
      <c r="A19" s="4" t="s">
        <v>76</v>
      </c>
    </row>
    <row r="20" spans="1:43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3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3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3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3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6" spans="1:43" ht="13" x14ac:dyDescent="0.3">
      <c r="A26" s="4" t="s">
        <v>77</v>
      </c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</row>
    <row r="27" spans="1:43" ht="13" x14ac:dyDescent="0.3">
      <c r="A27" s="3" t="s">
        <v>78</v>
      </c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80" t="s">
        <v>79</v>
      </c>
      <c r="AM27" s="78"/>
      <c r="AN27" s="78"/>
      <c r="AO27" s="78"/>
    </row>
    <row r="28" spans="1:43" ht="13" x14ac:dyDescent="0.3">
      <c r="A28" s="98" t="s">
        <v>36</v>
      </c>
      <c r="B28" s="98"/>
      <c r="C28" s="98"/>
      <c r="D28" s="88"/>
      <c r="E28" s="8">
        <f>E2</f>
        <v>0</v>
      </c>
      <c r="F28" s="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>
        <v>1</v>
      </c>
      <c r="AM28" s="78"/>
      <c r="AN28" s="78"/>
      <c r="AO28" s="78"/>
    </row>
    <row r="29" spans="1:43" ht="13" x14ac:dyDescent="0.3">
      <c r="A29" s="98" t="s">
        <v>80</v>
      </c>
      <c r="B29" s="98"/>
      <c r="C29" s="98"/>
      <c r="D29" s="88"/>
      <c r="E29" s="5">
        <f>E3</f>
        <v>0</v>
      </c>
      <c r="F29" s="5"/>
      <c r="T29" s="10"/>
      <c r="U29" s="10"/>
      <c r="V29" s="10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80" t="s">
        <v>81</v>
      </c>
      <c r="AH29" s="80"/>
      <c r="AI29" s="78"/>
      <c r="AJ29" s="78"/>
      <c r="AK29" s="78"/>
      <c r="AL29" s="78">
        <v>2</v>
      </c>
      <c r="AM29" s="78"/>
      <c r="AN29" s="78"/>
      <c r="AO29" s="78"/>
      <c r="AP29" s="10"/>
      <c r="AQ29" s="10"/>
    </row>
    <row r="30" spans="1:43" ht="13" x14ac:dyDescent="0.3">
      <c r="A30" s="98" t="s">
        <v>82</v>
      </c>
      <c r="B30" s="98"/>
      <c r="C30" s="98"/>
      <c r="D30" s="88"/>
      <c r="T30" s="10"/>
      <c r="U30" s="10"/>
      <c r="V30" s="10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>
        <v>3</v>
      </c>
      <c r="AM30" s="78"/>
      <c r="AN30" s="78"/>
      <c r="AO30" s="78"/>
      <c r="AP30" s="10"/>
      <c r="AQ30" s="10"/>
    </row>
    <row r="31" spans="1:43" ht="13" x14ac:dyDescent="0.3">
      <c r="A31" s="4" t="s">
        <v>83</v>
      </c>
      <c r="B31" s="4" t="s">
        <v>84</v>
      </c>
      <c r="C31" s="4" t="s">
        <v>85</v>
      </c>
      <c r="D31" s="98" t="s">
        <v>86</v>
      </c>
      <c r="E31" s="98"/>
      <c r="F31" s="4" t="s">
        <v>87</v>
      </c>
      <c r="G31" s="4" t="s">
        <v>88</v>
      </c>
      <c r="H31" s="98" t="s">
        <v>27</v>
      </c>
      <c r="I31" s="98"/>
      <c r="J31" s="4" t="s">
        <v>28</v>
      </c>
      <c r="K31" s="4" t="s">
        <v>29</v>
      </c>
      <c r="L31" s="4" t="s">
        <v>30</v>
      </c>
      <c r="M31" s="4" t="s">
        <v>31</v>
      </c>
      <c r="N31" s="98" t="s">
        <v>32</v>
      </c>
      <c r="O31" s="98"/>
      <c r="T31" s="10"/>
      <c r="U31" s="10"/>
      <c r="V31" s="10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80" t="s">
        <v>9</v>
      </c>
      <c r="AH31" s="80"/>
      <c r="AI31" s="78"/>
      <c r="AJ31" s="78"/>
      <c r="AK31" s="78"/>
      <c r="AL31" s="78">
        <v>4</v>
      </c>
      <c r="AM31" s="78"/>
      <c r="AN31" s="78"/>
      <c r="AO31" s="78"/>
      <c r="AP31" s="10"/>
      <c r="AQ31" s="10"/>
    </row>
    <row r="32" spans="1:43" ht="13" x14ac:dyDescent="0.3">
      <c r="A32" s="3">
        <f>AK6</f>
        <v>0</v>
      </c>
      <c r="B32" s="3">
        <f>AK7</f>
        <v>0</v>
      </c>
      <c r="C32" s="3">
        <f>AK8</f>
        <v>0</v>
      </c>
      <c r="D32" s="101">
        <f>AK9</f>
        <v>0</v>
      </c>
      <c r="E32" s="101"/>
      <c r="F32" s="3">
        <f>AK10</f>
        <v>0</v>
      </c>
      <c r="G32" s="3">
        <f>AK11</f>
        <v>0</v>
      </c>
      <c r="H32" s="101">
        <f>AK12</f>
        <v>0</v>
      </c>
      <c r="I32" s="101"/>
      <c r="J32" s="3">
        <f>AK13</f>
        <v>0</v>
      </c>
      <c r="K32" s="3">
        <f>AK14</f>
        <v>0</v>
      </c>
      <c r="L32" s="3">
        <f>AK15</f>
        <v>0</v>
      </c>
      <c r="M32" s="3">
        <f>AK16</f>
        <v>0</v>
      </c>
      <c r="N32" s="101">
        <f>AK17</f>
        <v>0</v>
      </c>
      <c r="O32" s="101"/>
      <c r="T32" s="11" t="s">
        <v>70</v>
      </c>
      <c r="U32" s="10" t="s">
        <v>89</v>
      </c>
      <c r="V32" s="10" t="s">
        <v>90</v>
      </c>
      <c r="W32" s="78" t="s">
        <v>91</v>
      </c>
      <c r="X32" s="78" t="s">
        <v>92</v>
      </c>
      <c r="Y32" s="78" t="s">
        <v>93</v>
      </c>
      <c r="Z32" s="78" t="s">
        <v>94</v>
      </c>
      <c r="AA32" s="78"/>
      <c r="AB32" s="78"/>
      <c r="AC32" s="78"/>
      <c r="AD32" s="78"/>
      <c r="AE32" s="78"/>
      <c r="AF32" s="78"/>
      <c r="AG32" s="78" t="s">
        <v>10</v>
      </c>
      <c r="AH32" s="78"/>
      <c r="AI32" s="79">
        <v>42177</v>
      </c>
      <c r="AJ32" s="79"/>
      <c r="AK32" s="78"/>
      <c r="AL32" s="78">
        <v>5</v>
      </c>
      <c r="AM32" s="78"/>
      <c r="AN32" s="78"/>
      <c r="AO32" s="78"/>
      <c r="AP32" s="10"/>
      <c r="AQ32" s="10"/>
    </row>
    <row r="33" spans="1:43" ht="13" x14ac:dyDescent="0.3">
      <c r="A33" s="98" t="s">
        <v>95</v>
      </c>
      <c r="B33" s="98"/>
      <c r="C33" s="98"/>
      <c r="D33" s="88"/>
      <c r="G33" s="101"/>
      <c r="H33" s="101"/>
      <c r="I33" s="90"/>
      <c r="T33" s="10">
        <v>1</v>
      </c>
      <c r="U33" s="10">
        <f>IF(AND(B6&gt;0,G6&gt;0),0,IF(AND(G6&gt;0),0,F6+K6))</f>
        <v>48</v>
      </c>
      <c r="V33" s="10">
        <f>IF(AND(G6&gt;0,L6&gt;0),0,IF(AND(L6&gt;0),0,K6+P6))</f>
        <v>48</v>
      </c>
      <c r="W33" s="78">
        <f>IF(AND(L6&gt;0,Q6&gt;0),0,IF(AND(Q6&gt;0),0,P6+U6))</f>
        <v>48</v>
      </c>
      <c r="X33" s="78">
        <f>IF(AND(Q6&gt;0,V6&gt;0),0,IF(AND(V6&gt;0),0,U6+Z6))</f>
        <v>48</v>
      </c>
      <c r="Y33" s="78">
        <f>IF(AND(V6&gt;0,AA6&gt;0),0,IF(AND(AA6&gt;0),0,Z6+AE6))</f>
        <v>48</v>
      </c>
      <c r="Z33" s="78">
        <f>IF(AND(AA6&gt;0,AF6&gt;0),0,IF(AND(AF6&gt;0),0,AE6+AJ6))</f>
        <v>48</v>
      </c>
      <c r="AA33" s="78"/>
      <c r="AB33" s="78"/>
      <c r="AC33" s="78"/>
      <c r="AD33" s="78"/>
      <c r="AE33" s="78"/>
      <c r="AF33" s="78"/>
      <c r="AG33" s="78" t="s">
        <v>11</v>
      </c>
      <c r="AH33" s="78"/>
      <c r="AI33" s="79">
        <v>42178</v>
      </c>
      <c r="AJ33" s="79"/>
      <c r="AK33" s="78"/>
      <c r="AL33" s="78">
        <v>6</v>
      </c>
      <c r="AM33" s="78"/>
      <c r="AN33" s="78"/>
      <c r="AO33" s="78"/>
      <c r="AP33" s="10"/>
      <c r="AQ33" s="10"/>
    </row>
    <row r="34" spans="1:43" x14ac:dyDescent="0.25">
      <c r="A34" s="101" t="s">
        <v>96</v>
      </c>
      <c r="B34" s="101"/>
      <c r="C34" s="3">
        <f>(AK6+AK7+AK8+AK9+AK10+AK11+AK12+AK13+AK14+AK15+AK16+AK17)/M1</f>
        <v>0</v>
      </c>
      <c r="T34" s="10">
        <v>2</v>
      </c>
      <c r="U34" s="10">
        <f t="shared" ref="U34:U40" si="17">IF(AND(B7&gt;0,G7&gt;0),0,IF(AND(G7&gt;0),0,F7+K7))</f>
        <v>48</v>
      </c>
      <c r="V34" s="10">
        <f t="shared" ref="V34:V40" si="18">IF(AND(G7&gt;0,L7&gt;0),0,IF(AND(L7&gt;0),0,K7+P7))</f>
        <v>48</v>
      </c>
      <c r="W34" s="78">
        <f t="shared" ref="W34:W44" si="19">IF(AND(L7&gt;0,Q7&gt;0),0,IF(AND(Q7&gt;0),0,P7+U7))</f>
        <v>48</v>
      </c>
      <c r="X34" s="78">
        <f t="shared" ref="X34:X44" si="20">IF(AND(Q7&gt;0,V7&gt;0),0,IF(AND(V7&gt;0),0,U7+Z7))</f>
        <v>48</v>
      </c>
      <c r="Y34" s="78">
        <f t="shared" ref="Y34:Y44" si="21">IF(AND(V7&gt;0,AA7&gt;0),0,IF(AND(AA7&gt;0),0,Z7+AE7))</f>
        <v>48</v>
      </c>
      <c r="Z34" s="78">
        <f t="shared" ref="Z34:Z44" si="22">IF(AND(AA7&gt;0,AF7&gt;0),0,IF(AND(AF7&gt;0),0,AE7+AJ7))</f>
        <v>48</v>
      </c>
      <c r="AA34" s="78"/>
      <c r="AB34" s="78"/>
      <c r="AC34" s="78"/>
      <c r="AD34" s="78"/>
      <c r="AE34" s="78"/>
      <c r="AF34" s="78"/>
      <c r="AG34" s="78" t="s">
        <v>12</v>
      </c>
      <c r="AH34" s="78"/>
      <c r="AI34" s="79">
        <v>42179</v>
      </c>
      <c r="AJ34" s="79"/>
      <c r="AK34" s="78"/>
      <c r="AL34" s="78">
        <v>7</v>
      </c>
      <c r="AM34" s="78"/>
      <c r="AN34" s="78"/>
      <c r="AO34" s="78"/>
      <c r="AP34" s="10"/>
      <c r="AQ34" s="10"/>
    </row>
    <row r="35" spans="1:43" x14ac:dyDescent="0.25">
      <c r="T35" s="10">
        <v>3</v>
      </c>
      <c r="U35" s="10">
        <f t="shared" si="17"/>
        <v>48</v>
      </c>
      <c r="V35" s="10">
        <f t="shared" si="18"/>
        <v>48</v>
      </c>
      <c r="W35" s="78">
        <f t="shared" si="19"/>
        <v>48</v>
      </c>
      <c r="X35" s="78">
        <f t="shared" si="20"/>
        <v>48</v>
      </c>
      <c r="Y35" s="78">
        <f t="shared" si="21"/>
        <v>48</v>
      </c>
      <c r="Z35" s="78">
        <f t="shared" si="22"/>
        <v>48</v>
      </c>
      <c r="AA35" s="78"/>
      <c r="AB35" s="78"/>
      <c r="AC35" s="78"/>
      <c r="AD35" s="78"/>
      <c r="AE35" s="78"/>
      <c r="AF35" s="78"/>
      <c r="AG35" s="78" t="s">
        <v>13</v>
      </c>
      <c r="AH35" s="78"/>
      <c r="AI35" s="79">
        <v>42180</v>
      </c>
      <c r="AJ35" s="79"/>
      <c r="AK35" s="78"/>
      <c r="AL35" s="78">
        <v>8</v>
      </c>
      <c r="AM35" s="78"/>
      <c r="AN35" s="78"/>
      <c r="AO35" s="78"/>
      <c r="AP35" s="78"/>
      <c r="AQ35" s="10"/>
    </row>
    <row r="36" spans="1:43" ht="13" x14ac:dyDescent="0.3">
      <c r="A36" s="98" t="s">
        <v>97</v>
      </c>
      <c r="B36" s="98"/>
      <c r="C36" s="98"/>
      <c r="D36" s="98"/>
      <c r="E36" s="98"/>
      <c r="F36" s="88"/>
      <c r="T36" s="10">
        <v>4</v>
      </c>
      <c r="U36" s="10">
        <f t="shared" si="17"/>
        <v>48</v>
      </c>
      <c r="V36" s="10">
        <f t="shared" si="18"/>
        <v>48</v>
      </c>
      <c r="W36" s="78">
        <f t="shared" si="19"/>
        <v>48</v>
      </c>
      <c r="X36" s="78">
        <f t="shared" si="20"/>
        <v>48</v>
      </c>
      <c r="Y36" s="78">
        <f t="shared" si="21"/>
        <v>48</v>
      </c>
      <c r="Z36" s="78">
        <f t="shared" si="22"/>
        <v>48</v>
      </c>
      <c r="AA36" s="78"/>
      <c r="AB36" s="78"/>
      <c r="AC36" s="78"/>
      <c r="AD36" s="78"/>
      <c r="AE36" s="78"/>
      <c r="AF36" s="78"/>
      <c r="AG36" s="78" t="s">
        <v>14</v>
      </c>
      <c r="AH36" s="78"/>
      <c r="AI36" s="79">
        <v>42181</v>
      </c>
      <c r="AJ36" s="79"/>
      <c r="AK36" s="78"/>
      <c r="AL36" s="3">
        <v>9</v>
      </c>
      <c r="AM36" s="78"/>
      <c r="AN36" s="78"/>
      <c r="AO36" s="78"/>
      <c r="AP36" s="78"/>
      <c r="AQ36" s="10"/>
    </row>
    <row r="37" spans="1:43" x14ac:dyDescent="0.25">
      <c r="A37" s="99" t="e">
        <f>C34/E3</f>
        <v>#DIV/0!</v>
      </c>
      <c r="B37" s="99"/>
      <c r="C37" s="99"/>
      <c r="T37" s="10">
        <v>5</v>
      </c>
      <c r="U37" s="10">
        <f t="shared" si="17"/>
        <v>48</v>
      </c>
      <c r="V37" s="10">
        <f t="shared" si="18"/>
        <v>48</v>
      </c>
      <c r="W37" s="78">
        <f t="shared" si="19"/>
        <v>48</v>
      </c>
      <c r="X37" s="78">
        <f t="shared" si="20"/>
        <v>48</v>
      </c>
      <c r="Y37" s="78">
        <f t="shared" si="21"/>
        <v>48</v>
      </c>
      <c r="Z37" s="78">
        <f t="shared" si="22"/>
        <v>48</v>
      </c>
      <c r="AA37" s="78"/>
      <c r="AB37" s="78"/>
      <c r="AC37" s="78"/>
      <c r="AD37" s="78"/>
      <c r="AE37" s="78"/>
      <c r="AF37" s="78"/>
      <c r="AG37" s="78" t="s">
        <v>15</v>
      </c>
      <c r="AH37" s="78"/>
      <c r="AI37" s="79">
        <v>42182</v>
      </c>
      <c r="AJ37" s="79"/>
      <c r="AK37" s="78"/>
      <c r="AL37" s="3">
        <v>10</v>
      </c>
      <c r="AM37" s="78"/>
      <c r="AN37" s="78"/>
      <c r="AO37" s="78"/>
      <c r="AP37" s="78"/>
      <c r="AQ37" s="10"/>
    </row>
    <row r="38" spans="1:43" x14ac:dyDescent="0.25">
      <c r="T38" s="10">
        <v>6</v>
      </c>
      <c r="U38" s="10">
        <f t="shared" si="17"/>
        <v>48</v>
      </c>
      <c r="V38" s="10">
        <f t="shared" si="18"/>
        <v>48</v>
      </c>
      <c r="W38" s="78">
        <f t="shared" si="19"/>
        <v>48</v>
      </c>
      <c r="X38" s="78">
        <f t="shared" si="20"/>
        <v>48</v>
      </c>
      <c r="Y38" s="78">
        <f t="shared" si="21"/>
        <v>48</v>
      </c>
      <c r="Z38" s="78">
        <f t="shared" si="22"/>
        <v>48</v>
      </c>
      <c r="AA38" s="78"/>
      <c r="AB38" s="78"/>
      <c r="AC38" s="78"/>
      <c r="AD38" s="78"/>
      <c r="AE38" s="78"/>
      <c r="AF38" s="78"/>
      <c r="AG38" s="78" t="s">
        <v>16</v>
      </c>
      <c r="AH38" s="78"/>
      <c r="AI38" s="79">
        <v>42183</v>
      </c>
      <c r="AJ38" s="79"/>
      <c r="AK38" s="78"/>
      <c r="AL38" s="3">
        <v>11</v>
      </c>
      <c r="AM38" s="78"/>
      <c r="AN38" s="78"/>
      <c r="AO38" s="78"/>
      <c r="AP38" s="78"/>
      <c r="AQ38" s="10"/>
    </row>
    <row r="39" spans="1:43" x14ac:dyDescent="0.25">
      <c r="T39" s="10">
        <v>7</v>
      </c>
      <c r="U39" s="10">
        <f t="shared" si="17"/>
        <v>48</v>
      </c>
      <c r="V39" s="10">
        <f t="shared" si="18"/>
        <v>48</v>
      </c>
      <c r="W39" s="78">
        <f t="shared" si="19"/>
        <v>48</v>
      </c>
      <c r="X39" s="78">
        <f t="shared" si="20"/>
        <v>48</v>
      </c>
      <c r="Y39" s="78">
        <f t="shared" si="21"/>
        <v>48</v>
      </c>
      <c r="Z39" s="78">
        <f t="shared" si="22"/>
        <v>48</v>
      </c>
      <c r="AA39" s="78"/>
      <c r="AB39" s="78"/>
      <c r="AC39" s="78"/>
      <c r="AD39" s="78"/>
      <c r="AE39" s="78"/>
      <c r="AF39" s="78"/>
      <c r="AG39" s="100">
        <f>IF(E1=AG32,AI32,IF(E1=AG33,AI33,IF(E1=AG34,AI34,IF(E1=AG35,AI35,IF(E1=AG36,AI36,IF(E1=AG37,AI37,IF(E1=AG38,AI38,AI32)))))))</f>
        <v>42177</v>
      </c>
      <c r="AH39" s="100"/>
      <c r="AI39" s="100"/>
      <c r="AJ39" s="100"/>
      <c r="AK39" s="100"/>
      <c r="AL39" s="3">
        <v>12</v>
      </c>
      <c r="AM39" s="78"/>
      <c r="AN39" s="78"/>
      <c r="AO39" s="78"/>
      <c r="AP39" s="78"/>
      <c r="AQ39" s="10"/>
    </row>
    <row r="40" spans="1:43" ht="13" x14ac:dyDescent="0.3">
      <c r="A40" s="4" t="s">
        <v>98</v>
      </c>
      <c r="T40" s="10">
        <v>8</v>
      </c>
      <c r="U40" s="10">
        <f t="shared" si="17"/>
        <v>48</v>
      </c>
      <c r="V40" s="10">
        <f t="shared" si="18"/>
        <v>48</v>
      </c>
      <c r="W40" s="78">
        <f t="shared" si="19"/>
        <v>48</v>
      </c>
      <c r="X40" s="78">
        <f t="shared" si="20"/>
        <v>48</v>
      </c>
      <c r="Y40" s="78">
        <f t="shared" si="21"/>
        <v>48</v>
      </c>
      <c r="Z40" s="78">
        <f t="shared" si="22"/>
        <v>48</v>
      </c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10"/>
    </row>
    <row r="41" spans="1:43" x14ac:dyDescent="0.25">
      <c r="A41" s="3" t="s">
        <v>99</v>
      </c>
      <c r="T41" s="10"/>
      <c r="U41" s="10"/>
      <c r="V41" s="10"/>
      <c r="W41" s="78">
        <f t="shared" si="19"/>
        <v>48</v>
      </c>
      <c r="X41" s="78">
        <f t="shared" si="20"/>
        <v>48</v>
      </c>
      <c r="Y41" s="78">
        <f t="shared" si="21"/>
        <v>48</v>
      </c>
      <c r="Z41" s="78">
        <f t="shared" si="22"/>
        <v>48</v>
      </c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10"/>
    </row>
    <row r="42" spans="1:43" ht="13" x14ac:dyDescent="0.3">
      <c r="A42" s="3" t="s">
        <v>100</v>
      </c>
      <c r="O42" s="81">
        <v>0.29166666666666669</v>
      </c>
      <c r="P42" s="81">
        <v>0.33333333333333331</v>
      </c>
      <c r="Q42" s="3">
        <f>(P42-O42)*24</f>
        <v>0.99999999999999911</v>
      </c>
      <c r="T42" s="10"/>
      <c r="U42" s="10"/>
      <c r="V42" s="10"/>
      <c r="W42" s="78">
        <f t="shared" si="19"/>
        <v>48</v>
      </c>
      <c r="X42" s="78">
        <f t="shared" si="20"/>
        <v>48</v>
      </c>
      <c r="Y42" s="78">
        <f t="shared" si="21"/>
        <v>48</v>
      </c>
      <c r="Z42" s="78">
        <f t="shared" si="22"/>
        <v>48</v>
      </c>
      <c r="AA42" s="78"/>
      <c r="AB42" s="78"/>
      <c r="AC42" s="78"/>
      <c r="AD42" s="78"/>
      <c r="AE42" s="78"/>
      <c r="AF42" s="78"/>
      <c r="AG42" s="80" t="s">
        <v>101</v>
      </c>
      <c r="AH42" s="80"/>
      <c r="AI42" s="78"/>
      <c r="AJ42" s="78"/>
      <c r="AK42" s="78"/>
      <c r="AL42" s="80" t="s">
        <v>102</v>
      </c>
      <c r="AM42" s="78"/>
      <c r="AN42" s="78"/>
      <c r="AO42" s="78"/>
      <c r="AP42" s="78"/>
      <c r="AQ42" s="10"/>
    </row>
    <row r="43" spans="1:43" x14ac:dyDescent="0.25">
      <c r="T43" s="10"/>
      <c r="U43" s="10"/>
      <c r="V43" s="10"/>
      <c r="W43" s="78">
        <f t="shared" si="19"/>
        <v>48</v>
      </c>
      <c r="X43" s="78">
        <f t="shared" si="20"/>
        <v>48</v>
      </c>
      <c r="Y43" s="78">
        <f t="shared" si="21"/>
        <v>48</v>
      </c>
      <c r="Z43" s="78">
        <f t="shared" si="22"/>
        <v>48</v>
      </c>
      <c r="AA43" s="78"/>
      <c r="AB43" s="78"/>
      <c r="AC43" s="78"/>
      <c r="AD43" s="78"/>
      <c r="AE43" s="78"/>
      <c r="AF43" s="78"/>
      <c r="AG43" s="78">
        <v>33.6</v>
      </c>
      <c r="AH43" s="78"/>
      <c r="AI43" s="78"/>
      <c r="AJ43" s="78"/>
      <c r="AK43" s="78"/>
      <c r="AL43" s="78" t="s">
        <v>103</v>
      </c>
      <c r="AM43" s="78"/>
      <c r="AN43" s="78"/>
      <c r="AO43" s="78"/>
      <c r="AP43" s="78"/>
      <c r="AQ43" s="10"/>
    </row>
    <row r="44" spans="1:43" x14ac:dyDescent="0.25">
      <c r="A44" s="3" t="s">
        <v>104</v>
      </c>
      <c r="T44" s="10"/>
      <c r="U44" s="10"/>
      <c r="V44" s="10"/>
      <c r="W44" s="78">
        <f t="shared" si="19"/>
        <v>48</v>
      </c>
      <c r="X44" s="78">
        <f t="shared" si="20"/>
        <v>48</v>
      </c>
      <c r="Y44" s="78">
        <f t="shared" si="21"/>
        <v>48</v>
      </c>
      <c r="Z44" s="78">
        <f t="shared" si="22"/>
        <v>48</v>
      </c>
      <c r="AA44" s="78"/>
      <c r="AB44" s="78"/>
      <c r="AC44" s="78"/>
      <c r="AD44" s="78"/>
      <c r="AE44" s="78"/>
      <c r="AF44" s="78"/>
      <c r="AG44" s="78">
        <v>35.5</v>
      </c>
      <c r="AH44" s="78"/>
      <c r="AI44" s="78"/>
      <c r="AJ44" s="78"/>
      <c r="AK44" s="78"/>
      <c r="AL44" s="78" t="s">
        <v>105</v>
      </c>
      <c r="AM44" s="78"/>
      <c r="AN44" s="78"/>
      <c r="AO44" s="78"/>
      <c r="AP44" s="78"/>
      <c r="AQ44" s="10"/>
    </row>
    <row r="45" spans="1:43" x14ac:dyDescent="0.25">
      <c r="A45" s="1">
        <v>11</v>
      </c>
      <c r="B45" s="5">
        <f>COUNTIF($F$6:$F$13,"&lt;" &amp; A45)+COUNTIF($K$6:$K$13,"&lt;" &amp; A45)+COUNTIF($P$6:$P$13,"&lt;" &amp; A45)+COUNTIF($U$6:$U$13,"&lt;" &amp; A45)+COUNTIF($Z$6:$Z$13,"&lt;" &amp; A45)+COUNTIF($AE$6:$AE$13,"&lt;" &amp; A45)+COUNTIF($AJ$6:$AJ$13,"&lt;" &amp; A45)</f>
        <v>0</v>
      </c>
      <c r="T45" s="10"/>
      <c r="U45" s="10"/>
      <c r="V45" s="10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>
        <v>37.5</v>
      </c>
      <c r="AH45" s="78"/>
      <c r="AI45" s="78"/>
      <c r="AJ45" s="78"/>
      <c r="AK45" s="78"/>
      <c r="AL45" s="78"/>
      <c r="AM45" s="78"/>
      <c r="AN45" s="78"/>
      <c r="AO45" s="78"/>
      <c r="AP45" s="78"/>
      <c r="AQ45" s="10"/>
    </row>
    <row r="46" spans="1:43" x14ac:dyDescent="0.25">
      <c r="T46" s="10"/>
      <c r="U46" s="10"/>
      <c r="V46" s="10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78"/>
      <c r="AQ46" s="10"/>
    </row>
    <row r="47" spans="1:43" x14ac:dyDescent="0.25">
      <c r="T47" s="10"/>
      <c r="U47" s="10"/>
      <c r="V47" s="10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10"/>
    </row>
    <row r="48" spans="1:43" x14ac:dyDescent="0.25">
      <c r="T48" s="10"/>
      <c r="U48" s="10"/>
      <c r="V48" s="10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78"/>
      <c r="AO48" s="78"/>
      <c r="AP48" s="78"/>
      <c r="AQ48" s="10"/>
    </row>
    <row r="49" spans="1:43" ht="13" x14ac:dyDescent="0.3">
      <c r="A49" s="4" t="s">
        <v>106</v>
      </c>
      <c r="T49" s="10"/>
      <c r="U49" s="10"/>
      <c r="V49" s="10"/>
      <c r="W49" s="78"/>
      <c r="X49" s="78"/>
      <c r="Y49" s="78"/>
      <c r="Z49" s="78"/>
      <c r="AA49" s="78"/>
      <c r="AB49" s="80" t="s">
        <v>107</v>
      </c>
      <c r="AC49" s="80"/>
      <c r="AD49" s="78"/>
      <c r="AE49" s="78"/>
      <c r="AF49" s="78"/>
      <c r="AG49" s="78"/>
      <c r="AH49" s="78"/>
      <c r="AI49" s="78"/>
      <c r="AJ49" s="78"/>
      <c r="AK49" s="78"/>
      <c r="AL49" s="78"/>
      <c r="AM49" s="78"/>
      <c r="AN49" s="78"/>
      <c r="AO49" s="78"/>
      <c r="AP49" s="78"/>
      <c r="AQ49" s="10"/>
    </row>
    <row r="50" spans="1:43" x14ac:dyDescent="0.25">
      <c r="A50" s="3" t="s">
        <v>108</v>
      </c>
      <c r="T50" s="10"/>
      <c r="U50" s="10"/>
      <c r="V50" s="10"/>
      <c r="W50" s="78"/>
      <c r="X50" s="78"/>
      <c r="Y50" s="78"/>
      <c r="Z50" s="78"/>
      <c r="AA50" s="78"/>
      <c r="AB50" s="78" t="s">
        <v>109</v>
      </c>
      <c r="AC50" s="78"/>
      <c r="AD50" s="78"/>
      <c r="AE50" s="78"/>
      <c r="AF50" s="78"/>
      <c r="AG50" s="78"/>
      <c r="AH50" s="78"/>
      <c r="AI50" s="78"/>
      <c r="AJ50" s="78"/>
      <c r="AK50" s="78"/>
      <c r="AL50" s="78"/>
      <c r="AM50" s="78"/>
      <c r="AN50" s="78"/>
      <c r="AO50" s="78"/>
      <c r="AP50" s="78"/>
      <c r="AQ50" s="10"/>
    </row>
    <row r="51" spans="1:43" ht="13" x14ac:dyDescent="0.3">
      <c r="A51" s="4" t="s">
        <v>110</v>
      </c>
      <c r="T51" s="10"/>
      <c r="U51" s="10"/>
      <c r="V51" s="10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  <c r="AN51" s="78"/>
      <c r="AO51" s="78"/>
      <c r="AP51" s="78"/>
      <c r="AQ51" s="10"/>
    </row>
    <row r="52" spans="1:43" x14ac:dyDescent="0.25">
      <c r="A52" s="3" t="s">
        <v>111</v>
      </c>
      <c r="T52" s="10"/>
      <c r="U52" s="10"/>
      <c r="V52" s="10"/>
      <c r="W52" s="78"/>
      <c r="X52" s="78"/>
      <c r="Y52" s="78"/>
      <c r="Z52" s="78"/>
      <c r="AA52" s="78"/>
      <c r="AB52" s="78" t="s">
        <v>112</v>
      </c>
      <c r="AC52" s="78"/>
      <c r="AD52" s="78"/>
      <c r="AE52" s="78"/>
      <c r="AF52" s="78"/>
      <c r="AG52" s="78"/>
      <c r="AH52" s="78"/>
      <c r="AI52" s="78"/>
      <c r="AJ52" s="78"/>
      <c r="AK52" s="78"/>
      <c r="AL52" s="78"/>
      <c r="AM52" s="78"/>
      <c r="AN52" s="78"/>
      <c r="AO52" s="78"/>
      <c r="AP52" s="78"/>
      <c r="AQ52" s="10"/>
    </row>
    <row r="53" spans="1:43" x14ac:dyDescent="0.25">
      <c r="A53" s="3" t="s">
        <v>113</v>
      </c>
      <c r="T53" s="10"/>
      <c r="U53" s="10"/>
      <c r="V53" s="10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78"/>
      <c r="AO53" s="78"/>
      <c r="AP53" s="78"/>
      <c r="AQ53" s="10"/>
    </row>
    <row r="54" spans="1:43" x14ac:dyDescent="0.25">
      <c r="A54" s="3" t="s">
        <v>114</v>
      </c>
      <c r="T54" s="10"/>
      <c r="U54" s="10"/>
      <c r="V54" s="10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78"/>
      <c r="AL54" s="78"/>
      <c r="AM54" s="78"/>
      <c r="AN54" s="78"/>
      <c r="AO54" s="78"/>
      <c r="AP54" s="78"/>
      <c r="AQ54" s="10"/>
    </row>
    <row r="55" spans="1:43" x14ac:dyDescent="0.25">
      <c r="T55" s="10"/>
      <c r="U55" s="10"/>
      <c r="V55" s="10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10"/>
    </row>
    <row r="56" spans="1:43" ht="13" x14ac:dyDescent="0.3">
      <c r="A56" s="4" t="s">
        <v>115</v>
      </c>
      <c r="T56" s="10"/>
      <c r="U56" s="10"/>
      <c r="V56" s="10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78"/>
      <c r="AO56" s="78"/>
      <c r="AP56" s="78"/>
      <c r="AQ56" s="10"/>
    </row>
    <row r="57" spans="1:43" x14ac:dyDescent="0.25">
      <c r="A57" s="3" t="s">
        <v>116</v>
      </c>
      <c r="T57" s="10"/>
      <c r="U57" s="10"/>
      <c r="V57" s="10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/>
      <c r="AO57" s="78"/>
      <c r="AP57" s="78"/>
      <c r="AQ57" s="10"/>
    </row>
    <row r="58" spans="1:43" ht="13" x14ac:dyDescent="0.3">
      <c r="A58" s="4" t="s">
        <v>110</v>
      </c>
      <c r="T58" s="10"/>
      <c r="U58" s="10"/>
      <c r="V58" s="10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 t="s">
        <v>117</v>
      </c>
      <c r="AH58" s="78"/>
      <c r="AI58" s="78"/>
      <c r="AJ58" s="78"/>
      <c r="AK58" s="78"/>
      <c r="AL58" s="78"/>
      <c r="AM58" s="78"/>
      <c r="AN58" s="78"/>
      <c r="AO58" s="78"/>
      <c r="AP58" s="78"/>
      <c r="AQ58" s="10"/>
    </row>
    <row r="59" spans="1:43" x14ac:dyDescent="0.25">
      <c r="A59" s="3" t="s">
        <v>111</v>
      </c>
      <c r="T59" s="10"/>
      <c r="U59" s="10"/>
      <c r="V59" s="10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>
        <v>0</v>
      </c>
      <c r="AH59" s="78">
        <v>1</v>
      </c>
      <c r="AI59" s="78">
        <v>2</v>
      </c>
      <c r="AJ59" s="78">
        <v>3</v>
      </c>
      <c r="AK59" s="78">
        <v>4</v>
      </c>
      <c r="AL59" s="78">
        <v>5</v>
      </c>
      <c r="AM59" s="78">
        <v>6</v>
      </c>
      <c r="AN59" s="78"/>
      <c r="AO59" s="78"/>
      <c r="AP59" s="78"/>
      <c r="AQ59" s="10"/>
    </row>
    <row r="60" spans="1:43" x14ac:dyDescent="0.25">
      <c r="A60" s="3" t="s">
        <v>113</v>
      </c>
      <c r="T60" s="10"/>
      <c r="U60" s="10"/>
      <c r="V60" s="10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>
        <v>7</v>
      </c>
      <c r="AH60" s="78">
        <v>8</v>
      </c>
      <c r="AI60" s="78">
        <v>9</v>
      </c>
      <c r="AJ60" s="78">
        <v>10</v>
      </c>
      <c r="AK60" s="78">
        <v>11</v>
      </c>
      <c r="AL60" s="78">
        <v>12</v>
      </c>
      <c r="AM60" s="78">
        <v>13</v>
      </c>
      <c r="AN60" s="78"/>
      <c r="AO60" s="78"/>
      <c r="AP60" s="78"/>
      <c r="AQ60" s="10"/>
    </row>
    <row r="61" spans="1:43" x14ac:dyDescent="0.25">
      <c r="T61" s="10"/>
      <c r="U61" s="10"/>
      <c r="V61" s="10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>
        <v>14</v>
      </c>
      <c r="AH61" s="78">
        <v>15</v>
      </c>
      <c r="AI61" s="78">
        <v>16</v>
      </c>
      <c r="AJ61" s="78">
        <v>17</v>
      </c>
      <c r="AK61" s="78">
        <v>18</v>
      </c>
      <c r="AL61" s="78">
        <v>19</v>
      </c>
      <c r="AM61" s="78">
        <v>20</v>
      </c>
      <c r="AN61" s="78"/>
      <c r="AO61" s="78"/>
      <c r="AP61" s="78"/>
      <c r="AQ61" s="10"/>
    </row>
    <row r="62" spans="1:43" ht="13" x14ac:dyDescent="0.3">
      <c r="A62" s="4" t="s">
        <v>118</v>
      </c>
      <c r="T62" s="10"/>
      <c r="U62" s="10"/>
      <c r="V62" s="10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>
        <v>21</v>
      </c>
      <c r="AH62" s="78">
        <v>22</v>
      </c>
      <c r="AI62" s="78">
        <v>23</v>
      </c>
      <c r="AJ62" s="78">
        <v>24</v>
      </c>
      <c r="AK62" s="78">
        <v>25</v>
      </c>
      <c r="AL62" s="78">
        <v>26</v>
      </c>
      <c r="AM62" s="78">
        <v>27</v>
      </c>
      <c r="AN62" s="78"/>
      <c r="AO62" s="78"/>
      <c r="AP62" s="78"/>
      <c r="AQ62" s="10"/>
    </row>
    <row r="63" spans="1:43" x14ac:dyDescent="0.25">
      <c r="A63" s="3" t="s">
        <v>119</v>
      </c>
      <c r="T63" s="10"/>
      <c r="U63" s="10"/>
      <c r="V63" s="10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>
        <v>28</v>
      </c>
      <c r="AH63" s="78">
        <v>29</v>
      </c>
      <c r="AI63" s="78">
        <v>30</v>
      </c>
      <c r="AJ63" s="78">
        <v>31</v>
      </c>
      <c r="AK63" s="78">
        <v>32</v>
      </c>
      <c r="AL63" s="78">
        <v>33</v>
      </c>
      <c r="AM63" s="78">
        <v>34</v>
      </c>
      <c r="AN63" s="78"/>
      <c r="AO63" s="78"/>
      <c r="AP63" s="78"/>
      <c r="AQ63" s="10"/>
    </row>
    <row r="64" spans="1:43" x14ac:dyDescent="0.25">
      <c r="A64" s="3" t="s">
        <v>120</v>
      </c>
      <c r="T64" s="10"/>
      <c r="U64" s="10"/>
      <c r="V64" s="10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>
        <v>35</v>
      </c>
      <c r="AH64" s="78">
        <v>36</v>
      </c>
      <c r="AI64" s="78">
        <v>37</v>
      </c>
      <c r="AJ64" s="78">
        <v>38</v>
      </c>
      <c r="AK64" s="78">
        <v>39</v>
      </c>
      <c r="AL64" s="78">
        <v>40</v>
      </c>
      <c r="AM64" s="78">
        <v>41</v>
      </c>
      <c r="AN64" s="78"/>
      <c r="AO64" s="78"/>
      <c r="AP64" s="78"/>
      <c r="AQ64" s="10"/>
    </row>
    <row r="65" spans="1:43" x14ac:dyDescent="0.25">
      <c r="T65" s="10"/>
      <c r="U65" s="10"/>
      <c r="V65" s="10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>
        <v>42</v>
      </c>
      <c r="AH65" s="78">
        <v>43</v>
      </c>
      <c r="AI65" s="78">
        <v>44</v>
      </c>
      <c r="AJ65" s="78">
        <v>45</v>
      </c>
      <c r="AK65" s="78">
        <v>46</v>
      </c>
      <c r="AL65" s="78">
        <v>47</v>
      </c>
      <c r="AM65" s="78">
        <v>48</v>
      </c>
      <c r="AN65" s="78"/>
      <c r="AO65" s="78"/>
      <c r="AP65" s="78"/>
      <c r="AQ65" s="10"/>
    </row>
    <row r="66" spans="1:43" ht="13" x14ac:dyDescent="0.3">
      <c r="A66" s="3" t="s">
        <v>121</v>
      </c>
      <c r="B66" s="4"/>
      <c r="T66" s="10"/>
      <c r="U66" s="10"/>
      <c r="V66" s="10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>
        <v>49</v>
      </c>
      <c r="AH66" s="78">
        <v>50</v>
      </c>
      <c r="AI66" s="78">
        <v>51</v>
      </c>
      <c r="AJ66" s="78">
        <v>52</v>
      </c>
      <c r="AK66" s="78">
        <v>53</v>
      </c>
      <c r="AL66" s="78">
        <v>54</v>
      </c>
      <c r="AM66" s="78">
        <v>55</v>
      </c>
      <c r="AN66" s="78"/>
      <c r="AO66" s="78"/>
      <c r="AP66" s="78"/>
      <c r="AQ66" s="10"/>
    </row>
    <row r="67" spans="1:43" ht="13" x14ac:dyDescent="0.3">
      <c r="A67" s="1">
        <v>9</v>
      </c>
      <c r="B67" s="5">
        <f>COUNTIF($E$6:$E$13,"&gt;" &amp; A67)+COUNTIF($J$6:$J$13,"&gt;" &amp; A67)+COUNTIF($O$6:$O$13,"&gt;" &amp; A67)+COUNTIF($T$6:$T$13,"&gt;" &amp; A67)+COUNTIF($Y$6:$Y$13,"&gt;" &amp; A67)+COUNTIF($AD$6:$AD$13,"&gt;" &amp; A67)+COUNTIF($AI$6:$AI$13,"&gt;" &amp; A67)</f>
        <v>0</v>
      </c>
      <c r="C67" s="3" t="s">
        <v>122</v>
      </c>
      <c r="E67" s="3" t="s">
        <v>123</v>
      </c>
      <c r="H67" s="1" t="s">
        <v>124</v>
      </c>
      <c r="L67" s="3" t="s">
        <v>125</v>
      </c>
      <c r="T67" s="10"/>
      <c r="U67" s="10"/>
      <c r="V67" s="10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>
        <v>56</v>
      </c>
      <c r="AH67" s="78">
        <v>57</v>
      </c>
      <c r="AI67" s="78">
        <v>58</v>
      </c>
      <c r="AJ67" s="78">
        <v>59</v>
      </c>
      <c r="AK67" s="78">
        <v>60</v>
      </c>
      <c r="AL67" s="78">
        <v>61</v>
      </c>
      <c r="AM67" s="78">
        <v>62</v>
      </c>
      <c r="AN67" s="78"/>
      <c r="AO67" s="78"/>
      <c r="AP67" s="78"/>
      <c r="AQ67" s="10"/>
    </row>
    <row r="68" spans="1:43" x14ac:dyDescent="0.25">
      <c r="T68" s="10"/>
      <c r="U68" s="10"/>
      <c r="V68" s="10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>
        <v>63</v>
      </c>
      <c r="AH68" s="78">
        <v>64</v>
      </c>
      <c r="AI68" s="78">
        <v>65</v>
      </c>
      <c r="AJ68" s="78">
        <v>66</v>
      </c>
      <c r="AK68" s="78">
        <v>67</v>
      </c>
      <c r="AL68" s="78">
        <v>68</v>
      </c>
      <c r="AM68" s="78">
        <v>69</v>
      </c>
      <c r="AN68" s="78"/>
      <c r="AO68" s="78"/>
      <c r="AP68" s="78"/>
      <c r="AQ68" s="10"/>
    </row>
    <row r="69" spans="1:43" x14ac:dyDescent="0.25">
      <c r="A69" s="3" t="s">
        <v>126</v>
      </c>
      <c r="T69" s="10"/>
      <c r="U69" s="10"/>
      <c r="V69" s="10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>
        <v>70</v>
      </c>
      <c r="AH69" s="78">
        <v>71</v>
      </c>
      <c r="AI69" s="78">
        <v>72</v>
      </c>
      <c r="AJ69" s="78">
        <v>73</v>
      </c>
      <c r="AK69" s="78">
        <v>74</v>
      </c>
      <c r="AL69" s="78">
        <v>75</v>
      </c>
      <c r="AM69" s="78">
        <v>76</v>
      </c>
      <c r="AN69" s="78"/>
      <c r="AO69" s="78"/>
      <c r="AP69" s="78"/>
      <c r="AQ69" s="10"/>
    </row>
    <row r="70" spans="1:43" x14ac:dyDescent="0.25">
      <c r="A70" s="1">
        <v>20</v>
      </c>
      <c r="B70" s="5">
        <f>COUNTIF($AK$6:$AK$13,"&gt;" &amp; A70)</f>
        <v>0</v>
      </c>
      <c r="C70" s="3" t="s">
        <v>127</v>
      </c>
      <c r="E70" s="3" t="s">
        <v>128</v>
      </c>
      <c r="H70" s="1" t="s">
        <v>124</v>
      </c>
      <c r="T70" s="10"/>
      <c r="U70" s="10"/>
      <c r="V70" s="10"/>
      <c r="W70" s="78"/>
      <c r="X70" s="78"/>
      <c r="Y70" s="78"/>
      <c r="Z70" s="78"/>
      <c r="AA70" s="78"/>
      <c r="AB70" s="78"/>
      <c r="AC70" s="78"/>
      <c r="AD70" s="78"/>
      <c r="AE70" s="78"/>
      <c r="AF70" s="78"/>
      <c r="AG70" s="78">
        <v>77</v>
      </c>
      <c r="AH70" s="78">
        <v>78</v>
      </c>
      <c r="AI70" s="78">
        <v>79</v>
      </c>
      <c r="AJ70" s="78">
        <v>80</v>
      </c>
      <c r="AK70" s="78">
        <v>81</v>
      </c>
      <c r="AL70" s="78">
        <v>82</v>
      </c>
      <c r="AM70" s="78">
        <v>83</v>
      </c>
      <c r="AN70" s="78"/>
      <c r="AO70" s="78"/>
      <c r="AP70" s="78"/>
      <c r="AQ70" s="10"/>
    </row>
    <row r="71" spans="1:43" x14ac:dyDescent="0.25">
      <c r="W71" s="78"/>
      <c r="X71" s="78"/>
      <c r="Y71" s="78"/>
      <c r="Z71" s="78"/>
      <c r="AA71" s="78"/>
      <c r="AB71" s="78"/>
      <c r="AC71" s="78"/>
      <c r="AD71" s="78"/>
      <c r="AE71" s="78"/>
      <c r="AF71" s="78"/>
      <c r="AG71" s="78">
        <v>84</v>
      </c>
      <c r="AH71" s="78">
        <v>85</v>
      </c>
      <c r="AI71" s="78">
        <v>86</v>
      </c>
      <c r="AJ71" s="78">
        <v>87</v>
      </c>
      <c r="AK71" s="78">
        <v>88</v>
      </c>
      <c r="AL71" s="78">
        <v>89</v>
      </c>
      <c r="AM71" s="78">
        <v>90</v>
      </c>
      <c r="AN71" s="78"/>
      <c r="AO71" s="78"/>
      <c r="AP71" s="78"/>
    </row>
    <row r="72" spans="1:43" x14ac:dyDescent="0.25"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  <c r="AL72" s="78"/>
      <c r="AM72" s="78"/>
      <c r="AN72" s="78"/>
      <c r="AO72" s="78"/>
      <c r="AP72" s="78"/>
    </row>
    <row r="73" spans="1:43" x14ac:dyDescent="0.25">
      <c r="W73" s="78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8"/>
      <c r="AK73" s="78"/>
      <c r="AL73" s="78"/>
      <c r="AM73" s="78"/>
      <c r="AN73" s="78"/>
      <c r="AO73" s="78"/>
      <c r="AP73" s="78"/>
    </row>
    <row r="74" spans="1:43" x14ac:dyDescent="0.25"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78"/>
      <c r="AO74" s="78"/>
      <c r="AP74" s="78"/>
    </row>
    <row r="75" spans="1:43" x14ac:dyDescent="0.25"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  <c r="AK75" s="78"/>
      <c r="AL75" s="78"/>
      <c r="AM75" s="78"/>
      <c r="AN75" s="78"/>
      <c r="AO75" s="78"/>
      <c r="AP75" s="78"/>
    </row>
    <row r="76" spans="1:43" x14ac:dyDescent="0.25">
      <c r="W76" s="78"/>
      <c r="X76" s="78"/>
      <c r="Y76" s="78"/>
      <c r="Z76" s="78"/>
      <c r="AA76" s="78"/>
      <c r="AB76" s="78"/>
      <c r="AC76" s="78"/>
      <c r="AD76" s="78"/>
      <c r="AE76" s="78"/>
      <c r="AF76" s="78"/>
      <c r="AG76" s="78"/>
      <c r="AH76" s="78"/>
      <c r="AI76" s="78"/>
      <c r="AJ76" s="78"/>
      <c r="AK76" s="78"/>
      <c r="AL76" s="78"/>
      <c r="AM76" s="78"/>
      <c r="AN76" s="78"/>
      <c r="AO76" s="78"/>
      <c r="AP76" s="78"/>
    </row>
    <row r="77" spans="1:43" x14ac:dyDescent="0.25"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78"/>
      <c r="AK77" s="78"/>
      <c r="AL77" s="78"/>
      <c r="AM77" s="78"/>
      <c r="AN77" s="78"/>
      <c r="AO77" s="78"/>
      <c r="AP77" s="78"/>
    </row>
    <row r="78" spans="1:43" x14ac:dyDescent="0.25">
      <c r="W78" s="78"/>
      <c r="X78" s="78"/>
      <c r="Y78" s="78"/>
      <c r="Z78" s="78"/>
      <c r="AA78" s="78"/>
      <c r="AB78" s="78"/>
      <c r="AC78" s="78"/>
      <c r="AD78" s="78"/>
      <c r="AE78" s="78"/>
      <c r="AF78" s="78"/>
      <c r="AG78" s="78"/>
      <c r="AH78" s="78"/>
      <c r="AI78" s="78"/>
      <c r="AJ78" s="78"/>
      <c r="AK78" s="78"/>
      <c r="AL78" s="78"/>
      <c r="AM78" s="78"/>
      <c r="AN78" s="78"/>
      <c r="AO78" s="78"/>
      <c r="AP78" s="78"/>
    </row>
    <row r="79" spans="1:43" x14ac:dyDescent="0.25">
      <c r="W79" s="78"/>
      <c r="X79" s="78"/>
      <c r="Y79" s="78"/>
      <c r="Z79" s="78"/>
      <c r="AA79" s="78"/>
      <c r="AB79" s="78"/>
      <c r="AC79" s="78"/>
      <c r="AD79" s="78"/>
      <c r="AE79" s="78"/>
      <c r="AF79" s="78"/>
      <c r="AG79" s="78"/>
      <c r="AH79" s="78"/>
      <c r="AI79" s="78"/>
      <c r="AJ79" s="78"/>
      <c r="AK79" s="78"/>
      <c r="AL79" s="78"/>
      <c r="AM79" s="78"/>
      <c r="AN79" s="78"/>
      <c r="AO79" s="78"/>
      <c r="AP79" s="78"/>
    </row>
    <row r="80" spans="1:43" x14ac:dyDescent="0.25">
      <c r="W80" s="78"/>
      <c r="X80" s="78"/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  <c r="AJ80" s="78"/>
      <c r="AK80" s="78"/>
      <c r="AL80" s="78"/>
      <c r="AM80" s="78"/>
      <c r="AN80" s="78"/>
      <c r="AO80" s="78"/>
      <c r="AP80" s="78"/>
    </row>
    <row r="81" spans="1:42" x14ac:dyDescent="0.25"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  <c r="AJ81" s="78"/>
      <c r="AK81" s="78"/>
      <c r="AL81" s="78"/>
      <c r="AM81" s="78"/>
      <c r="AN81" s="78"/>
      <c r="AO81" s="78"/>
      <c r="AP81" s="78"/>
    </row>
    <row r="82" spans="1:42" x14ac:dyDescent="0.25"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8"/>
      <c r="AH82" s="78"/>
      <c r="AI82" s="78"/>
      <c r="AJ82" s="78"/>
      <c r="AK82" s="78"/>
      <c r="AL82" s="78"/>
      <c r="AM82" s="78"/>
      <c r="AN82" s="78"/>
      <c r="AO82" s="78"/>
      <c r="AP82" s="78"/>
    </row>
    <row r="83" spans="1:42" x14ac:dyDescent="0.25"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</row>
    <row r="84" spans="1:42" x14ac:dyDescent="0.25"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</row>
    <row r="85" spans="1:42" x14ac:dyDescent="0.25"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</row>
    <row r="86" spans="1:42" x14ac:dyDescent="0.25"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8"/>
      <c r="AO86" s="78"/>
      <c r="AP86" s="78"/>
    </row>
    <row r="87" spans="1:42" x14ac:dyDescent="0.25"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  <c r="AN87" s="78"/>
      <c r="AO87" s="78"/>
      <c r="AP87" s="78"/>
    </row>
    <row r="95" spans="1:42" ht="13" x14ac:dyDescent="0.3">
      <c r="A95" s="4"/>
    </row>
  </sheetData>
  <sheetProtection algorithmName="SHA-512" hashValue="0hm0pT2TBljqbSIwwxLbWFqgOpMGRLCe4zd7+hrW5ioGxADan/lwKqKi6EEVM6VJ9Tmeh8sy458mcaS9XIBR8Q==" saltValue="+c1aC9qJkeFYIJ0Z11q1yg==" spinCount="100000" sheet="1" objects="1" scenarios="1"/>
  <mergeCells count="27">
    <mergeCell ref="A1:C1"/>
    <mergeCell ref="H1:L1"/>
    <mergeCell ref="A2:C2"/>
    <mergeCell ref="A3:C3"/>
    <mergeCell ref="B4:F4"/>
    <mergeCell ref="G4:J4"/>
    <mergeCell ref="L4:O4"/>
    <mergeCell ref="I2:J2"/>
    <mergeCell ref="Q4:T4"/>
    <mergeCell ref="V4:Y4"/>
    <mergeCell ref="AA4:AD4"/>
    <mergeCell ref="AF4:AI4"/>
    <mergeCell ref="AG39:AK39"/>
    <mergeCell ref="A28:C28"/>
    <mergeCell ref="A29:C29"/>
    <mergeCell ref="A30:C30"/>
    <mergeCell ref="D32:E32"/>
    <mergeCell ref="H32:I32"/>
    <mergeCell ref="A37:C37"/>
    <mergeCell ref="D31:E31"/>
    <mergeCell ref="H31:I31"/>
    <mergeCell ref="A36:E36"/>
    <mergeCell ref="N32:O32"/>
    <mergeCell ref="A33:C33"/>
    <mergeCell ref="G33:H33"/>
    <mergeCell ref="A34:B34"/>
    <mergeCell ref="N31:O31"/>
  </mergeCells>
  <conditionalFormatting sqref="A6:A17">
    <cfRule type="cellIs" dxfId="93" priority="363" operator="equal">
      <formula>0</formula>
    </cfRule>
  </conditionalFormatting>
  <conditionalFormatting sqref="A37">
    <cfRule type="cellIs" dxfId="92" priority="243" operator="notEqual">
      <formula>$E$2</formula>
    </cfRule>
    <cfRule type="cellIs" dxfId="91" priority="244" operator="equal">
      <formula>$E$2</formula>
    </cfRule>
  </conditionalFormatting>
  <conditionalFormatting sqref="A32:D32 F32:H32 C34">
    <cfRule type="cellIs" dxfId="90" priority="241" operator="notEqual">
      <formula>$E$3</formula>
    </cfRule>
    <cfRule type="cellIs" dxfId="89" priority="242" operator="equal">
      <formula>$E$3</formula>
    </cfRule>
  </conditionalFormatting>
  <conditionalFormatting sqref="B6:D17">
    <cfRule type="expression" dxfId="88" priority="112">
      <formula>$A6=0</formula>
    </cfRule>
  </conditionalFormatting>
  <conditionalFormatting sqref="E6:E17">
    <cfRule type="expression" dxfId="87" priority="116">
      <formula>AND($H$67="ja",E6&gt;$A$67)</formula>
    </cfRule>
    <cfRule type="cellIs" dxfId="86" priority="117" operator="greaterThanOrEqual">
      <formula>0</formula>
    </cfRule>
  </conditionalFormatting>
  <conditionalFormatting sqref="F6:F17">
    <cfRule type="cellIs" dxfId="85" priority="31" operator="lessThan">
      <formula>$A$45</formula>
    </cfRule>
    <cfRule type="cellIs" dxfId="84" priority="32" operator="equal">
      <formula>0</formula>
    </cfRule>
    <cfRule type="cellIs" dxfId="83" priority="33" operator="notEqual">
      <formula>0</formula>
    </cfRule>
  </conditionalFormatting>
  <conditionalFormatting sqref="G6:I17">
    <cfRule type="expression" dxfId="82" priority="52">
      <formula>$A6=0</formula>
    </cfRule>
  </conditionalFormatting>
  <conditionalFormatting sqref="J6:J17">
    <cfRule type="expression" dxfId="81" priority="104">
      <formula>AND($H$67="ja",J6&gt;$A$67)</formula>
    </cfRule>
    <cfRule type="cellIs" dxfId="80" priority="105" operator="greaterThanOrEqual">
      <formula>0</formula>
    </cfRule>
  </conditionalFormatting>
  <conditionalFormatting sqref="J32:N32">
    <cfRule type="cellIs" dxfId="79" priority="239" operator="notEqual">
      <formula>$E$3</formula>
    </cfRule>
    <cfRule type="cellIs" dxfId="78" priority="240" operator="equal">
      <formula>$E$3</formula>
    </cfRule>
  </conditionalFormatting>
  <conditionalFormatting sqref="K6:K17">
    <cfRule type="cellIs" dxfId="77" priority="28" operator="lessThan">
      <formula>$A$45</formula>
    </cfRule>
    <cfRule type="cellIs" dxfId="76" priority="29" operator="equal">
      <formula>0</formula>
    </cfRule>
    <cfRule type="cellIs" dxfId="75" priority="30" operator="notEqual">
      <formula>0</formula>
    </cfRule>
  </conditionalFormatting>
  <conditionalFormatting sqref="L6:N17">
    <cfRule type="expression" dxfId="74" priority="48">
      <formula>$A6=0</formula>
    </cfRule>
  </conditionalFormatting>
  <conditionalFormatting sqref="O6:O17">
    <cfRule type="cellIs" dxfId="73" priority="97" operator="greaterThanOrEqual">
      <formula>0</formula>
    </cfRule>
    <cfRule type="expression" dxfId="72" priority="96">
      <formula>AND($H$67="ja",O6&gt;$A$67)</formula>
    </cfRule>
  </conditionalFormatting>
  <conditionalFormatting sqref="P6:P17">
    <cfRule type="cellIs" dxfId="71" priority="22" operator="lessThan">
      <formula>$A$45</formula>
    </cfRule>
    <cfRule type="cellIs" dxfId="70" priority="23" operator="equal">
      <formula>0</formula>
    </cfRule>
    <cfRule type="cellIs" dxfId="69" priority="24" operator="notEqual">
      <formula>0</formula>
    </cfRule>
  </conditionalFormatting>
  <conditionalFormatting sqref="Q6:S17">
    <cfRule type="expression" dxfId="68" priority="47">
      <formula>$A6=0</formula>
    </cfRule>
  </conditionalFormatting>
  <conditionalFormatting sqref="T6:T17">
    <cfRule type="cellIs" dxfId="67" priority="89" operator="greaterThanOrEqual">
      <formula>0</formula>
    </cfRule>
    <cfRule type="expression" dxfId="66" priority="88">
      <formula>AND($H$67="ja",T6&gt;$A$67)</formula>
    </cfRule>
  </conditionalFormatting>
  <conditionalFormatting sqref="U6:U17">
    <cfRule type="cellIs" dxfId="65" priority="17" operator="equal">
      <formula>0</formula>
    </cfRule>
    <cfRule type="cellIs" dxfId="64" priority="16" operator="lessThan">
      <formula>$A$45</formula>
    </cfRule>
    <cfRule type="cellIs" dxfId="63" priority="18" operator="notEqual">
      <formula>0</formula>
    </cfRule>
  </conditionalFormatting>
  <conditionalFormatting sqref="V6:X17">
    <cfRule type="expression" dxfId="62" priority="46">
      <formula>$A6=0</formula>
    </cfRule>
  </conditionalFormatting>
  <conditionalFormatting sqref="Y6:Y17 AD6:AD17 AI6:AI17">
    <cfRule type="expression" dxfId="61" priority="59">
      <formula>AND($H$67="ja",Y6&gt;$A$67)</formula>
    </cfRule>
    <cfRule type="cellIs" dxfId="60" priority="60" operator="greaterThanOrEqual">
      <formula>0</formula>
    </cfRule>
  </conditionalFormatting>
  <conditionalFormatting sqref="Z6:Z17">
    <cfRule type="cellIs" dxfId="59" priority="11" operator="equal">
      <formula>0</formula>
    </cfRule>
    <cfRule type="cellIs" dxfId="58" priority="10" operator="lessThan">
      <formula>$A$45</formula>
    </cfRule>
    <cfRule type="cellIs" dxfId="57" priority="12" operator="notEqual">
      <formula>0</formula>
    </cfRule>
  </conditionalFormatting>
  <conditionalFormatting sqref="AA6:AC17">
    <cfRule type="expression" dxfId="56" priority="43">
      <formula>$A6=0</formula>
    </cfRule>
  </conditionalFormatting>
  <conditionalFormatting sqref="AE6:AE17">
    <cfRule type="cellIs" dxfId="55" priority="5" operator="equal">
      <formula>0</formula>
    </cfRule>
    <cfRule type="cellIs" dxfId="54" priority="4" operator="lessThan">
      <formula>$A$45</formula>
    </cfRule>
    <cfRule type="cellIs" dxfId="53" priority="6" operator="notEqual">
      <formula>0</formula>
    </cfRule>
  </conditionalFormatting>
  <conditionalFormatting sqref="AF6:AH17">
    <cfRule type="expression" dxfId="52" priority="34">
      <formula>$A6=0</formula>
    </cfRule>
  </conditionalFormatting>
  <conditionalFormatting sqref="AJ6:AJ17">
    <cfRule type="cellIs" dxfId="51" priority="3" operator="notEqual">
      <formula>0</formula>
    </cfRule>
    <cfRule type="cellIs" dxfId="50" priority="2" operator="equal">
      <formula>0</formula>
    </cfRule>
    <cfRule type="cellIs" dxfId="49" priority="1" operator="lessThan">
      <formula>$A$45</formula>
    </cfRule>
  </conditionalFormatting>
  <conditionalFormatting sqref="AK6:AK17">
    <cfRule type="expression" dxfId="48" priority="58">
      <formula>AND($H$70="ja",AK6&gt;$A$70)</formula>
    </cfRule>
    <cfRule type="cellIs" dxfId="47" priority="61" operator="greaterThanOrEqual">
      <formula>0</formula>
    </cfRule>
  </conditionalFormatting>
  <dataValidations count="2">
    <dataValidation type="list" showInputMessage="1" showErrorMessage="1" promptTitle="Velg Turnus startdag" prompt="Velg hvilken dag turnusen starte å telle ifra. (Typisk Mandag)" sqref="E1" xr:uid="{00000000-0002-0000-1900-000000000000}">
      <formula1>Ukedager</formula1>
    </dataValidation>
    <dataValidation type="list" allowBlank="1" showInputMessage="1" showErrorMessage="1" sqref="H67 H70" xr:uid="{00000000-0002-0000-1900-000001000000}">
      <formula1>Ja_og_nei</formula1>
    </dataValidation>
  </dataValidation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9"/>
  <dimension ref="A1:AQ95"/>
  <sheetViews>
    <sheetView zoomScale="85" zoomScaleNormal="85" workbookViewId="0">
      <pane ySplit="24" topLeftCell="A25" activePane="bottomLeft" state="frozen"/>
      <selection pane="bottomLeft" activeCell="D11" sqref="D11"/>
    </sheetView>
  </sheetViews>
  <sheetFormatPr defaultColWidth="9.08984375" defaultRowHeight="12.5" x14ac:dyDescent="0.25"/>
  <cols>
    <col min="1" max="1" width="10.7265625" style="3" customWidth="1"/>
    <col min="2" max="2" width="7.6328125" style="3" customWidth="1"/>
    <col min="3" max="3" width="7.81640625" style="3" customWidth="1"/>
    <col min="4" max="4" width="4.36328125" style="3" bestFit="1" customWidth="1"/>
    <col min="5" max="6" width="10" style="3" customWidth="1"/>
    <col min="7" max="7" width="7" style="3" customWidth="1"/>
    <col min="8" max="8" width="7.6328125" style="3" customWidth="1"/>
    <col min="9" max="9" width="4.36328125" style="3" bestFit="1" customWidth="1"/>
    <col min="10" max="11" width="10" style="3" customWidth="1"/>
    <col min="12" max="12" width="7.26953125" style="3" customWidth="1"/>
    <col min="13" max="13" width="7.7265625" style="3" customWidth="1"/>
    <col min="14" max="14" width="4.36328125" style="3" bestFit="1" customWidth="1"/>
    <col min="15" max="15" width="10.08984375" style="3" bestFit="1" customWidth="1"/>
    <col min="16" max="16" width="10.08984375" style="3" customWidth="1"/>
    <col min="17" max="17" width="7.6328125" style="3" customWidth="1"/>
    <col min="18" max="18" width="7.7265625" style="3" customWidth="1"/>
    <col min="19" max="19" width="4.36328125" style="3" bestFit="1" customWidth="1"/>
    <col min="20" max="20" width="10.08984375" style="3" bestFit="1" customWidth="1"/>
    <col min="21" max="21" width="10.08984375" style="3" customWidth="1"/>
    <col min="22" max="22" width="8.36328125" style="3" customWidth="1"/>
    <col min="23" max="23" width="8.81640625" style="3" customWidth="1"/>
    <col min="24" max="24" width="4.36328125" style="3" bestFit="1" customWidth="1"/>
    <col min="25" max="26" width="10" style="3" customWidth="1"/>
    <col min="27" max="28" width="7.81640625" style="3" customWidth="1"/>
    <col min="29" max="29" width="4.36328125" style="3" bestFit="1" customWidth="1"/>
    <col min="30" max="31" width="9.7265625" style="3" customWidth="1"/>
    <col min="32" max="32" width="6.81640625" style="3" customWidth="1"/>
    <col min="33" max="33" width="7.6328125" style="3" customWidth="1"/>
    <col min="34" max="34" width="4.36328125" style="3" bestFit="1" customWidth="1"/>
    <col min="35" max="36" width="9.6328125" style="3" customWidth="1"/>
    <col min="37" max="37" width="15.6328125" style="3" bestFit="1" customWidth="1"/>
    <col min="38" max="16384" width="9.08984375" style="3"/>
  </cols>
  <sheetData>
    <row r="1" spans="1:39" ht="13" x14ac:dyDescent="0.3">
      <c r="A1" s="98" t="s">
        <v>66</v>
      </c>
      <c r="B1" s="98"/>
      <c r="C1" s="98"/>
      <c r="D1" s="88"/>
      <c r="E1" s="5" t="str">
        <f>Vaktplan!G38</f>
        <v>mandag</v>
      </c>
      <c r="H1" s="98" t="s">
        <v>67</v>
      </c>
      <c r="I1" s="98"/>
      <c r="J1" s="98"/>
      <c r="K1" s="98"/>
      <c r="L1" s="98"/>
      <c r="M1" s="5">
        <f>Vaktplan!AJ65</f>
        <v>12</v>
      </c>
    </row>
    <row r="2" spans="1:39" ht="13" x14ac:dyDescent="0.3">
      <c r="A2" s="98" t="s">
        <v>36</v>
      </c>
      <c r="B2" s="98"/>
      <c r="C2" s="98"/>
      <c r="D2" s="88"/>
      <c r="E2" s="8">
        <f>Vaktplan!AM65</f>
        <v>0</v>
      </c>
      <c r="I2" s="106"/>
      <c r="J2" s="106"/>
    </row>
    <row r="3" spans="1:39" ht="13" x14ac:dyDescent="0.3">
      <c r="A3" s="98" t="s">
        <v>68</v>
      </c>
      <c r="B3" s="98"/>
      <c r="C3" s="98"/>
      <c r="D3" s="88"/>
      <c r="E3" s="5">
        <f>Vaktplan!AQ65</f>
        <v>0</v>
      </c>
      <c r="F3" s="4" t="s">
        <v>69</v>
      </c>
    </row>
    <row r="4" spans="1:39" ht="13" x14ac:dyDescent="0.3">
      <c r="A4" s="89" t="s">
        <v>70</v>
      </c>
      <c r="B4" s="103" t="str">
        <f>TEXT(AG39,"DDDD")</f>
        <v>Monday</v>
      </c>
      <c r="C4" s="104"/>
      <c r="D4" s="104"/>
      <c r="E4" s="104"/>
      <c r="F4" s="105"/>
      <c r="G4" s="102" t="str">
        <f>TEXT($AG$39+1,"DDDD")</f>
        <v>Tuesday</v>
      </c>
      <c r="H4" s="102"/>
      <c r="I4" s="102"/>
      <c r="J4" s="102"/>
      <c r="K4" s="89"/>
      <c r="L4" s="102" t="str">
        <f>TEXT($AG$39+2,"DDDD")</f>
        <v>Wednesday</v>
      </c>
      <c r="M4" s="102"/>
      <c r="N4" s="102"/>
      <c r="O4" s="102"/>
      <c r="P4" s="89"/>
      <c r="Q4" s="102" t="str">
        <f>TEXT($AG$39+3,"DDDD")</f>
        <v>Thursday</v>
      </c>
      <c r="R4" s="102"/>
      <c r="S4" s="102"/>
      <c r="T4" s="102"/>
      <c r="U4" s="89"/>
      <c r="V4" s="102" t="str">
        <f>TEXT($AG$39+4,"DDDD")</f>
        <v>Friday</v>
      </c>
      <c r="W4" s="102"/>
      <c r="X4" s="102"/>
      <c r="Y4" s="102"/>
      <c r="Z4" s="89"/>
      <c r="AA4" s="102" t="str">
        <f>TEXT($AG$39+5,"DDDD")</f>
        <v>Saturday</v>
      </c>
      <c r="AB4" s="102"/>
      <c r="AC4" s="102"/>
      <c r="AD4" s="102"/>
      <c r="AE4" s="89"/>
      <c r="AF4" s="102" t="str">
        <f>TEXT($AG$39+6,"DDDD")</f>
        <v>Sunday</v>
      </c>
      <c r="AG4" s="102"/>
      <c r="AH4" s="102"/>
      <c r="AI4" s="102"/>
      <c r="AJ4" s="89"/>
      <c r="AK4" s="7" t="s">
        <v>71</v>
      </c>
      <c r="AL4" s="91"/>
    </row>
    <row r="5" spans="1:39" x14ac:dyDescent="0.25">
      <c r="A5" s="6"/>
      <c r="B5" s="6" t="s">
        <v>72</v>
      </c>
      <c r="C5" s="6" t="s">
        <v>73</v>
      </c>
      <c r="D5" s="6" t="s">
        <v>55</v>
      </c>
      <c r="E5" s="6" t="s">
        <v>74</v>
      </c>
      <c r="F5" s="6" t="s">
        <v>75</v>
      </c>
      <c r="G5" s="6" t="s">
        <v>72</v>
      </c>
      <c r="H5" s="6" t="s">
        <v>73</v>
      </c>
      <c r="I5" s="6" t="s">
        <v>55</v>
      </c>
      <c r="J5" s="6" t="s">
        <v>74</v>
      </c>
      <c r="K5" s="6" t="s">
        <v>75</v>
      </c>
      <c r="L5" s="6" t="s">
        <v>72</v>
      </c>
      <c r="M5" s="6" t="s">
        <v>73</v>
      </c>
      <c r="N5" s="6" t="s">
        <v>55</v>
      </c>
      <c r="O5" s="6" t="s">
        <v>74</v>
      </c>
      <c r="P5" s="6" t="s">
        <v>75</v>
      </c>
      <c r="Q5" s="6" t="s">
        <v>72</v>
      </c>
      <c r="R5" s="6" t="s">
        <v>73</v>
      </c>
      <c r="S5" s="6" t="s">
        <v>55</v>
      </c>
      <c r="T5" s="6" t="s">
        <v>74</v>
      </c>
      <c r="U5" s="6" t="s">
        <v>75</v>
      </c>
      <c r="V5" s="6" t="s">
        <v>72</v>
      </c>
      <c r="W5" s="6" t="s">
        <v>73</v>
      </c>
      <c r="X5" s="6" t="s">
        <v>55</v>
      </c>
      <c r="Y5" s="6" t="s">
        <v>74</v>
      </c>
      <c r="Z5" s="6" t="s">
        <v>75</v>
      </c>
      <c r="AA5" s="6" t="s">
        <v>72</v>
      </c>
      <c r="AB5" s="6" t="s">
        <v>73</v>
      </c>
      <c r="AC5" s="6" t="s">
        <v>55</v>
      </c>
      <c r="AD5" s="6" t="s">
        <v>74</v>
      </c>
      <c r="AE5" s="6" t="s">
        <v>75</v>
      </c>
      <c r="AF5" s="6" t="s">
        <v>72</v>
      </c>
      <c r="AG5" s="6" t="s">
        <v>73</v>
      </c>
      <c r="AH5" s="6" t="s">
        <v>55</v>
      </c>
      <c r="AI5" s="6" t="s">
        <v>74</v>
      </c>
      <c r="AJ5" s="6" t="s">
        <v>75</v>
      </c>
      <c r="AK5" s="6"/>
      <c r="AL5" s="91"/>
    </row>
    <row r="6" spans="1:39" ht="13" x14ac:dyDescent="0.25">
      <c r="A6" s="7">
        <f>IF(M1&gt;=1,1,0)</f>
        <v>1</v>
      </c>
      <c r="B6" s="77">
        <f>IFERROR(VLOOKUP(Vaktplan!$A$65,Vaktplan!$A$4:$CL$35,87-AH59,FALSE),0)</f>
        <v>0</v>
      </c>
      <c r="C6" s="77">
        <f>IFERROR(VLOOKUP(Vaktplan!$A$65,Vaktplan!$A$4:$CL$35,87-AG59,FALSE),0)</f>
        <v>0</v>
      </c>
      <c r="D6" s="9">
        <f>IFERROR(VLOOKUP(Vaktplan!$A$65,Vaktplan!$A$4:$CL$35,89-AG59,FALSE),0)</f>
        <v>0</v>
      </c>
      <c r="E6" s="9">
        <f>IF(AND(B6=0,C6=0),0,IF(B6&lt;C6,((C6-B6)*24)-D6,(((1-B6)+C6)*24)-D6))</f>
        <v>0</v>
      </c>
      <c r="F6" s="9">
        <f>IF(AND(C6=0,G6=0),24,IF(C6=0,12+(G6*24),IF(C6&lt;G6,((G6-C6)*24),IF(G6=0,(1-C6+0.5)*24,((1-C6)+G6)*24))))</f>
        <v>24</v>
      </c>
      <c r="G6" s="77">
        <f>IFERROR(VLOOKUP(Vaktplan!$A$65,Vaktplan!$B$4:$CL$35,86-AH59,FALSE),0)</f>
        <v>0</v>
      </c>
      <c r="H6" s="77">
        <f>IFERROR(VLOOKUP(Vaktplan!$A$65,Vaktplan!$B$4:$CL$35,86-AG59,FALSE),0)</f>
        <v>0</v>
      </c>
      <c r="I6" s="9">
        <f>IFERROR(VLOOKUP(Vaktplan!$A$65,Vaktplan!$B$4:$CL$35,89-$AH59,FALSE),0)</f>
        <v>0</v>
      </c>
      <c r="J6" s="9">
        <f>IF(AND(G6=0,H6=0),0,IF(G6&lt;H6,((H6-G6)*24)-I6,(((1-G6)+H6)*24)-I6))</f>
        <v>0</v>
      </c>
      <c r="K6" s="9">
        <f>IF(AND(H6=0,L6=0),24,IF(H6=0,12+(L6*24),IF(H6&lt;L6,((L6-H6)*24),IF(L6=0,(1-H6+0.5)*24,((1-H6)+L6)*24))))</f>
        <v>24</v>
      </c>
      <c r="L6" s="77">
        <f>IFERROR(VLOOKUP(Vaktplan!$A$65,Vaktplan!$C$4:$CL$35,86-AI59,FALSE),0)</f>
        <v>0</v>
      </c>
      <c r="M6" s="77">
        <f>IFERROR(VLOOKUP(Vaktplan!$A$65,Vaktplan!$C$4:$CL$35,86-AH59,FALSE),0)</f>
        <v>0</v>
      </c>
      <c r="N6" s="9">
        <f>IFERROR(VLOOKUP(Vaktplan!$A$65,Vaktplan!$C$4:$CL$35,89-$AI59,FALSE),0)</f>
        <v>0</v>
      </c>
      <c r="O6" s="9">
        <f>IF(AND(L6=0,M6=0),0,IF(L6&lt;M6,((M6-L6)*24)-N6,(((1-L6)+M6)*24)-N6))</f>
        <v>0</v>
      </c>
      <c r="P6" s="9">
        <f>IF(AND(M6=0,Q6=0),24,IF(M6=0,12+(Q6*24),IF(M6&lt;Q6,((Q6-M6)*24),IF(Q6=0,(1-M6+0.5)*24,((1-M6)+Q6)*24))))</f>
        <v>24</v>
      </c>
      <c r="Q6" s="77">
        <f>IFERROR(VLOOKUP(Vaktplan!$A$65,Vaktplan!$D$4:$CL$35,86-AJ59,FALSE),0)</f>
        <v>0</v>
      </c>
      <c r="R6" s="77">
        <f>IFERROR(VLOOKUP(Vaktplan!$A$65,Vaktplan!$D$4:$CL$35,86-AI59,FALSE),0)</f>
        <v>0</v>
      </c>
      <c r="S6" s="9">
        <f>IFERROR(VLOOKUP(Vaktplan!$A$65,Vaktplan!$D$4:$CL$35,89-$AJ59,FALSE),0)</f>
        <v>0</v>
      </c>
      <c r="T6" s="9">
        <f t="shared" ref="T6:T17" si="0">IF(AND(Q6=0,R6=0),0,IF(Q6&lt;R6,((R6-Q6)*24)-S6,(((1-Q6)+R6)*24)-S6))</f>
        <v>0</v>
      </c>
      <c r="U6" s="9">
        <f>IF(AND(R6=0,V6=0),24,IF(R6=0,12+(V6*24),IF(R6&lt;V6,((V6-R6)*24),IF(V6=0,(1-R6+0.5)*24,((1-R6)+V6)*24))))</f>
        <v>24</v>
      </c>
      <c r="V6" s="77">
        <f>IFERROR(VLOOKUP(Vaktplan!$A$65,Vaktplan!$E$4:$CL$35,86-AK59,FALSE),0)</f>
        <v>0</v>
      </c>
      <c r="W6" s="77">
        <f>IFERROR(VLOOKUP(Vaktplan!$A$65,Vaktplan!$E$4:$CL$35,86-AJ59,FALSE),0)</f>
        <v>0</v>
      </c>
      <c r="X6" s="9">
        <f>IFERROR(VLOOKUP(Vaktplan!$A$65,Vaktplan!$E$4:$CL$35,89-$AK59,FALSE),0)</f>
        <v>0</v>
      </c>
      <c r="Y6" s="9">
        <f>IF(AND(V6=0,W6=0),0,IF(V6&lt;W6,((W6-V6)*24)-X6,(((1-V6)+W6)*24)-X6))</f>
        <v>0</v>
      </c>
      <c r="Z6" s="9">
        <f>IF(AND(W6=0,AA6=0),24,IF(W6=0,12+(AA6*24),IF(W6&lt;AA6,((AA6-W6)*24),IF(AA6=0,(1-W6+0.5)*24,((1-W6)+AA6)*24))))</f>
        <v>24</v>
      </c>
      <c r="AA6" s="77">
        <f>IFERROR(VLOOKUP(Vaktplan!$A$65,Vaktplan!$F$4:$CL$35,86-AL59,FALSE),0)</f>
        <v>0</v>
      </c>
      <c r="AB6" s="77">
        <f>IFERROR(VLOOKUP(Vaktplan!$A$65,Vaktplan!$F$4:$CL$35,86-AK59,FALSE),0)</f>
        <v>0</v>
      </c>
      <c r="AC6" s="9">
        <f>IFERROR(VLOOKUP(Vaktplan!$A$65,Vaktplan!$F$4:$CL$35,89-$AL59,FALSE),0)</f>
        <v>0</v>
      </c>
      <c r="AD6" s="9">
        <f>IF(AND(AA6=0,AB6=0),0,IF(AA6&lt;AB6,((AB6-AA6)*24)-AC6,(((1-AA6)+AB6)*24)-AC6))</f>
        <v>0</v>
      </c>
      <c r="AE6" s="9">
        <f>IF(AND(AB6=0,AF6=0),24,IF(AB6=0,12+(AF6*24),IF(AB6&lt;AF6,((AF6-AB6)*24),IF(AF6=0,(1-AB6+0.5)*24,((1-AB6)+AF6)*24))))</f>
        <v>24</v>
      </c>
      <c r="AF6" s="77">
        <f>IFERROR(VLOOKUP(Vaktplan!$A$65,Vaktplan!$G$4:$CL$35,86-AM59,FALSE),0)</f>
        <v>0</v>
      </c>
      <c r="AG6" s="77">
        <f>IFERROR(VLOOKUP(Vaktplan!$A$65,Vaktplan!$G$4:$CL$35,86-AL59,FALSE),0)</f>
        <v>0</v>
      </c>
      <c r="AH6" s="9">
        <f>IFERROR(VLOOKUP(Vaktplan!$A$65,Vaktplan!$G$4:$CL$35,89-$AM59,FALSE),0)</f>
        <v>0</v>
      </c>
      <c r="AI6" s="9">
        <f>IF(AND(AF6=0,AG6=0),0,IF(AF6&lt;AG6,((AG6-AF6)*24)-AH6,(((1-AF6)+AG6)*24)-AH6))</f>
        <v>0</v>
      </c>
      <c r="AJ6" s="9">
        <f>IF($M$1=AL28,IF(AND(AG6=0,B6=0),24,IF(AG6=0,12+($B$6*24),IF(AG6&lt;$B$6,(($B$6-AG6)*24),IF($B$6=0,(1-AG6+1)*24,((1-AG6)+$B$6)*24)))),IF(AND(AG6=0,B7=0),24,IF(AG6=0,12+(B7*24),IF(AG6&lt;B7,((B7-AG6)*24),IF(B7=0,(1-AG6+1)*24,((1-AG6)+B7)*24)))))</f>
        <v>24</v>
      </c>
      <c r="AK6" s="9">
        <f t="shared" ref="AK6:AK17" si="1">E6+J6+O6+T6+Y6+AD6+AI6</f>
        <v>0</v>
      </c>
      <c r="AL6" s="92">
        <f>AJ6</f>
        <v>24</v>
      </c>
      <c r="AM6" s="10">
        <f>AK6</f>
        <v>0</v>
      </c>
    </row>
    <row r="7" spans="1:39" ht="13" x14ac:dyDescent="0.25">
      <c r="A7" s="7">
        <f>IF($M$1&gt;=2,2,0)</f>
        <v>2</v>
      </c>
      <c r="B7" s="77">
        <f>IFERROR(VLOOKUP(Vaktplan!$A$65,Vaktplan!$H$4:$CL$35,87-AH60,FALSE),0)</f>
        <v>0</v>
      </c>
      <c r="C7" s="77">
        <f>IFERROR(VLOOKUP(Vaktplan!$A$65,Vaktplan!$H$4:$CL$35,87-AG60,FALSE),0)</f>
        <v>0</v>
      </c>
      <c r="D7" s="9">
        <f>IFERROR(VLOOKUP(Vaktplan!$A$65,Vaktplan!$H$4:$CL$35,89-AG60,FALSE),0)</f>
        <v>0</v>
      </c>
      <c r="E7" s="9">
        <f>IF(AND(B7=0,C7=0),0,IF(B7&lt;C7,((C7-B7)*24)-D7,(((1-B7)+C7)*24)-D7))</f>
        <v>0</v>
      </c>
      <c r="F7" s="9">
        <f t="shared" ref="F7:F17" si="2">IF(AND(C7=0,G7=0),24,IF(C7=0,12+(G7*24),IF(C7&lt;G7,((G7-C7)*24),IF(G7=0,(1-C7+0.5)*24,((1-C7)+G7)*24))))</f>
        <v>24</v>
      </c>
      <c r="G7" s="77">
        <f>IFERROR(VLOOKUP(Vaktplan!$A$65,Vaktplan!$I$4:$CL$35,86-AH60,FALSE),0)</f>
        <v>0</v>
      </c>
      <c r="H7" s="77">
        <f>IFERROR(VLOOKUP(Vaktplan!$A$65,Vaktplan!$I$4:$CL$35,86-AG60,FALSE),0)</f>
        <v>0</v>
      </c>
      <c r="I7" s="9">
        <f>IFERROR(VLOOKUP(Vaktplan!$A$65,Vaktplan!$I$4:$CL$35,89-$AH60,FALSE),0)</f>
        <v>0</v>
      </c>
      <c r="J7" s="9">
        <f t="shared" ref="J7:J17" si="3">IF(AND(G7=0,H7=0),0,IF(G7&lt;H7,((H7-G7)*24)-I7,(((1-G7)+H7)*24)-I7))</f>
        <v>0</v>
      </c>
      <c r="K7" s="9">
        <f t="shared" ref="K7:K17" si="4">IF(AND(H7=0,L7=0),24,IF(H7=0,12+(L7*24),IF(H7&lt;L7,((L7-H7)*24),IF(L7=0,(1-H7+0.5)*24,((1-H7)+L7)*24))))</f>
        <v>24</v>
      </c>
      <c r="L7" s="77">
        <f>IFERROR(VLOOKUP(Vaktplan!$A$65,Vaktplan!$J$4:$CL$35,86-AI60,FALSE),0)</f>
        <v>0</v>
      </c>
      <c r="M7" s="77">
        <f>IFERROR(VLOOKUP(Vaktplan!$A$65,Vaktplan!$J$4:$CL$35,86-AH60,FALSE),0)</f>
        <v>0</v>
      </c>
      <c r="N7" s="9">
        <f>IFERROR(VLOOKUP(Vaktplan!$A$65,Vaktplan!$J$4:$CL$35,89-$AI60,FALSE),0)</f>
        <v>0</v>
      </c>
      <c r="O7" s="9">
        <f t="shared" ref="O7:O17" si="5">IF(AND(L7=0,M7=0),0,IF(L7&lt;M7,((M7-L7)*24)-N7,(((1-L7)+M7)*24)-N7))</f>
        <v>0</v>
      </c>
      <c r="P7" s="9">
        <f t="shared" ref="P7:P17" si="6">IF(AND(M7=0,Q7=0),24,IF(M7=0,12+(Q7*24),IF(M7&lt;Q7,((Q7-M7)*24),IF(Q7=0,(1-M7+0.5)*24,((1-M7)+Q7)*24))))</f>
        <v>24</v>
      </c>
      <c r="Q7" s="77">
        <f>IFERROR(VLOOKUP(Vaktplan!$A$65,Vaktplan!$K$4:$CL$35,86-AJ60,FALSE),0)</f>
        <v>0</v>
      </c>
      <c r="R7" s="77">
        <f>IFERROR(VLOOKUP(Vaktplan!$A$65,Vaktplan!$K$4:$CL$35,86-AI60,FALSE),0)</f>
        <v>0</v>
      </c>
      <c r="S7" s="9">
        <f>IFERROR(VLOOKUP(Vaktplan!$A$65,Vaktplan!$K$4:$CL$35,89-$AJ60,FALSE),0)</f>
        <v>0</v>
      </c>
      <c r="T7" s="9">
        <f t="shared" si="0"/>
        <v>0</v>
      </c>
      <c r="U7" s="9">
        <f t="shared" ref="U7:U17" si="7">IF(AND(R7=0,V7=0),24,IF(R7=0,12+(V7*24),IF(R7&lt;V7,((V7-R7)*24),IF(V7=0,(1-R7+0.5)*24,((1-R7)+V7)*24))))</f>
        <v>24</v>
      </c>
      <c r="V7" s="77">
        <f>IFERROR(VLOOKUP(Vaktplan!$A$65,Vaktplan!$L$4:$CL$35,86-AK60,FALSE),0)</f>
        <v>0</v>
      </c>
      <c r="W7" s="77">
        <f>IFERROR(VLOOKUP(Vaktplan!$A$65,Vaktplan!$L$4:$CL$35,86-AJ60,FALSE),0)</f>
        <v>0</v>
      </c>
      <c r="X7" s="9">
        <f>IFERROR(VLOOKUP(Vaktplan!$A$65,Vaktplan!$L$4:$CL$35,89-$AK60,FALSE),0)</f>
        <v>0</v>
      </c>
      <c r="Y7" s="9">
        <f t="shared" ref="Y7:Y13" si="8">IF(AND(V7=0,W7=0),0,IF(V7&lt;W7,((W7-V7)*24)-X7,(((1-V7)+W7)*24)-X7))</f>
        <v>0</v>
      </c>
      <c r="Z7" s="9">
        <f t="shared" ref="Z7:Z17" si="9">IF(AND(W7=0,AA7=0),24,IF(W7=0,12+(AA7*24),IF(W7&lt;AA7,((AA7-W7)*24),IF(AA7=0,(1-W7+0.5)*24,((1-W7)+AA7)*24))))</f>
        <v>24</v>
      </c>
      <c r="AA7" s="77">
        <f>IFERROR(VLOOKUP(Vaktplan!$A$65,Vaktplan!$M$4:$CL$35,86-AL60,FALSE),0)</f>
        <v>0</v>
      </c>
      <c r="AB7" s="77">
        <f>IFERROR(VLOOKUP(Vaktplan!$A$65,Vaktplan!$M$4:$CL$35,86-AK60,FALSE),0)</f>
        <v>0</v>
      </c>
      <c r="AC7" s="9">
        <f>IFERROR(VLOOKUP(Vaktplan!$A$65,Vaktplan!$M$4:$CL$35,89-$AL60,FALSE),0)</f>
        <v>0</v>
      </c>
      <c r="AD7" s="9">
        <f t="shared" ref="AD7:AD13" si="10">IF(AND(AA7=0,AB7=0),0,IF(AA7&lt;AB7,((AB7-AA7)*24)-AC7,(((1-AA7)+AB7)*24)-AC7))</f>
        <v>0</v>
      </c>
      <c r="AE7" s="9">
        <f t="shared" ref="AE7:AE17" si="11">IF(AND(AB7=0,AF7=0),24,IF(AB7=0,12+(AF7*24),IF(AB7&lt;AF7,((AF7-AB7)*24),IF(AF7=0,(1-AB7+0.5)*24,((1-AB7)+AF7)*24))))</f>
        <v>24</v>
      </c>
      <c r="AF7" s="77">
        <f>IFERROR(VLOOKUP(Vaktplan!$A$65,Vaktplan!$N$4:$CL$35,86-AM60,FALSE),0)</f>
        <v>0</v>
      </c>
      <c r="AG7" s="77">
        <f>IFERROR(VLOOKUP(Vaktplan!$A$65,Vaktplan!$N$4:$CL$35,86-AL60,FALSE),0)</f>
        <v>0</v>
      </c>
      <c r="AH7" s="9">
        <f>IFERROR(VLOOKUP(Vaktplan!$A$65,Vaktplan!$N$4:$CL$35,89-$AM60,FALSE),0)</f>
        <v>0</v>
      </c>
      <c r="AI7" s="9">
        <f t="shared" ref="AI7:AI13" si="12">IF(AND(AF7=0,AG7=0),0,IF(AF7&lt;AG7,((AG7-AF7)*24)-AH7,(((1-AF7)+AG7)*24)-AH7))</f>
        <v>0</v>
      </c>
      <c r="AJ7" s="9">
        <f t="shared" ref="AJ7:AJ17" si="13">IF($M$1=AL29,IF(AND(AG7=0,B7=0),24,IF(AG7=0,12+($B$6*24),IF(AG7&lt;$B$6,(($B$6-AG7)*24),IF($B$6=0,(1-AG7+1)*24,((1-AG7)+$B$6)*24)))),IF(AND(AG7=0,B8=0),24,IF(AG7=0,12+(B8*24),IF(AG7&lt;B8,((B8-AG7)*24),IF(B8=0,(1-AG7+1)*24,((1-AG7)+B8)*24)))))</f>
        <v>24</v>
      </c>
      <c r="AK7" s="9">
        <f t="shared" si="1"/>
        <v>0</v>
      </c>
      <c r="AL7" s="92">
        <f t="shared" ref="AL7:AL13" si="14">AJ7</f>
        <v>24</v>
      </c>
      <c r="AM7" s="10">
        <f t="shared" ref="AM7:AM13" si="15">AK7</f>
        <v>0</v>
      </c>
    </row>
    <row r="8" spans="1:39" ht="13" x14ac:dyDescent="0.25">
      <c r="A8" s="7">
        <f>IF($M$1&gt;=3,3,0)</f>
        <v>3</v>
      </c>
      <c r="B8" s="77">
        <f>IFERROR(VLOOKUP(Vaktplan!$A$65,Vaktplan!$O$4:$CL$35,87-AH61,FALSE),0)</f>
        <v>0</v>
      </c>
      <c r="C8" s="77">
        <f>IFERROR(VLOOKUP(Vaktplan!$A$65,Vaktplan!$O$4:$CL$35,87-AG61,FALSE),0)</f>
        <v>0</v>
      </c>
      <c r="D8" s="9">
        <f>IFERROR(VLOOKUP(Vaktplan!$A$65,Vaktplan!$O$4:$CL$35,89-AG61,FALSE),0)</f>
        <v>0</v>
      </c>
      <c r="E8" s="9">
        <f t="shared" ref="E8:E17" si="16">IF(AND(B8=0,C8=0),0,IF(B8&lt;C8,((C8-B8)*24)-D8,(((1-B8)+C8)*24)-D8))</f>
        <v>0</v>
      </c>
      <c r="F8" s="9">
        <f t="shared" si="2"/>
        <v>24</v>
      </c>
      <c r="G8" s="77">
        <f>IFERROR(VLOOKUP(Vaktplan!$A$65,Vaktplan!$P$4:$CL$35,86-AH61,FALSE),0)</f>
        <v>0</v>
      </c>
      <c r="H8" s="77">
        <f>IFERROR(VLOOKUP(Vaktplan!$A$65,Vaktplan!$P$4:$CL$35,86-AG61,FALSE),0)</f>
        <v>0</v>
      </c>
      <c r="I8" s="9">
        <f>IFERROR(VLOOKUP(Vaktplan!$A$65,Vaktplan!$P$4:$CL$35,89-$AH61,FALSE),0)</f>
        <v>0</v>
      </c>
      <c r="J8" s="9">
        <f>IF(AND(G8=0,H8=0),0,IF(G8&lt;H8,((H8-G8)*24)-I8,(((1-G8)+H8)*24)-I8))</f>
        <v>0</v>
      </c>
      <c r="K8" s="9">
        <f t="shared" si="4"/>
        <v>24</v>
      </c>
      <c r="L8" s="77">
        <f>IFERROR(VLOOKUP(Vaktplan!$A$65,Vaktplan!$Q$4:$CL$35,86-AI61,FALSE),0)</f>
        <v>0</v>
      </c>
      <c r="M8" s="77">
        <f>IFERROR(VLOOKUP(Vaktplan!$A$65,Vaktplan!$Q$4:$CL$35,86-AH61,FALSE),0)</f>
        <v>0</v>
      </c>
      <c r="N8" s="9">
        <f>IFERROR(VLOOKUP(Vaktplan!$A$65,Vaktplan!$Q$4:$CL$35,89-$AI61,FALSE),0)</f>
        <v>0</v>
      </c>
      <c r="O8" s="9">
        <f t="shared" si="5"/>
        <v>0</v>
      </c>
      <c r="P8" s="9">
        <f t="shared" si="6"/>
        <v>24</v>
      </c>
      <c r="Q8" s="77">
        <f>IFERROR(VLOOKUP(Vaktplan!$A$65,Vaktplan!$R$4:$CL$35,86-AJ61,FALSE),0)</f>
        <v>0</v>
      </c>
      <c r="R8" s="77">
        <f>IFERROR(VLOOKUP(Vaktplan!$A$65,Vaktplan!$R$4:$CL$35,86-AI61,FALSE),0)</f>
        <v>0</v>
      </c>
      <c r="S8" s="9">
        <f>IFERROR(VLOOKUP(Vaktplan!$A$65,Vaktplan!$R$4:$CL$35,89-$AJ61,FALSE),0)</f>
        <v>0</v>
      </c>
      <c r="T8" s="9">
        <f t="shared" si="0"/>
        <v>0</v>
      </c>
      <c r="U8" s="9">
        <f t="shared" si="7"/>
        <v>24</v>
      </c>
      <c r="V8" s="77">
        <f>IFERROR(VLOOKUP(Vaktplan!$A$65,Vaktplan!$S$4:$CL$35,86-AK61,FALSE),0)</f>
        <v>0</v>
      </c>
      <c r="W8" s="77">
        <f>IFERROR(VLOOKUP(Vaktplan!$A$65,Vaktplan!$S$4:$CL$35,86-AJ61,FALSE),0)</f>
        <v>0</v>
      </c>
      <c r="X8" s="9">
        <f>IFERROR(VLOOKUP(Vaktplan!$A$65,Vaktplan!$S$4:$CL$35,89-$AK61,FALSE),0)</f>
        <v>0</v>
      </c>
      <c r="Y8" s="9">
        <f t="shared" si="8"/>
        <v>0</v>
      </c>
      <c r="Z8" s="9">
        <f t="shared" si="9"/>
        <v>24</v>
      </c>
      <c r="AA8" s="77">
        <f>IFERROR(VLOOKUP(Vaktplan!$A$65,Vaktplan!$T$4:$CL$35,86-AL61,FALSE),0)</f>
        <v>0</v>
      </c>
      <c r="AB8" s="77">
        <f>IFERROR(VLOOKUP(Vaktplan!$A$65,Vaktplan!$T$4:$CL$35,86-AK61,FALSE),0)</f>
        <v>0</v>
      </c>
      <c r="AC8" s="9">
        <f>IFERROR(VLOOKUP(Vaktplan!$A$65,Vaktplan!$T$4:$CL$35,89-$AL61,FALSE),0)</f>
        <v>0</v>
      </c>
      <c r="AD8" s="9">
        <f t="shared" si="10"/>
        <v>0</v>
      </c>
      <c r="AE8" s="9">
        <f t="shared" si="11"/>
        <v>24</v>
      </c>
      <c r="AF8" s="77">
        <f>IFERROR(VLOOKUP(Vaktplan!$A$65,Vaktplan!$U$4:$CL$35,86-AM61,FALSE),0)</f>
        <v>0</v>
      </c>
      <c r="AG8" s="77">
        <f>IFERROR(VLOOKUP(Vaktplan!$A$65,Vaktplan!$U$4:$CL$35,86-AL61,FALSE),0)</f>
        <v>0</v>
      </c>
      <c r="AH8" s="9">
        <f>IFERROR(VLOOKUP(Vaktplan!$A$65,Vaktplan!$U$4:$CL$35,89-$AM61,FALSE),0)</f>
        <v>0</v>
      </c>
      <c r="AI8" s="9">
        <f t="shared" si="12"/>
        <v>0</v>
      </c>
      <c r="AJ8" s="9">
        <f t="shared" si="13"/>
        <v>24</v>
      </c>
      <c r="AK8" s="9">
        <f t="shared" si="1"/>
        <v>0</v>
      </c>
      <c r="AL8" s="92">
        <f t="shared" si="14"/>
        <v>24</v>
      </c>
      <c r="AM8" s="10">
        <f t="shared" si="15"/>
        <v>0</v>
      </c>
    </row>
    <row r="9" spans="1:39" ht="13" x14ac:dyDescent="0.25">
      <c r="A9" s="7">
        <f>IF($M$1&gt;=4,4,0)</f>
        <v>4</v>
      </c>
      <c r="B9" s="77">
        <f>IFERROR(VLOOKUP(Vaktplan!$A$65,Vaktplan!$V$4:$CL$35,87-AH62,FALSE),0)</f>
        <v>0</v>
      </c>
      <c r="C9" s="77">
        <f>IFERROR(VLOOKUP(Vaktplan!$A$65,Vaktplan!$V$4:$CL$35,87-AG62,FALSE),0)</f>
        <v>0</v>
      </c>
      <c r="D9" s="9">
        <f>IFERROR(VLOOKUP(Vaktplan!$A$65,Vaktplan!$V$4:$CL$35,89-AG62,FALSE),0)</f>
        <v>0</v>
      </c>
      <c r="E9" s="9">
        <f t="shared" si="16"/>
        <v>0</v>
      </c>
      <c r="F9" s="9">
        <f t="shared" si="2"/>
        <v>24</v>
      </c>
      <c r="G9" s="77">
        <f>IFERROR(VLOOKUP(Vaktplan!$A$65,Vaktplan!$W$4:$CL$35,86-AH62,FALSE),0)</f>
        <v>0</v>
      </c>
      <c r="H9" s="77">
        <f>IFERROR(VLOOKUP(Vaktplan!$A$65,Vaktplan!$W$4:$CL$35,86-AG62,FALSE),0)</f>
        <v>0</v>
      </c>
      <c r="I9" s="9">
        <f>IFERROR(VLOOKUP(Vaktplan!$A$65,Vaktplan!$W$4:$CL$35,89-$AH62,FALSE),0)</f>
        <v>0</v>
      </c>
      <c r="J9" s="9">
        <f t="shared" si="3"/>
        <v>0</v>
      </c>
      <c r="K9" s="9">
        <f t="shared" si="4"/>
        <v>24</v>
      </c>
      <c r="L9" s="77">
        <f>IFERROR(VLOOKUP(Vaktplan!$A$65,Vaktplan!$X$4:$CL$35,86-AI62,FALSE),0)</f>
        <v>0</v>
      </c>
      <c r="M9" s="77">
        <f>IFERROR(VLOOKUP(Vaktplan!$A$65,Vaktplan!$X$4:$CL$35,86-AH62,FALSE),0)</f>
        <v>0</v>
      </c>
      <c r="N9" s="9">
        <f>IFERROR(VLOOKUP(Vaktplan!$A$65,Vaktplan!$X$4:$CL$35,89-$AI62,FALSE),0)</f>
        <v>0</v>
      </c>
      <c r="O9" s="9">
        <f t="shared" si="5"/>
        <v>0</v>
      </c>
      <c r="P9" s="9">
        <f t="shared" si="6"/>
        <v>24</v>
      </c>
      <c r="Q9" s="77">
        <f>IFERROR(VLOOKUP(Vaktplan!$A$65,Vaktplan!$Y$4:$CL$35,86-AJ62,FALSE),0)</f>
        <v>0</v>
      </c>
      <c r="R9" s="77">
        <f>IFERROR(VLOOKUP(Vaktplan!$A$65,Vaktplan!$Y$4:$CL$35,86-AI62,FALSE),0)</f>
        <v>0</v>
      </c>
      <c r="S9" s="9">
        <f>IFERROR(VLOOKUP(Vaktplan!$A$65,Vaktplan!$Y$4:$CL$35,89-$AJ62,FALSE),0)</f>
        <v>0</v>
      </c>
      <c r="T9" s="9">
        <f t="shared" si="0"/>
        <v>0</v>
      </c>
      <c r="U9" s="9">
        <f t="shared" si="7"/>
        <v>24</v>
      </c>
      <c r="V9" s="77">
        <f>IFERROR(VLOOKUP(Vaktplan!$A$65,Vaktplan!$Z$4:$CL$35,86-AK62,FALSE),0)</f>
        <v>0</v>
      </c>
      <c r="W9" s="77">
        <f>IFERROR(VLOOKUP(Vaktplan!$A$65,Vaktplan!$Z$4:$CL$35,86-AJ62,FALSE),0)</f>
        <v>0</v>
      </c>
      <c r="X9" s="9">
        <f>IFERROR(VLOOKUP(Vaktplan!$A$65,Vaktplan!$Z$4:$CL$35,89-$AK62,FALSE),0)</f>
        <v>0</v>
      </c>
      <c r="Y9" s="9">
        <f t="shared" si="8"/>
        <v>0</v>
      </c>
      <c r="Z9" s="9">
        <f t="shared" si="9"/>
        <v>24</v>
      </c>
      <c r="AA9" s="77">
        <f>IFERROR(VLOOKUP(Vaktplan!$A$65,Vaktplan!$AA$4:$CL$35,86-AL62,FALSE),0)</f>
        <v>0</v>
      </c>
      <c r="AB9" s="77">
        <f>IFERROR(VLOOKUP(Vaktplan!$A$65,Vaktplan!$AA$4:$CL$35,86-AK62,FALSE),0)</f>
        <v>0</v>
      </c>
      <c r="AC9" s="9">
        <f>IFERROR(VLOOKUP(Vaktplan!$A$65,Vaktplan!$AA$4:$CL$35,89-$AL62,FALSE),0)</f>
        <v>0</v>
      </c>
      <c r="AD9" s="9">
        <f t="shared" si="10"/>
        <v>0</v>
      </c>
      <c r="AE9" s="9">
        <f t="shared" si="11"/>
        <v>24</v>
      </c>
      <c r="AF9" s="77">
        <f>IFERROR(VLOOKUP(Vaktplan!$A$65,Vaktplan!$AB$4:$CL$35,86-AM62,FALSE),0)</f>
        <v>0</v>
      </c>
      <c r="AG9" s="77">
        <f>IFERROR(VLOOKUP(Vaktplan!$A$65,Vaktplan!$AB$4:$CL$35,86-AL62,FALSE),0)</f>
        <v>0</v>
      </c>
      <c r="AH9" s="9">
        <f>IFERROR(VLOOKUP(Vaktplan!$A$65,Vaktplan!$AB$4:$CL$35,89-$AM62,FALSE),0)</f>
        <v>0</v>
      </c>
      <c r="AI9" s="9">
        <f t="shared" si="12"/>
        <v>0</v>
      </c>
      <c r="AJ9" s="9">
        <f t="shared" si="13"/>
        <v>24</v>
      </c>
      <c r="AK9" s="9">
        <f t="shared" si="1"/>
        <v>0</v>
      </c>
      <c r="AL9" s="92">
        <f t="shared" si="14"/>
        <v>24</v>
      </c>
      <c r="AM9" s="10">
        <f t="shared" si="15"/>
        <v>0</v>
      </c>
    </row>
    <row r="10" spans="1:39" ht="13" x14ac:dyDescent="0.25">
      <c r="A10" s="7">
        <f>IF($M$1&gt;=5,5,0)</f>
        <v>5</v>
      </c>
      <c r="B10" s="77">
        <f>IFERROR(VLOOKUP(Vaktplan!$A$65,Vaktplan!$AC$4:$CL$35,87-AH63,FALSE),0)</f>
        <v>0</v>
      </c>
      <c r="C10" s="77">
        <f>IFERROR(VLOOKUP(Vaktplan!$A$65,Vaktplan!$AC$4:$CL$35,87-AG63,FALSE),0)</f>
        <v>0</v>
      </c>
      <c r="D10" s="9">
        <f>IFERROR(VLOOKUP(Vaktplan!$A$65,Vaktplan!$AC$4:$CL$35,89-AG63,FALSE),0)</f>
        <v>0</v>
      </c>
      <c r="E10" s="9">
        <f t="shared" si="16"/>
        <v>0</v>
      </c>
      <c r="F10" s="9">
        <f t="shared" si="2"/>
        <v>24</v>
      </c>
      <c r="G10" s="77">
        <f>IFERROR(VLOOKUP(Vaktplan!$A$65,Vaktplan!$AD$4:$CL$35,86-AH63,FALSE),0)</f>
        <v>0</v>
      </c>
      <c r="H10" s="77">
        <f>IFERROR(VLOOKUP(Vaktplan!$A$65,Vaktplan!$AD$4:$CL$35,86-AG63,FALSE),0)</f>
        <v>0</v>
      </c>
      <c r="I10" s="9">
        <f>IFERROR(VLOOKUP(Vaktplan!$A$65,Vaktplan!$AD$4:$CL$35,89-$AH63,FALSE),0)</f>
        <v>0</v>
      </c>
      <c r="J10" s="9">
        <f t="shared" si="3"/>
        <v>0</v>
      </c>
      <c r="K10" s="9">
        <f t="shared" si="4"/>
        <v>24</v>
      </c>
      <c r="L10" s="77">
        <f>IFERROR(VLOOKUP(Vaktplan!$A$65,Vaktplan!$AE$4:$CL$35,86-AI63,FALSE),0)</f>
        <v>0</v>
      </c>
      <c r="M10" s="77">
        <f>IFERROR(VLOOKUP(Vaktplan!$A$65,Vaktplan!$AE$4:$CL$35,86-AH63,FALSE),0)</f>
        <v>0</v>
      </c>
      <c r="N10" s="9">
        <f>IFERROR(VLOOKUP(Vaktplan!$A$65,Vaktplan!$AE$4:$CL$35,89-$AI63,FALSE),0)</f>
        <v>0</v>
      </c>
      <c r="O10" s="9">
        <f t="shared" si="5"/>
        <v>0</v>
      </c>
      <c r="P10" s="9">
        <f t="shared" si="6"/>
        <v>24</v>
      </c>
      <c r="Q10" s="77">
        <f>IFERROR(VLOOKUP(Vaktplan!$A$65,Vaktplan!$AF$4:$CL$35,86-AJ63,FALSE),0)</f>
        <v>0</v>
      </c>
      <c r="R10" s="77">
        <f>IFERROR(VLOOKUP(Vaktplan!$A$65,Vaktplan!$AF$4:$CL$35,86-AI63,FALSE),0)</f>
        <v>0</v>
      </c>
      <c r="S10" s="9">
        <f>IFERROR(VLOOKUP(Vaktplan!$A$65,Vaktplan!$AF$4:$CL$35,89-$AJ63,FALSE),0)</f>
        <v>0</v>
      </c>
      <c r="T10" s="9">
        <f t="shared" si="0"/>
        <v>0</v>
      </c>
      <c r="U10" s="9">
        <f t="shared" si="7"/>
        <v>24</v>
      </c>
      <c r="V10" s="77">
        <f>IFERROR(VLOOKUP(Vaktplan!$A$65,Vaktplan!$AG$4:$CL$35,86-AK63,FALSE),0)</f>
        <v>0</v>
      </c>
      <c r="W10" s="77">
        <f>IFERROR(VLOOKUP(Vaktplan!$A$65,Vaktplan!$AG$4:$CL$35,86-AJ63,FALSE),0)</f>
        <v>0</v>
      </c>
      <c r="X10" s="9">
        <f>IFERROR(VLOOKUP(Vaktplan!$A$65,Vaktplan!$AG$4:$CL$35,89-$AK63,FALSE),0)</f>
        <v>0</v>
      </c>
      <c r="Y10" s="9">
        <f t="shared" si="8"/>
        <v>0</v>
      </c>
      <c r="Z10" s="9">
        <f t="shared" si="9"/>
        <v>24</v>
      </c>
      <c r="AA10" s="77">
        <f>IFERROR(VLOOKUP(Vaktplan!$A$65,Vaktplan!$AH$4:$CL$35,86-AL63,FALSE),0)</f>
        <v>0</v>
      </c>
      <c r="AB10" s="77">
        <f>IFERROR(VLOOKUP(Vaktplan!$A$65,Vaktplan!$AH$4:$CL$35,86-AK63,FALSE),0)</f>
        <v>0</v>
      </c>
      <c r="AC10" s="9">
        <f>IFERROR(VLOOKUP(Vaktplan!$A$65,Vaktplan!$AH$4:$CL$35,89-$AL63,FALSE),0)</f>
        <v>0</v>
      </c>
      <c r="AD10" s="9">
        <f t="shared" si="10"/>
        <v>0</v>
      </c>
      <c r="AE10" s="9">
        <f t="shared" si="11"/>
        <v>24</v>
      </c>
      <c r="AF10" s="77">
        <f>IFERROR(VLOOKUP(Vaktplan!$A$65,Vaktplan!$AI$4:$CL$35,86-AM63,FALSE),0)</f>
        <v>0</v>
      </c>
      <c r="AG10" s="77">
        <f>IFERROR(VLOOKUP(Vaktplan!$A$65,Vaktplan!$AI$4:$CL$35,86-AL63,FALSE),0)</f>
        <v>0</v>
      </c>
      <c r="AH10" s="9">
        <f>IFERROR(VLOOKUP(Vaktplan!$A$65,Vaktplan!$AI$4:$CL$35,89-$AM63,FALSE),0)</f>
        <v>0</v>
      </c>
      <c r="AI10" s="9">
        <f t="shared" si="12"/>
        <v>0</v>
      </c>
      <c r="AJ10" s="9">
        <f t="shared" si="13"/>
        <v>24</v>
      </c>
      <c r="AK10" s="9">
        <f t="shared" si="1"/>
        <v>0</v>
      </c>
      <c r="AL10" s="92">
        <f t="shared" si="14"/>
        <v>24</v>
      </c>
      <c r="AM10" s="10">
        <f t="shared" si="15"/>
        <v>0</v>
      </c>
    </row>
    <row r="11" spans="1:39" ht="13" x14ac:dyDescent="0.25">
      <c r="A11" s="7">
        <f>IF($M$1&gt;=6,6,0)</f>
        <v>6</v>
      </c>
      <c r="B11" s="77">
        <f>IFERROR(VLOOKUP(Vaktplan!$A$65,Vaktplan!$AJ$4:$CL$35,87-AH64,FALSE),0)</f>
        <v>0</v>
      </c>
      <c r="C11" s="77">
        <f>IFERROR(VLOOKUP(Vaktplan!$A$65,Vaktplan!$AJ$4:$CL$35,87-AG64,FALSE),0)</f>
        <v>0</v>
      </c>
      <c r="D11" s="9">
        <f>IFERROR(VLOOKUP(Vaktplan!$A$65,Vaktplan!$AJ$4:$CL$35,89-AG64,FALSE),0)</f>
        <v>0</v>
      </c>
      <c r="E11" s="9">
        <f t="shared" si="16"/>
        <v>0</v>
      </c>
      <c r="F11" s="9">
        <f t="shared" si="2"/>
        <v>24</v>
      </c>
      <c r="G11" s="77">
        <f>IFERROR(VLOOKUP(Vaktplan!$A$65,Vaktplan!$AK$4:$CL$35,86-AH64,FALSE),0)</f>
        <v>0</v>
      </c>
      <c r="H11" s="77">
        <f>IFERROR(VLOOKUP(Vaktplan!$A$65,Vaktplan!$AK$4:$CL$35,86-AG64,FALSE),0)</f>
        <v>0</v>
      </c>
      <c r="I11" s="9">
        <f>IFERROR(VLOOKUP(Vaktplan!$A$65,Vaktplan!$AK$4:$CL$35,89-$AH64,FALSE),0)</f>
        <v>0</v>
      </c>
      <c r="J11" s="9">
        <f t="shared" si="3"/>
        <v>0</v>
      </c>
      <c r="K11" s="9">
        <f t="shared" si="4"/>
        <v>24</v>
      </c>
      <c r="L11" s="77">
        <f>IFERROR(VLOOKUP(Vaktplan!$A$65,Vaktplan!$AL$4:$CL$35,86-AI64,FALSE),0)</f>
        <v>0</v>
      </c>
      <c r="M11" s="77">
        <f>IFERROR(VLOOKUP(Vaktplan!$A$65,Vaktplan!$AL$4:$CL$35,86-AH64,FALSE),0)</f>
        <v>0</v>
      </c>
      <c r="N11" s="9">
        <f>IFERROR(VLOOKUP(Vaktplan!$A$65,Vaktplan!$AL$4:$CL$35,89-$AI64,FALSE),0)</f>
        <v>0</v>
      </c>
      <c r="O11" s="9">
        <f t="shared" si="5"/>
        <v>0</v>
      </c>
      <c r="P11" s="9">
        <f t="shared" si="6"/>
        <v>24</v>
      </c>
      <c r="Q11" s="77">
        <f>IFERROR(VLOOKUP(Vaktplan!$A$65,Vaktplan!$AM$4:$CL$35,86-AJ64,FALSE),0)</f>
        <v>0</v>
      </c>
      <c r="R11" s="77">
        <f>IFERROR(VLOOKUP(Vaktplan!$A$65,Vaktplan!$AM$4:$CL$35,86-AI64,FALSE),0)</f>
        <v>0</v>
      </c>
      <c r="S11" s="9">
        <f>IFERROR(VLOOKUP(Vaktplan!$A$65,Vaktplan!$AM$4:$CL$35,89-$AJ64,FALSE),0)</f>
        <v>0</v>
      </c>
      <c r="T11" s="9">
        <f t="shared" si="0"/>
        <v>0</v>
      </c>
      <c r="U11" s="9">
        <f t="shared" si="7"/>
        <v>24</v>
      </c>
      <c r="V11" s="77">
        <f>IFERROR(VLOOKUP(Vaktplan!$A$65,Vaktplan!$AN$4:$CL$35,86-AK64,FALSE),0)</f>
        <v>0</v>
      </c>
      <c r="W11" s="77">
        <f>IFERROR(VLOOKUP(Vaktplan!$A$65,Vaktplan!$AN$4:$CL$35,86-AJ64,FALSE),0)</f>
        <v>0</v>
      </c>
      <c r="X11" s="9">
        <f>IFERROR(VLOOKUP(Vaktplan!$A$65,Vaktplan!$AN$4:$CL$35,89-$AK64,FALSE),0)</f>
        <v>0</v>
      </c>
      <c r="Y11" s="9">
        <f t="shared" si="8"/>
        <v>0</v>
      </c>
      <c r="Z11" s="9">
        <f t="shared" si="9"/>
        <v>24</v>
      </c>
      <c r="AA11" s="77">
        <f>IFERROR(VLOOKUP(Vaktplan!$A$65,Vaktplan!$AO$4:$CL$35,86-AL64,FALSE),0)</f>
        <v>0</v>
      </c>
      <c r="AB11" s="77">
        <f>IFERROR(VLOOKUP(Vaktplan!$A$65,Vaktplan!$AO$4:$CL$35,86-AK64,FALSE),0)</f>
        <v>0</v>
      </c>
      <c r="AC11" s="9">
        <f>IFERROR(VLOOKUP(Vaktplan!$A$65,Vaktplan!$AO$4:$CL$35,89-$AL64,FALSE),0)</f>
        <v>0</v>
      </c>
      <c r="AD11" s="9">
        <f t="shared" si="10"/>
        <v>0</v>
      </c>
      <c r="AE11" s="9">
        <f t="shared" si="11"/>
        <v>24</v>
      </c>
      <c r="AF11" s="77">
        <f>IFERROR(VLOOKUP(Vaktplan!$A$65,Vaktplan!$AP$4:$CL$35,86-AM64,FALSE),0)</f>
        <v>0</v>
      </c>
      <c r="AG11" s="77">
        <f>IFERROR(VLOOKUP(Vaktplan!$A$65,Vaktplan!$AP$4:$CL$35,86-AL64,FALSE),0)</f>
        <v>0</v>
      </c>
      <c r="AH11" s="9">
        <f>IFERROR(VLOOKUP(Vaktplan!$A$65,Vaktplan!$AP$4:$CL$35,89-$AM64,FALSE),0)</f>
        <v>0</v>
      </c>
      <c r="AI11" s="9">
        <f t="shared" si="12"/>
        <v>0</v>
      </c>
      <c r="AJ11" s="9">
        <f t="shared" si="13"/>
        <v>24</v>
      </c>
      <c r="AK11" s="9">
        <f t="shared" si="1"/>
        <v>0</v>
      </c>
      <c r="AL11" s="92">
        <f t="shared" si="14"/>
        <v>24</v>
      </c>
      <c r="AM11" s="10">
        <f t="shared" si="15"/>
        <v>0</v>
      </c>
    </row>
    <row r="12" spans="1:39" ht="13" x14ac:dyDescent="0.25">
      <c r="A12" s="7">
        <f>IF($M$1&gt;=7,7,0)</f>
        <v>7</v>
      </c>
      <c r="B12" s="77">
        <f>IFERROR(VLOOKUP(Vaktplan!$A$65,Vaktplan!$AQ$4:$CL$35,87-AH65,FALSE),0)</f>
        <v>0</v>
      </c>
      <c r="C12" s="77">
        <f>IFERROR(VLOOKUP(Vaktplan!$A$65,Vaktplan!$AQ$4:$CL$35,87-AG65,FALSE),0)</f>
        <v>0</v>
      </c>
      <c r="D12" s="9">
        <f>IFERROR(VLOOKUP(Vaktplan!$A$65,Vaktplan!$AQ$4:$CL$35,89-AG65,FALSE),0)</f>
        <v>0</v>
      </c>
      <c r="E12" s="9">
        <f t="shared" si="16"/>
        <v>0</v>
      </c>
      <c r="F12" s="9">
        <f t="shared" si="2"/>
        <v>24</v>
      </c>
      <c r="G12" s="77">
        <f>IFERROR(VLOOKUP(Vaktplan!$A$65,Vaktplan!$AR$4:$CL$35,86-AH65,FALSE),0)</f>
        <v>0</v>
      </c>
      <c r="H12" s="77">
        <f>IFERROR(VLOOKUP(Vaktplan!$A$65,Vaktplan!$AR$4:$CL$35,86-AG65,FALSE),0)</f>
        <v>0</v>
      </c>
      <c r="I12" s="9">
        <f>IFERROR(VLOOKUP(Vaktplan!$A$65,Vaktplan!$AR$4:$CL$35,89-$AH65,FALSE),0)</f>
        <v>0</v>
      </c>
      <c r="J12" s="9">
        <f t="shared" si="3"/>
        <v>0</v>
      </c>
      <c r="K12" s="9">
        <f t="shared" si="4"/>
        <v>24</v>
      </c>
      <c r="L12" s="77">
        <f>IFERROR(VLOOKUP(Vaktplan!$A$65,Vaktplan!$AS$4:$CL$35,86-AI65,FALSE),0)</f>
        <v>0</v>
      </c>
      <c r="M12" s="77">
        <f>IFERROR(VLOOKUP(Vaktplan!$A$65,Vaktplan!$AS$4:$CL$35,86-AH65,FALSE),0)</f>
        <v>0</v>
      </c>
      <c r="N12" s="9">
        <f>IFERROR(VLOOKUP(Vaktplan!$A$65,Vaktplan!$AS$4:$CL$35,89-$AI65,FALSE),0)</f>
        <v>0</v>
      </c>
      <c r="O12" s="9">
        <f t="shared" si="5"/>
        <v>0</v>
      </c>
      <c r="P12" s="9">
        <f t="shared" si="6"/>
        <v>24</v>
      </c>
      <c r="Q12" s="77">
        <f>IFERROR(VLOOKUP(Vaktplan!$A$65,Vaktplan!$AT$4:$CL$35,86-AJ65,FALSE),0)</f>
        <v>0</v>
      </c>
      <c r="R12" s="77">
        <f>IFERROR(VLOOKUP(Vaktplan!$A$65,Vaktplan!$AT$4:$CL$35,86-AI65,FALSE),0)</f>
        <v>0</v>
      </c>
      <c r="S12" s="9">
        <f>IFERROR(VLOOKUP(Vaktplan!$A$65,Vaktplan!$AT$4:$CL$35,89-$AJ65,FALSE),0)</f>
        <v>0</v>
      </c>
      <c r="T12" s="9">
        <f t="shared" si="0"/>
        <v>0</v>
      </c>
      <c r="U12" s="9">
        <f t="shared" si="7"/>
        <v>24</v>
      </c>
      <c r="V12" s="77">
        <f>IFERROR(VLOOKUP(Vaktplan!$A$65,Vaktplan!$AU$4:$CL$35,86-AK65,FALSE),0)</f>
        <v>0</v>
      </c>
      <c r="W12" s="77">
        <f>IFERROR(VLOOKUP(Vaktplan!$A$65,Vaktplan!$AU$4:$CL$35,86-AJ65,FALSE),0)</f>
        <v>0</v>
      </c>
      <c r="X12" s="9">
        <f>IFERROR(VLOOKUP(Vaktplan!$A$65,Vaktplan!$AU$4:$CL$35,89-$AK65,FALSE),0)</f>
        <v>0</v>
      </c>
      <c r="Y12" s="9">
        <f t="shared" si="8"/>
        <v>0</v>
      </c>
      <c r="Z12" s="9">
        <f t="shared" si="9"/>
        <v>24</v>
      </c>
      <c r="AA12" s="77">
        <f>IFERROR(VLOOKUP(Vaktplan!$A$65,Vaktplan!$AV$4:$CL$35,86-AL65,FALSE),0)</f>
        <v>0</v>
      </c>
      <c r="AB12" s="77">
        <f>IFERROR(VLOOKUP(Vaktplan!$A$65,Vaktplan!$AV$4:$CL$35,86-AK65,FALSE),0)</f>
        <v>0</v>
      </c>
      <c r="AC12" s="9">
        <f>IFERROR(VLOOKUP(Vaktplan!$A$65,Vaktplan!$AV$4:$CL$35,89-$AL65,FALSE),0)</f>
        <v>0</v>
      </c>
      <c r="AD12" s="9">
        <f t="shared" si="10"/>
        <v>0</v>
      </c>
      <c r="AE12" s="9">
        <f t="shared" si="11"/>
        <v>24</v>
      </c>
      <c r="AF12" s="77">
        <f>IFERROR(VLOOKUP(Vaktplan!$A$65,Vaktplan!$AW$4:$CL$35,86-AM65,FALSE),0)</f>
        <v>0</v>
      </c>
      <c r="AG12" s="77">
        <f>IFERROR(VLOOKUP(Vaktplan!$A$65,Vaktplan!$AW$4:$CL$35,86-AL65,FALSE),0)</f>
        <v>0</v>
      </c>
      <c r="AH12" s="9">
        <f>IFERROR(VLOOKUP(Vaktplan!$A$65,Vaktplan!$AW$4:$CL$35,89-$AM65,FALSE),0)</f>
        <v>0</v>
      </c>
      <c r="AI12" s="9">
        <f t="shared" si="12"/>
        <v>0</v>
      </c>
      <c r="AJ12" s="9">
        <f t="shared" si="13"/>
        <v>24</v>
      </c>
      <c r="AK12" s="9">
        <f t="shared" si="1"/>
        <v>0</v>
      </c>
      <c r="AL12" s="92">
        <f t="shared" si="14"/>
        <v>24</v>
      </c>
      <c r="AM12" s="10">
        <f t="shared" si="15"/>
        <v>0</v>
      </c>
    </row>
    <row r="13" spans="1:39" ht="13" x14ac:dyDescent="0.25">
      <c r="A13" s="7">
        <f>IF($M$1&gt;=8,8,0)</f>
        <v>8</v>
      </c>
      <c r="B13" s="77">
        <f>IFERROR(VLOOKUP(Vaktplan!$A$65,Vaktplan!$AX$4:$CL$35,87-AH66,FALSE),0)</f>
        <v>0</v>
      </c>
      <c r="C13" s="77">
        <f>IFERROR(VLOOKUP(Vaktplan!$A$65,Vaktplan!$AX$4:$CL$35,87-AG66,FALSE),0)</f>
        <v>0</v>
      </c>
      <c r="D13" s="9">
        <f>IFERROR(VLOOKUP(Vaktplan!$A$65,Vaktplan!$AX$4:$CL$35,89-AG66,FALSE),0)</f>
        <v>0</v>
      </c>
      <c r="E13" s="9">
        <f t="shared" si="16"/>
        <v>0</v>
      </c>
      <c r="F13" s="9">
        <f t="shared" si="2"/>
        <v>24</v>
      </c>
      <c r="G13" s="77">
        <f>IFERROR(VLOOKUP(Vaktplan!$A$65,Vaktplan!$AY$4:$CL$35,86-AH66,FALSE),0)</f>
        <v>0</v>
      </c>
      <c r="H13" s="77">
        <f>IFERROR(VLOOKUP(Vaktplan!$A$65,Vaktplan!$AY$4:$CL$35,86-AG66,FALSE),0)</f>
        <v>0</v>
      </c>
      <c r="I13" s="9">
        <f>IFERROR(VLOOKUP(Vaktplan!$A$65,Vaktplan!$AY$4:$CL$35,89-$AH66,FALSE),0)</f>
        <v>0</v>
      </c>
      <c r="J13" s="9">
        <f t="shared" si="3"/>
        <v>0</v>
      </c>
      <c r="K13" s="9">
        <f t="shared" si="4"/>
        <v>24</v>
      </c>
      <c r="L13" s="77">
        <f>IFERROR(VLOOKUP(Vaktplan!$A$65,Vaktplan!$AZ$4:$CL$35,86-AI66,FALSE),0)</f>
        <v>0</v>
      </c>
      <c r="M13" s="77">
        <f>IFERROR(VLOOKUP(Vaktplan!$A$65,Vaktplan!$AZ$4:$CL$35,86-AH66,FALSE),0)</f>
        <v>0</v>
      </c>
      <c r="N13" s="9">
        <f>IFERROR(VLOOKUP(Vaktplan!$A$65,Vaktplan!$AZ$4:$CL$35,89-$AI66,FALSE),0)</f>
        <v>0</v>
      </c>
      <c r="O13" s="9">
        <f t="shared" si="5"/>
        <v>0</v>
      </c>
      <c r="P13" s="9">
        <f t="shared" si="6"/>
        <v>24</v>
      </c>
      <c r="Q13" s="77">
        <f>IFERROR(VLOOKUP(Vaktplan!$A$65,Vaktplan!$BA$4:$CL$35,86-AJ66,FALSE),0)</f>
        <v>0</v>
      </c>
      <c r="R13" s="77">
        <f>IFERROR(VLOOKUP(Vaktplan!$A$65,Vaktplan!$BA$4:$CL$35,86-AI66,FALSE),0)</f>
        <v>0</v>
      </c>
      <c r="S13" s="9">
        <f>IFERROR(VLOOKUP(Vaktplan!$A$65,Vaktplan!$BA$4:$CL$35,89-$AJ66,FALSE),0)</f>
        <v>0</v>
      </c>
      <c r="T13" s="9">
        <f t="shared" si="0"/>
        <v>0</v>
      </c>
      <c r="U13" s="9">
        <f t="shared" si="7"/>
        <v>24</v>
      </c>
      <c r="V13" s="77">
        <f>IFERROR(VLOOKUP(Vaktplan!$A$65,Vaktplan!$BB$4:$CL$35,86-AK66,FALSE),0)</f>
        <v>0</v>
      </c>
      <c r="W13" s="77">
        <f>IFERROR(VLOOKUP(Vaktplan!$A$65,Vaktplan!$BB$4:$CL$35,86-AJ66,FALSE),0)</f>
        <v>0</v>
      </c>
      <c r="X13" s="9">
        <f>IFERROR(VLOOKUP(Vaktplan!$A$65,Vaktplan!$BB$4:$CL$35,89-$AK66,FALSE),0)</f>
        <v>0</v>
      </c>
      <c r="Y13" s="9">
        <f t="shared" si="8"/>
        <v>0</v>
      </c>
      <c r="Z13" s="9">
        <f t="shared" si="9"/>
        <v>24</v>
      </c>
      <c r="AA13" s="77">
        <f>IFERROR(VLOOKUP(Vaktplan!$A$65,Vaktplan!$BC$4:$CL$35,86-AL66,FALSE),0)</f>
        <v>0</v>
      </c>
      <c r="AB13" s="77">
        <f>IFERROR(VLOOKUP(Vaktplan!$A$65,Vaktplan!$BC$4:$CL$35,86-AK66,FALSE),0)</f>
        <v>0</v>
      </c>
      <c r="AC13" s="9">
        <f>IFERROR(VLOOKUP(Vaktplan!$A$65,Vaktplan!$BC$4:$CL$35,89-$AL66,FALSE),0)</f>
        <v>0</v>
      </c>
      <c r="AD13" s="9">
        <f t="shared" si="10"/>
        <v>0</v>
      </c>
      <c r="AE13" s="9">
        <f t="shared" si="11"/>
        <v>24</v>
      </c>
      <c r="AF13" s="77">
        <f>IFERROR(VLOOKUP(Vaktplan!$A$65,Vaktplan!$BD$4:$CL$35,86-AM66,FALSE),0)</f>
        <v>0</v>
      </c>
      <c r="AG13" s="77">
        <f>IFERROR(VLOOKUP(Vaktplan!$A$65,Vaktplan!$BD$4:$CL$35,86-AL66,FALSE),0)</f>
        <v>0</v>
      </c>
      <c r="AH13" s="9">
        <f>IFERROR(VLOOKUP(Vaktplan!$A$65,Vaktplan!$BD$4:$CL$35,89-$AM66,FALSE),0)</f>
        <v>0</v>
      </c>
      <c r="AI13" s="9">
        <f t="shared" si="12"/>
        <v>0</v>
      </c>
      <c r="AJ13" s="9">
        <f t="shared" si="13"/>
        <v>24</v>
      </c>
      <c r="AK13" s="9">
        <f t="shared" si="1"/>
        <v>0</v>
      </c>
      <c r="AL13" s="92">
        <f t="shared" si="14"/>
        <v>24</v>
      </c>
      <c r="AM13" s="10">
        <f t="shared" si="15"/>
        <v>0</v>
      </c>
    </row>
    <row r="14" spans="1:39" ht="13" x14ac:dyDescent="0.25">
      <c r="A14" s="7">
        <v>9</v>
      </c>
      <c r="B14" s="77">
        <f>IFERROR(VLOOKUP(Vaktplan!$A$65,Vaktplan!$BE$4:$CL$35,87-AH67,FALSE),0)</f>
        <v>0</v>
      </c>
      <c r="C14" s="77">
        <f>IFERROR(VLOOKUP(Vaktplan!$A$65,Vaktplan!$BE$4:$CL$35,87-AG67,FALSE),0)</f>
        <v>0</v>
      </c>
      <c r="D14" s="9">
        <f>IFERROR(VLOOKUP(Vaktplan!$A$65,Vaktplan!$BE$4:$CL$35,89-AG67,FALSE),0)</f>
        <v>0</v>
      </c>
      <c r="E14" s="9">
        <f t="shared" si="16"/>
        <v>0</v>
      </c>
      <c r="F14" s="9">
        <f t="shared" si="2"/>
        <v>24</v>
      </c>
      <c r="G14" s="77">
        <f>IFERROR(VLOOKUP(Vaktplan!$A$65,Vaktplan!$BF$4:$CL$35,86-AH67,FALSE),0)</f>
        <v>0</v>
      </c>
      <c r="H14" s="77">
        <f>IFERROR(VLOOKUP(Vaktplan!$A$65,Vaktplan!$BF$4:$CL$35,86-AG67,FALSE),0)</f>
        <v>0</v>
      </c>
      <c r="I14" s="9">
        <f>IFERROR(VLOOKUP(Vaktplan!$A$65,Vaktplan!$BF$4:$CL$35,89-$AH67,FALSE),0)</f>
        <v>0</v>
      </c>
      <c r="J14" s="9">
        <f t="shared" si="3"/>
        <v>0</v>
      </c>
      <c r="K14" s="9">
        <f t="shared" si="4"/>
        <v>24</v>
      </c>
      <c r="L14" s="77">
        <f>IFERROR(VLOOKUP(Vaktplan!$A$65,Vaktplan!$BG$4:$CL$35,86-AI67,FALSE),0)</f>
        <v>0</v>
      </c>
      <c r="M14" s="77">
        <f>IFERROR(VLOOKUP(Vaktplan!$A$65,Vaktplan!$BG$4:$CL$35,86-AH67,FALSE),0)</f>
        <v>0</v>
      </c>
      <c r="N14" s="9">
        <f>IFERROR(VLOOKUP(Vaktplan!$A$65,Vaktplan!$BG$4:$CL$35,89-$AI67,FALSE),0)</f>
        <v>0</v>
      </c>
      <c r="O14" s="9">
        <f t="shared" si="5"/>
        <v>0</v>
      </c>
      <c r="P14" s="9">
        <f t="shared" si="6"/>
        <v>24</v>
      </c>
      <c r="Q14" s="77">
        <f>IFERROR(VLOOKUP(Vaktplan!$A$65,Vaktplan!$BH$4:$CL$35,86-AJ67,FALSE),0)</f>
        <v>0</v>
      </c>
      <c r="R14" s="77">
        <f>IFERROR(VLOOKUP(Vaktplan!$A$65,Vaktplan!$BH$4:$CL$35,86-AI67,FALSE),0)</f>
        <v>0</v>
      </c>
      <c r="S14" s="9">
        <f>IFERROR(VLOOKUP(Vaktplan!$A$65,Vaktplan!$BH$4:$CL$35,89-$AJ67,FALSE),0)</f>
        <v>0</v>
      </c>
      <c r="T14" s="9">
        <f t="shared" si="0"/>
        <v>0</v>
      </c>
      <c r="U14" s="9">
        <f t="shared" si="7"/>
        <v>24</v>
      </c>
      <c r="V14" s="77">
        <f>IFERROR(VLOOKUP(Vaktplan!$A$65,Vaktplan!$BI$4:$CL$35,86-AK67,FALSE),0)</f>
        <v>0</v>
      </c>
      <c r="W14" s="77">
        <f>IFERROR(VLOOKUP(Vaktplan!$A$65,Vaktplan!$BI$4:$CL$35,86-AJ67,FALSE),0)</f>
        <v>0</v>
      </c>
      <c r="X14" s="9">
        <f>IFERROR(VLOOKUP(Vaktplan!$A$65,Vaktplan!$BI$4:$CL$35,89-$AK67,FALSE),0)</f>
        <v>0</v>
      </c>
      <c r="Y14" s="9">
        <f>IF(AND(V14=0,W14=0),0,IF(V14&lt;W14,((W14-V14)*24)-X14,(((1-V14)+W14)*24)-X14))</f>
        <v>0</v>
      </c>
      <c r="Z14" s="9">
        <f t="shared" si="9"/>
        <v>24</v>
      </c>
      <c r="AA14" s="77">
        <f>IFERROR(VLOOKUP(Vaktplan!$A$65,Vaktplan!$BJ$4:$CL$35,86-AL67,FALSE),0)</f>
        <v>0</v>
      </c>
      <c r="AB14" s="77">
        <f>IFERROR(VLOOKUP(Vaktplan!$A$65,Vaktplan!$BJ$4:$CL$35,86-AK67,FALSE),0)</f>
        <v>0</v>
      </c>
      <c r="AC14" s="9">
        <f>IFERROR(VLOOKUP(Vaktplan!$A$65,Vaktplan!$BJ$4:$CL$35,89-$AL67,FALSE),0)</f>
        <v>0</v>
      </c>
      <c r="AD14" s="9">
        <f>IF(AND(AA14=0,AB14=0),0,IF(AA14&lt;AB14,((AB14-AA14)*24)-AC14,(((1-AA14)+AB14)*24)-AC14))</f>
        <v>0</v>
      </c>
      <c r="AE14" s="9">
        <f t="shared" si="11"/>
        <v>24</v>
      </c>
      <c r="AF14" s="77">
        <f>IFERROR(VLOOKUP(Vaktplan!$A$65,Vaktplan!$BK$4:$CL$35,86-AM67,FALSE),0)</f>
        <v>0</v>
      </c>
      <c r="AG14" s="77">
        <f>IFERROR(VLOOKUP(Vaktplan!$A$65,Vaktplan!$BK$4:$CL$35,86-AL67,FALSE),0)</f>
        <v>0</v>
      </c>
      <c r="AH14" s="9">
        <f>IFERROR(VLOOKUP(Vaktplan!$A$65,Vaktplan!$BK$4:$CL$35,89-$AM67,FALSE),0)</f>
        <v>0</v>
      </c>
      <c r="AI14" s="9">
        <f>IF(AND(AF14=0,AG14=0),0,IF(AF14&lt;AG14,((AG14-AF14)*24)-AH14,(((1-AF14)+AG14)*24)-AH14))</f>
        <v>0</v>
      </c>
      <c r="AJ14" s="9">
        <f t="shared" si="13"/>
        <v>24</v>
      </c>
      <c r="AK14" s="9">
        <f t="shared" si="1"/>
        <v>0</v>
      </c>
      <c r="AL14" s="92"/>
      <c r="AM14" s="10"/>
    </row>
    <row r="15" spans="1:39" ht="13" x14ac:dyDescent="0.25">
      <c r="A15" s="7">
        <v>10</v>
      </c>
      <c r="B15" s="77">
        <f>IFERROR(VLOOKUP(Vaktplan!$A$65,Vaktplan!$BL$4:$CL$35,87-AH68,FALSE),0)</f>
        <v>0</v>
      </c>
      <c r="C15" s="77">
        <f>IFERROR(VLOOKUP(Vaktplan!$A$65,Vaktplan!$BL$4:$CL$35,87-AG68,FALSE),0)</f>
        <v>0</v>
      </c>
      <c r="D15" s="9">
        <f>IFERROR(VLOOKUP(Vaktplan!$A$65,Vaktplan!$BL$4:$CL$35,89-AG68,FALSE),0)</f>
        <v>0</v>
      </c>
      <c r="E15" s="9">
        <f t="shared" si="16"/>
        <v>0</v>
      </c>
      <c r="F15" s="9">
        <f t="shared" si="2"/>
        <v>24</v>
      </c>
      <c r="G15" s="77">
        <f>IFERROR(VLOOKUP(Vaktplan!$A$65,Vaktplan!$BM$4:$CL$35,86-AH68,FALSE),0)</f>
        <v>0</v>
      </c>
      <c r="H15" s="77">
        <f>IFERROR(VLOOKUP(Vaktplan!$A$65,Vaktplan!$BM$4:$CL$35,86-AG68,FALSE),0)</f>
        <v>0</v>
      </c>
      <c r="I15" s="9">
        <f>IFERROR(VLOOKUP(Vaktplan!$A$65,Vaktplan!$BM$4:$CL$35,89-$AH68,FALSE),0)</f>
        <v>0</v>
      </c>
      <c r="J15" s="9">
        <f t="shared" si="3"/>
        <v>0</v>
      </c>
      <c r="K15" s="9">
        <f t="shared" si="4"/>
        <v>24</v>
      </c>
      <c r="L15" s="77">
        <f>IFERROR(VLOOKUP(Vaktplan!$A$65,Vaktplan!$BN$4:$CL$35,86-AI68,FALSE),0)</f>
        <v>0</v>
      </c>
      <c r="M15" s="77">
        <f>IFERROR(VLOOKUP(Vaktplan!$A$65,Vaktplan!$BN$4:$CL$35,86-AH68,FALSE),0)</f>
        <v>0</v>
      </c>
      <c r="N15" s="9">
        <f>IFERROR(VLOOKUP(Vaktplan!$A$65,Vaktplan!$BN$4:$CL$35,89-$AI68,FALSE),0)</f>
        <v>0</v>
      </c>
      <c r="O15" s="9">
        <f t="shared" si="5"/>
        <v>0</v>
      </c>
      <c r="P15" s="9">
        <f t="shared" si="6"/>
        <v>24</v>
      </c>
      <c r="Q15" s="77">
        <f>IFERROR(VLOOKUP(Vaktplan!$A$65,Vaktplan!$BO$4:$CL$35,86-AJ68,FALSE),0)</f>
        <v>0</v>
      </c>
      <c r="R15" s="77">
        <f>IFERROR(VLOOKUP(Vaktplan!$A$65,Vaktplan!$BO$4:$CL$35,86-AI68,FALSE),0)</f>
        <v>0</v>
      </c>
      <c r="S15" s="9">
        <f>IFERROR(VLOOKUP(Vaktplan!$A$65,Vaktplan!$BO$4:$CL$35,89-$AJ68,FALSE),0)</f>
        <v>0</v>
      </c>
      <c r="T15" s="9">
        <f t="shared" si="0"/>
        <v>0</v>
      </c>
      <c r="U15" s="9">
        <f t="shared" si="7"/>
        <v>24</v>
      </c>
      <c r="V15" s="77">
        <f>IFERROR(VLOOKUP(Vaktplan!$A$65,Vaktplan!$BP$4:$CL$35,86-AK68,FALSE),0)</f>
        <v>0</v>
      </c>
      <c r="W15" s="77">
        <f>IFERROR(VLOOKUP(Vaktplan!$A$65,Vaktplan!$BP$4:$CL$35,86-AJ68,FALSE),0)</f>
        <v>0</v>
      </c>
      <c r="X15" s="9">
        <f>IFERROR(VLOOKUP(Vaktplan!$A$65,Vaktplan!$BP$4:$CL$35,89-$AK68,FALSE),0)</f>
        <v>0</v>
      </c>
      <c r="Y15" s="9">
        <f>IF(AND(V15=0,W15=0),0,IF(V15&lt;W15,((W15-V15)*24)-X15,(((1-V15)+W15)*24)-X15))</f>
        <v>0</v>
      </c>
      <c r="Z15" s="9">
        <f t="shared" si="9"/>
        <v>24</v>
      </c>
      <c r="AA15" s="77">
        <f>IFERROR(VLOOKUP(Vaktplan!$A$65,Vaktplan!$BQ$4:$CL$35,86-AL68,FALSE),0)</f>
        <v>0</v>
      </c>
      <c r="AB15" s="77">
        <f>IFERROR(VLOOKUP(Vaktplan!$A$65,Vaktplan!$BQ$4:$CL$35,86-AK68,FALSE),0)</f>
        <v>0</v>
      </c>
      <c r="AC15" s="9">
        <f>IFERROR(VLOOKUP(Vaktplan!$A$65,Vaktplan!$BQ$4:$CL$35,89-$AL68,FALSE),0)</f>
        <v>0</v>
      </c>
      <c r="AD15" s="9">
        <f>IF(AND(AA15=0,AB15=0),0,IF(AA15&lt;AB15,((AB15-AA15)*24)-AC15,(((1-AA15)+AB15)*24)-AC15))</f>
        <v>0</v>
      </c>
      <c r="AE15" s="9">
        <f t="shared" si="11"/>
        <v>24</v>
      </c>
      <c r="AF15" s="77">
        <f>IFERROR(VLOOKUP(Vaktplan!$A$65,Vaktplan!$BR$4:$CL$35,86-AM68,FALSE),0)</f>
        <v>0</v>
      </c>
      <c r="AG15" s="77">
        <f>IFERROR(VLOOKUP(Vaktplan!$A$65,Vaktplan!$BR$4:$CL$35,86-AL68,FALSE),0)</f>
        <v>0</v>
      </c>
      <c r="AH15" s="9">
        <f>IFERROR(VLOOKUP(Vaktplan!$A$65,Vaktplan!$BR$4:$CL$35,89-$AM68,FALSE),0)</f>
        <v>0</v>
      </c>
      <c r="AI15" s="9">
        <f>IF(AND(AF15=0,AG15=0),0,IF(AF15&lt;AG15,((AG15-AF15)*24)-AH15,(((1-AF15)+AG15)*24)-AH15))</f>
        <v>0</v>
      </c>
      <c r="AJ15" s="9">
        <f t="shared" si="13"/>
        <v>24</v>
      </c>
      <c r="AK15" s="9">
        <f t="shared" si="1"/>
        <v>0</v>
      </c>
      <c r="AL15" s="92"/>
      <c r="AM15" s="10"/>
    </row>
    <row r="16" spans="1:39" ht="13" x14ac:dyDescent="0.25">
      <c r="A16" s="7">
        <v>11</v>
      </c>
      <c r="B16" s="77">
        <f>IFERROR(VLOOKUP(Vaktplan!$A$65,Vaktplan!$BS$4:$CL$35,87-AH69,FALSE),0)</f>
        <v>0</v>
      </c>
      <c r="C16" s="77">
        <f>IFERROR(VLOOKUP(Vaktplan!$A$65,Vaktplan!$BS$4:$CL$35,87-AG69,FALSE),0)</f>
        <v>0</v>
      </c>
      <c r="D16" s="9">
        <f>IFERROR(VLOOKUP(Vaktplan!$A$65,Vaktplan!$BS$4:$CL$35,89-AG69,FALSE),0)</f>
        <v>0</v>
      </c>
      <c r="E16" s="9">
        <f t="shared" si="16"/>
        <v>0</v>
      </c>
      <c r="F16" s="9">
        <f t="shared" si="2"/>
        <v>24</v>
      </c>
      <c r="G16" s="77">
        <f>IFERROR(VLOOKUP(Vaktplan!$A$65,Vaktplan!$BT$4:$CL$35,86-AH69,FALSE),0)</f>
        <v>0</v>
      </c>
      <c r="H16" s="77">
        <f>IFERROR(VLOOKUP(Vaktplan!$A$65,Vaktplan!$BT$4:$CL$35,86-AG69,FALSE),0)</f>
        <v>0</v>
      </c>
      <c r="I16" s="9">
        <f>IFERROR(VLOOKUP(Vaktplan!$A$65,Vaktplan!$BT$4:$CL$35,89-$AH69,FALSE),0)</f>
        <v>0</v>
      </c>
      <c r="J16" s="9">
        <f t="shared" si="3"/>
        <v>0</v>
      </c>
      <c r="K16" s="9">
        <f t="shared" si="4"/>
        <v>24</v>
      </c>
      <c r="L16" s="77">
        <f>IFERROR(VLOOKUP(Vaktplan!$A$65,Vaktplan!$BU$4:$CL$35,86-AI69,FALSE),0)</f>
        <v>0</v>
      </c>
      <c r="M16" s="77">
        <f>IFERROR(VLOOKUP(Vaktplan!$A$65,Vaktplan!$BU$4:$CL$35,86-AH69,FALSE),0)</f>
        <v>0</v>
      </c>
      <c r="N16" s="9">
        <f>IFERROR(VLOOKUP(Vaktplan!$A$65,Vaktplan!$BU$4:$CL$35,89-$AI69,FALSE),0)</f>
        <v>0</v>
      </c>
      <c r="O16" s="9">
        <f t="shared" si="5"/>
        <v>0</v>
      </c>
      <c r="P16" s="9">
        <f t="shared" si="6"/>
        <v>24</v>
      </c>
      <c r="Q16" s="77">
        <f>IFERROR(VLOOKUP(Vaktplan!$A$65,Vaktplan!$BV$4:$CL$35,86-AJ69,FALSE),0)</f>
        <v>0</v>
      </c>
      <c r="R16" s="77">
        <f>IFERROR(VLOOKUP(Vaktplan!$A$65,Vaktplan!$BV$4:$CL$35,86-AI69,FALSE),0)</f>
        <v>0</v>
      </c>
      <c r="S16" s="9">
        <f>IFERROR(VLOOKUP(Vaktplan!$A$65,Vaktplan!$BV$4:$CL$35,89-$AJ69,FALSE),0)</f>
        <v>0</v>
      </c>
      <c r="T16" s="9">
        <f t="shared" si="0"/>
        <v>0</v>
      </c>
      <c r="U16" s="9">
        <f t="shared" si="7"/>
        <v>24</v>
      </c>
      <c r="V16" s="77">
        <f>IFERROR(VLOOKUP(Vaktplan!$A$65,Vaktplan!$BW$4:$CL$35,86-AK69,FALSE),0)</f>
        <v>0</v>
      </c>
      <c r="W16" s="77">
        <f>IFERROR(VLOOKUP(Vaktplan!$A$65,Vaktplan!$BW$4:$CL$35,86-AJ69,FALSE),0)</f>
        <v>0</v>
      </c>
      <c r="X16" s="9">
        <f>IFERROR(VLOOKUP(Vaktplan!$A$65,Vaktplan!$BW$4:$CL$35,89-$AK69,FALSE),0)</f>
        <v>0</v>
      </c>
      <c r="Y16" s="9">
        <f>IF(AND(V16=0,W16=0),0,IF(V16&lt;W16,((W16-V16)*24)-X16,(((1-V16)+W16)*24)-X16))</f>
        <v>0</v>
      </c>
      <c r="Z16" s="9">
        <f t="shared" si="9"/>
        <v>24</v>
      </c>
      <c r="AA16" s="77">
        <f>IFERROR(VLOOKUP(Vaktplan!$A$65,Vaktplan!$BX$4:$CL$35,86-AL69,FALSE),0)</f>
        <v>0</v>
      </c>
      <c r="AB16" s="77">
        <f>IFERROR(VLOOKUP(Vaktplan!$A$65,Vaktplan!$BX$4:$CL$35,86-AK69,FALSE),0)</f>
        <v>0</v>
      </c>
      <c r="AC16" s="9">
        <f>IFERROR(VLOOKUP(Vaktplan!$A$65,Vaktplan!$BX$4:$CL$35,89-$AL69,FALSE),0)</f>
        <v>0</v>
      </c>
      <c r="AD16" s="9">
        <f>IF(AND(AA16=0,AB16=0),0,IF(AA16&lt;AB16,((AB16-AA16)*24)-AC16,(((1-AA16)+AB16)*24)-AC16))</f>
        <v>0</v>
      </c>
      <c r="AE16" s="9">
        <f t="shared" si="11"/>
        <v>24</v>
      </c>
      <c r="AF16" s="77">
        <f>IFERROR(VLOOKUP(Vaktplan!$A$65,Vaktplan!$BY$4:$CL$35,86-AM69,FALSE),0)</f>
        <v>0</v>
      </c>
      <c r="AG16" s="77">
        <f>IFERROR(VLOOKUP(Vaktplan!$A$65,Vaktplan!$BY$4:$CL$35,86-AL69,FALSE),0)</f>
        <v>0</v>
      </c>
      <c r="AH16" s="9">
        <f>IFERROR(VLOOKUP(Vaktplan!$A$65,Vaktplan!$BY$4:$CL$35,89-$AM69,FALSE),0)</f>
        <v>0</v>
      </c>
      <c r="AI16" s="9">
        <f>IF(AND(AF16=0,AG16=0),0,IF(AF16&lt;AG16,((AG16-AF16)*24)-AH16,(((1-AF16)+AG16)*24)-AH16))</f>
        <v>0</v>
      </c>
      <c r="AJ16" s="9">
        <f t="shared" si="13"/>
        <v>24</v>
      </c>
      <c r="AK16" s="9">
        <f t="shared" si="1"/>
        <v>0</v>
      </c>
      <c r="AL16" s="92"/>
      <c r="AM16" s="10"/>
    </row>
    <row r="17" spans="1:43" ht="13" x14ac:dyDescent="0.25">
      <c r="A17" s="7">
        <v>12</v>
      </c>
      <c r="B17" s="77">
        <f>IFERROR(VLOOKUP(Vaktplan!$A$65,Vaktplan!$BZ$4:$CL$35,87-AH70,FALSE),0)</f>
        <v>0</v>
      </c>
      <c r="C17" s="77">
        <f>IFERROR(VLOOKUP(Vaktplan!$A$65,Vaktplan!$BZ$4:$CL$35,87-AG70,FALSE),0)</f>
        <v>0</v>
      </c>
      <c r="D17" s="9">
        <f>IFERROR(VLOOKUP(Vaktplan!$A$65,Vaktplan!$BZ$4:$CL$35,89-AG70,FALSE),0)</f>
        <v>0</v>
      </c>
      <c r="E17" s="9">
        <f t="shared" si="16"/>
        <v>0</v>
      </c>
      <c r="F17" s="9">
        <f t="shared" si="2"/>
        <v>24</v>
      </c>
      <c r="G17" s="77">
        <f>IFERROR(VLOOKUP(Vaktplan!$A$65,Vaktplan!$CA$4:$CL$35,86-AH70,FALSE),0)</f>
        <v>0</v>
      </c>
      <c r="H17" s="77">
        <f>IFERROR(VLOOKUP(Vaktplan!$A$65,Vaktplan!$CA$4:$CL$35,86-AG70,FALSE),0)</f>
        <v>0</v>
      </c>
      <c r="I17" s="9">
        <f>IFERROR(VLOOKUP(Vaktplan!$A$65,Vaktplan!$CA$4:$CL$35,89-$AH70,FALSE),0)</f>
        <v>0</v>
      </c>
      <c r="J17" s="9">
        <f t="shared" si="3"/>
        <v>0</v>
      </c>
      <c r="K17" s="9">
        <f t="shared" si="4"/>
        <v>24</v>
      </c>
      <c r="L17" s="77">
        <f>IFERROR(VLOOKUP(Vaktplan!$A$65,Vaktplan!$CB$4:$CL$35,86-AI70,FALSE),0)</f>
        <v>0</v>
      </c>
      <c r="M17" s="77">
        <f>IFERROR(VLOOKUP(Vaktplan!$A$65,Vaktplan!$CB$4:$CL$35,86-AH70,FALSE),0)</f>
        <v>0</v>
      </c>
      <c r="N17" s="9">
        <f>IFERROR(VLOOKUP(Vaktplan!$A$65,Vaktplan!$CB$4:$CL$35,89-$AI70,FALSE),0)</f>
        <v>0</v>
      </c>
      <c r="O17" s="9">
        <f t="shared" si="5"/>
        <v>0</v>
      </c>
      <c r="P17" s="9">
        <f t="shared" si="6"/>
        <v>24</v>
      </c>
      <c r="Q17" s="77">
        <f>IFERROR(VLOOKUP(Vaktplan!$A$65,Vaktplan!$CC$4:$CL$35,86-AJ70,FALSE),0)</f>
        <v>0</v>
      </c>
      <c r="R17" s="77">
        <f>IFERROR(VLOOKUP(Vaktplan!$A$65,Vaktplan!$CC$4:$CL$35,86-AI70,FALSE),0)</f>
        <v>0</v>
      </c>
      <c r="S17" s="9">
        <f>IFERROR(VLOOKUP(Vaktplan!$A$65,Vaktplan!$CC$4:$CL$35,89-$AJ70,FALSE),0)</f>
        <v>0</v>
      </c>
      <c r="T17" s="9">
        <f t="shared" si="0"/>
        <v>0</v>
      </c>
      <c r="U17" s="9">
        <f t="shared" si="7"/>
        <v>24</v>
      </c>
      <c r="V17" s="77">
        <f>IFERROR(VLOOKUP(Vaktplan!$A$65,Vaktplan!$CD$4:$CL$35,86-AK70,FALSE),0)</f>
        <v>0</v>
      </c>
      <c r="W17" s="77">
        <f>IFERROR(VLOOKUP(Vaktplan!$A$65,Vaktplan!$CD$4:$CL$35,86-AJ70,FALSE),0)</f>
        <v>0</v>
      </c>
      <c r="X17" s="9">
        <f>IFERROR(VLOOKUP(Vaktplan!$A$65,Vaktplan!$CD$4:$CL$35,89-$AK70,FALSE),0)</f>
        <v>0</v>
      </c>
      <c r="Y17" s="9">
        <f>IF(AND(V17=0,W17=0),0,IF(V17&lt;W17,((W17-V17)*24)-X17,(((1-V17)+W17)*24)-X17))</f>
        <v>0</v>
      </c>
      <c r="Z17" s="9">
        <f t="shared" si="9"/>
        <v>24</v>
      </c>
      <c r="AA17" s="77">
        <f>IFERROR(VLOOKUP(Vaktplan!$A$65,Vaktplan!$CE$4:$CL$35,86-AL70,FALSE),0)</f>
        <v>0</v>
      </c>
      <c r="AB17" s="77">
        <f>IFERROR(VLOOKUP(Vaktplan!$A$65,Vaktplan!$CE$4:$CL$35,86-AK70,FALSE),0)</f>
        <v>0</v>
      </c>
      <c r="AC17" s="9">
        <f>IFERROR(VLOOKUP(Vaktplan!$A$65,Vaktplan!$CE$4:$FCE$35,89-$AL70,FALSE),0)</f>
        <v>0</v>
      </c>
      <c r="AD17" s="9">
        <f>IF(AND(AA17=0,AB17=0),0,IF(AA17&lt;AB17,((AB17-AA17)*24)-AC17,(((1-AA17)+AB17)*24)-AC17))</f>
        <v>0</v>
      </c>
      <c r="AE17" s="9">
        <f t="shared" si="11"/>
        <v>24</v>
      </c>
      <c r="AF17" s="77">
        <f>IFERROR(VLOOKUP(Vaktplan!$A$65,Vaktplan!$CF$4:$CL$35,86-AM70,FALSE),0)</f>
        <v>0</v>
      </c>
      <c r="AG17" s="77">
        <f>IFERROR(VLOOKUP(Vaktplan!$A$65,Vaktplan!$CF$4:$CL$35,86-AL70,FALSE),0)</f>
        <v>0</v>
      </c>
      <c r="AH17" s="9">
        <f>IFERROR(VLOOKUP(Vaktplan!$A$65,Vaktplan!$CF$4:$CL$35,89-$AM70,FALSE),0)</f>
        <v>0</v>
      </c>
      <c r="AI17" s="9">
        <f>IF(AND(AF17=0,AG17=0),0,IF(AF17&lt;AG17,((AG17-AF17)*24)-AH17,(((1-AF17)+AG17)*24)-AH17))</f>
        <v>0</v>
      </c>
      <c r="AJ17" s="9">
        <f t="shared" si="13"/>
        <v>24</v>
      </c>
      <c r="AK17" s="9">
        <f t="shared" si="1"/>
        <v>0</v>
      </c>
      <c r="AL17" s="92"/>
      <c r="AM17" s="10"/>
    </row>
    <row r="19" spans="1:43" ht="13" x14ac:dyDescent="0.3">
      <c r="A19" s="4" t="s">
        <v>76</v>
      </c>
    </row>
    <row r="20" spans="1:43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</row>
    <row r="21" spans="1:43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</row>
    <row r="22" spans="1:43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</row>
    <row r="23" spans="1:43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</row>
    <row r="24" spans="1:43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</row>
    <row r="26" spans="1:43" ht="13" x14ac:dyDescent="0.3">
      <c r="A26" s="4" t="s">
        <v>77</v>
      </c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</row>
    <row r="27" spans="1:43" ht="13" x14ac:dyDescent="0.3">
      <c r="A27" s="3" t="s">
        <v>78</v>
      </c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80" t="s">
        <v>79</v>
      </c>
      <c r="AM27" s="78"/>
      <c r="AN27" s="78"/>
      <c r="AO27" s="78"/>
    </row>
    <row r="28" spans="1:43" ht="13" x14ac:dyDescent="0.3">
      <c r="A28" s="98" t="s">
        <v>36</v>
      </c>
      <c r="B28" s="98"/>
      <c r="C28" s="98"/>
      <c r="D28" s="88"/>
      <c r="E28" s="8">
        <f>E2</f>
        <v>0</v>
      </c>
      <c r="F28" s="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>
        <v>1</v>
      </c>
      <c r="AM28" s="78"/>
      <c r="AN28" s="78"/>
      <c r="AO28" s="78"/>
    </row>
    <row r="29" spans="1:43" ht="13" x14ac:dyDescent="0.3">
      <c r="A29" s="98" t="s">
        <v>80</v>
      </c>
      <c r="B29" s="98"/>
      <c r="C29" s="98"/>
      <c r="D29" s="88"/>
      <c r="E29" s="5">
        <f>E3</f>
        <v>0</v>
      </c>
      <c r="F29" s="5"/>
      <c r="T29" s="10"/>
      <c r="U29" s="10"/>
      <c r="V29" s="10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80" t="s">
        <v>81</v>
      </c>
      <c r="AH29" s="80"/>
      <c r="AI29" s="78"/>
      <c r="AJ29" s="78"/>
      <c r="AK29" s="78"/>
      <c r="AL29" s="78">
        <v>2</v>
      </c>
      <c r="AM29" s="78"/>
      <c r="AN29" s="78"/>
      <c r="AO29" s="78"/>
      <c r="AP29" s="10"/>
      <c r="AQ29" s="10"/>
    </row>
    <row r="30" spans="1:43" ht="13" x14ac:dyDescent="0.3">
      <c r="A30" s="98" t="s">
        <v>82</v>
      </c>
      <c r="B30" s="98"/>
      <c r="C30" s="98"/>
      <c r="D30" s="88"/>
      <c r="T30" s="10"/>
      <c r="U30" s="10"/>
      <c r="V30" s="10"/>
      <c r="W30" s="78"/>
      <c r="X30" s="78"/>
      <c r="Y30" s="78"/>
      <c r="Z30" s="78"/>
      <c r="AA30" s="78"/>
      <c r="AB30" s="78"/>
      <c r="AC30" s="78"/>
      <c r="AD30" s="78"/>
      <c r="AE30" s="78"/>
      <c r="AF30" s="78"/>
      <c r="AG30" s="78"/>
      <c r="AH30" s="78"/>
      <c r="AI30" s="78"/>
      <c r="AJ30" s="78"/>
      <c r="AK30" s="78"/>
      <c r="AL30" s="78">
        <v>3</v>
      </c>
      <c r="AM30" s="78"/>
      <c r="AN30" s="78"/>
      <c r="AO30" s="78"/>
      <c r="AP30" s="10"/>
      <c r="AQ30" s="10"/>
    </row>
    <row r="31" spans="1:43" ht="13" x14ac:dyDescent="0.3">
      <c r="A31" s="4" t="s">
        <v>83</v>
      </c>
      <c r="B31" s="4" t="s">
        <v>84</v>
      </c>
      <c r="C31" s="4" t="s">
        <v>85</v>
      </c>
      <c r="D31" s="98" t="s">
        <v>86</v>
      </c>
      <c r="E31" s="98"/>
      <c r="F31" s="4" t="s">
        <v>87</v>
      </c>
      <c r="G31" s="4" t="s">
        <v>88</v>
      </c>
      <c r="H31" s="98" t="s">
        <v>27</v>
      </c>
      <c r="I31" s="98"/>
      <c r="J31" s="4" t="s">
        <v>28</v>
      </c>
      <c r="K31" s="4" t="s">
        <v>29</v>
      </c>
      <c r="L31" s="4" t="s">
        <v>30</v>
      </c>
      <c r="M31" s="4" t="s">
        <v>31</v>
      </c>
      <c r="N31" s="98" t="s">
        <v>32</v>
      </c>
      <c r="O31" s="98"/>
      <c r="T31" s="10"/>
      <c r="U31" s="10"/>
      <c r="V31" s="10"/>
      <c r="W31" s="78"/>
      <c r="X31" s="78"/>
      <c r="Y31" s="78"/>
      <c r="Z31" s="78"/>
      <c r="AA31" s="78"/>
      <c r="AB31" s="78"/>
      <c r="AC31" s="78"/>
      <c r="AD31" s="78"/>
      <c r="AE31" s="78"/>
      <c r="AF31" s="78"/>
      <c r="AG31" s="80" t="s">
        <v>9</v>
      </c>
      <c r="AH31" s="80"/>
      <c r="AI31" s="78"/>
      <c r="AJ31" s="78"/>
      <c r="AK31" s="78"/>
      <c r="AL31" s="78">
        <v>4</v>
      </c>
      <c r="AM31" s="78"/>
      <c r="AN31" s="78"/>
      <c r="AO31" s="78"/>
      <c r="AP31" s="10"/>
      <c r="AQ31" s="10"/>
    </row>
    <row r="32" spans="1:43" ht="13" x14ac:dyDescent="0.3">
      <c r="A32" s="3">
        <f>AK6</f>
        <v>0</v>
      </c>
      <c r="B32" s="3">
        <f>AK7</f>
        <v>0</v>
      </c>
      <c r="C32" s="3">
        <f>AK8</f>
        <v>0</v>
      </c>
      <c r="D32" s="101">
        <f>AK9</f>
        <v>0</v>
      </c>
      <c r="E32" s="101"/>
      <c r="F32" s="3">
        <f>AK10</f>
        <v>0</v>
      </c>
      <c r="G32" s="3">
        <f>AK11</f>
        <v>0</v>
      </c>
      <c r="H32" s="101">
        <f>AK12</f>
        <v>0</v>
      </c>
      <c r="I32" s="101"/>
      <c r="J32" s="3">
        <f>AK13</f>
        <v>0</v>
      </c>
      <c r="K32" s="3">
        <f>AK14</f>
        <v>0</v>
      </c>
      <c r="L32" s="3">
        <f>AK15</f>
        <v>0</v>
      </c>
      <c r="M32" s="3">
        <f>AK16</f>
        <v>0</v>
      </c>
      <c r="N32" s="101">
        <f>AK17</f>
        <v>0</v>
      </c>
      <c r="O32" s="101"/>
      <c r="T32" s="11" t="s">
        <v>70</v>
      </c>
      <c r="U32" s="10" t="s">
        <v>89</v>
      </c>
      <c r="V32" s="10" t="s">
        <v>90</v>
      </c>
      <c r="W32" s="78" t="s">
        <v>91</v>
      </c>
      <c r="X32" s="78" t="s">
        <v>92</v>
      </c>
      <c r="Y32" s="78" t="s">
        <v>93</v>
      </c>
      <c r="Z32" s="78" t="s">
        <v>94</v>
      </c>
      <c r="AA32" s="78"/>
      <c r="AB32" s="78"/>
      <c r="AC32" s="78"/>
      <c r="AD32" s="78"/>
      <c r="AE32" s="78"/>
      <c r="AF32" s="78"/>
      <c r="AG32" s="78" t="s">
        <v>10</v>
      </c>
      <c r="AH32" s="78"/>
      <c r="AI32" s="79">
        <v>42177</v>
      </c>
      <c r="AJ32" s="79"/>
      <c r="AK32" s="78"/>
      <c r="AL32" s="78">
        <v>5</v>
      </c>
      <c r="AM32" s="78"/>
      <c r="AN32" s="78"/>
      <c r="AO32" s="78"/>
      <c r="AP32" s="10"/>
      <c r="AQ32" s="10"/>
    </row>
    <row r="33" spans="1:43" ht="13" x14ac:dyDescent="0.3">
      <c r="A33" s="98" t="s">
        <v>95</v>
      </c>
      <c r="B33" s="98"/>
      <c r="C33" s="98"/>
      <c r="D33" s="88"/>
      <c r="G33" s="101"/>
      <c r="H33" s="101"/>
      <c r="I33" s="90"/>
      <c r="T33" s="10">
        <v>1</v>
      </c>
      <c r="U33" s="10">
        <f>IF(AND(B6&gt;0,G6&gt;0),0,IF(AND(G6&gt;0),0,F6+K6))</f>
        <v>48</v>
      </c>
      <c r="V33" s="10">
        <f>IF(AND(G6&gt;0,L6&gt;0),0,IF(AND(L6&gt;0),0,K6+P6))</f>
        <v>48</v>
      </c>
      <c r="W33" s="78">
        <f>IF(AND(L6&gt;0,Q6&gt;0),0,IF(AND(Q6&gt;0),0,P6+U6))</f>
        <v>48</v>
      </c>
      <c r="X33" s="78">
        <f>IF(AND(Q6&gt;0,V6&gt;0),0,IF(AND(V6&gt;0),0,U6+Z6))</f>
        <v>48</v>
      </c>
      <c r="Y33" s="78">
        <f>IF(AND(V6&gt;0,AA6&gt;0),0,IF(AND(AA6&gt;0),0,Z6+AE6))</f>
        <v>48</v>
      </c>
      <c r="Z33" s="78">
        <f>IF(AND(AA6&gt;0,AF6&gt;0),0,IF(AND(AF6&gt;0),0,AE6+AJ6))</f>
        <v>48</v>
      </c>
      <c r="AA33" s="78"/>
      <c r="AB33" s="78"/>
      <c r="AC33" s="78"/>
      <c r="AD33" s="78"/>
      <c r="AE33" s="78"/>
      <c r="AF33" s="78"/>
      <c r="AG33" s="78" t="s">
        <v>11</v>
      </c>
      <c r="AH33" s="78"/>
      <c r="AI33" s="79">
        <v>42178</v>
      </c>
      <c r="AJ33" s="79"/>
      <c r="AK33" s="78"/>
      <c r="AL33" s="78">
        <v>6</v>
      </c>
      <c r="AM33" s="78"/>
      <c r="AN33" s="78"/>
      <c r="AO33" s="78"/>
      <c r="AP33" s="10"/>
      <c r="AQ33" s="10"/>
    </row>
    <row r="34" spans="1:43" x14ac:dyDescent="0.25">
      <c r="A34" s="101" t="s">
        <v>96</v>
      </c>
      <c r="B34" s="101"/>
      <c r="C34" s="3">
        <f>(AK6+AK7+AK8+AK9+AK10+AK11+AK12+AK13+AK14+AK15+AK16+AK17)/M1</f>
        <v>0</v>
      </c>
      <c r="T34" s="10">
        <v>2</v>
      </c>
      <c r="U34" s="10">
        <f t="shared" ref="U34:U40" si="17">IF(AND(B7&gt;0,G7&gt;0),0,IF(AND(G7&gt;0),0,F7+K7))</f>
        <v>48</v>
      </c>
      <c r="V34" s="10">
        <f t="shared" ref="V34:V40" si="18">IF(AND(G7&gt;0,L7&gt;0),0,IF(AND(L7&gt;0),0,K7+P7))</f>
        <v>48</v>
      </c>
      <c r="W34" s="78">
        <f t="shared" ref="W34:W44" si="19">IF(AND(L7&gt;0,Q7&gt;0),0,IF(AND(Q7&gt;0),0,P7+U7))</f>
        <v>48</v>
      </c>
      <c r="X34" s="78">
        <f t="shared" ref="X34:X44" si="20">IF(AND(Q7&gt;0,V7&gt;0),0,IF(AND(V7&gt;0),0,U7+Z7))</f>
        <v>48</v>
      </c>
      <c r="Y34" s="78">
        <f t="shared" ref="Y34:Y44" si="21">IF(AND(V7&gt;0,AA7&gt;0),0,IF(AND(AA7&gt;0),0,Z7+AE7))</f>
        <v>48</v>
      </c>
      <c r="Z34" s="78">
        <f t="shared" ref="Z34:Z44" si="22">IF(AND(AA7&gt;0,AF7&gt;0),0,IF(AND(AF7&gt;0),0,AE7+AJ7))</f>
        <v>48</v>
      </c>
      <c r="AA34" s="78"/>
      <c r="AB34" s="78"/>
      <c r="AC34" s="78"/>
      <c r="AD34" s="78"/>
      <c r="AE34" s="78"/>
      <c r="AF34" s="78"/>
      <c r="AG34" s="78" t="s">
        <v>12</v>
      </c>
      <c r="AH34" s="78"/>
      <c r="AI34" s="79">
        <v>42179</v>
      </c>
      <c r="AJ34" s="79"/>
      <c r="AK34" s="78"/>
      <c r="AL34" s="78">
        <v>7</v>
      </c>
      <c r="AM34" s="78"/>
      <c r="AN34" s="78"/>
      <c r="AO34" s="78"/>
      <c r="AP34" s="10"/>
      <c r="AQ34" s="10"/>
    </row>
    <row r="35" spans="1:43" x14ac:dyDescent="0.25">
      <c r="T35" s="10">
        <v>3</v>
      </c>
      <c r="U35" s="10">
        <f t="shared" si="17"/>
        <v>48</v>
      </c>
      <c r="V35" s="10">
        <f t="shared" si="18"/>
        <v>48</v>
      </c>
      <c r="W35" s="78">
        <f t="shared" si="19"/>
        <v>48</v>
      </c>
      <c r="X35" s="78">
        <f t="shared" si="20"/>
        <v>48</v>
      </c>
      <c r="Y35" s="78">
        <f t="shared" si="21"/>
        <v>48</v>
      </c>
      <c r="Z35" s="78">
        <f t="shared" si="22"/>
        <v>48</v>
      </c>
      <c r="AA35" s="78"/>
      <c r="AB35" s="78"/>
      <c r="AC35" s="78"/>
      <c r="AD35" s="78"/>
      <c r="AE35" s="78"/>
      <c r="AF35" s="78"/>
      <c r="AG35" s="78" t="s">
        <v>13</v>
      </c>
      <c r="AH35" s="78"/>
      <c r="AI35" s="79">
        <v>42180</v>
      </c>
      <c r="AJ35" s="79"/>
      <c r="AK35" s="78"/>
      <c r="AL35" s="78">
        <v>8</v>
      </c>
      <c r="AM35" s="78"/>
      <c r="AN35" s="78"/>
      <c r="AO35" s="78"/>
      <c r="AP35" s="78"/>
      <c r="AQ35" s="10"/>
    </row>
    <row r="36" spans="1:43" ht="13" x14ac:dyDescent="0.3">
      <c r="A36" s="98" t="s">
        <v>97</v>
      </c>
      <c r="B36" s="98"/>
      <c r="C36" s="98"/>
      <c r="D36" s="98"/>
      <c r="E36" s="98"/>
      <c r="F36" s="88"/>
      <c r="T36" s="10">
        <v>4</v>
      </c>
      <c r="U36" s="10">
        <f t="shared" si="17"/>
        <v>48</v>
      </c>
      <c r="V36" s="10">
        <f t="shared" si="18"/>
        <v>48</v>
      </c>
      <c r="W36" s="78">
        <f t="shared" si="19"/>
        <v>48</v>
      </c>
      <c r="X36" s="78">
        <f t="shared" si="20"/>
        <v>48</v>
      </c>
      <c r="Y36" s="78">
        <f t="shared" si="21"/>
        <v>48</v>
      </c>
      <c r="Z36" s="78">
        <f t="shared" si="22"/>
        <v>48</v>
      </c>
      <c r="AA36" s="78"/>
      <c r="AB36" s="78"/>
      <c r="AC36" s="78"/>
      <c r="AD36" s="78"/>
      <c r="AE36" s="78"/>
      <c r="AF36" s="78"/>
      <c r="AG36" s="78" t="s">
        <v>14</v>
      </c>
      <c r="AH36" s="78"/>
      <c r="AI36" s="79">
        <v>42181</v>
      </c>
      <c r="AJ36" s="79"/>
      <c r="AK36" s="78"/>
      <c r="AL36" s="3">
        <v>9</v>
      </c>
      <c r="AM36" s="78"/>
      <c r="AN36" s="78"/>
      <c r="AO36" s="78"/>
      <c r="AP36" s="78"/>
      <c r="AQ36" s="10"/>
    </row>
    <row r="37" spans="1:43" x14ac:dyDescent="0.25">
      <c r="A37" s="99" t="e">
        <f>C34/E3</f>
        <v>#DIV/0!</v>
      </c>
      <c r="B37" s="99"/>
      <c r="C37" s="99"/>
      <c r="T37" s="10">
        <v>5</v>
      </c>
      <c r="U37" s="10">
        <f t="shared" si="17"/>
        <v>48</v>
      </c>
      <c r="V37" s="10">
        <f t="shared" si="18"/>
        <v>48</v>
      </c>
      <c r="W37" s="78">
        <f t="shared" si="19"/>
        <v>48</v>
      </c>
      <c r="X37" s="78">
        <f t="shared" si="20"/>
        <v>48</v>
      </c>
      <c r="Y37" s="78">
        <f t="shared" si="21"/>
        <v>48</v>
      </c>
      <c r="Z37" s="78">
        <f t="shared" si="22"/>
        <v>48</v>
      </c>
      <c r="AA37" s="78"/>
      <c r="AB37" s="78"/>
      <c r="AC37" s="78"/>
      <c r="AD37" s="78"/>
      <c r="AE37" s="78"/>
      <c r="AF37" s="78"/>
      <c r="AG37" s="78" t="s">
        <v>15</v>
      </c>
      <c r="AH37" s="78"/>
      <c r="AI37" s="79">
        <v>42182</v>
      </c>
      <c r="AJ37" s="79"/>
      <c r="AK37" s="78"/>
      <c r="AL37" s="3">
        <v>10</v>
      </c>
      <c r="AM37" s="78"/>
      <c r="AN37" s="78"/>
      <c r="AO37" s="78"/>
      <c r="AP37" s="78"/>
      <c r="AQ37" s="10"/>
    </row>
    <row r="38" spans="1:43" x14ac:dyDescent="0.25">
      <c r="T38" s="10">
        <v>6</v>
      </c>
      <c r="U38" s="10">
        <f t="shared" si="17"/>
        <v>48</v>
      </c>
      <c r="V38" s="10">
        <f t="shared" si="18"/>
        <v>48</v>
      </c>
      <c r="W38" s="78">
        <f t="shared" si="19"/>
        <v>48</v>
      </c>
      <c r="X38" s="78">
        <f t="shared" si="20"/>
        <v>48</v>
      </c>
      <c r="Y38" s="78">
        <f t="shared" si="21"/>
        <v>48</v>
      </c>
      <c r="Z38" s="78">
        <f t="shared" si="22"/>
        <v>48</v>
      </c>
      <c r="AA38" s="78"/>
      <c r="AB38" s="78"/>
      <c r="AC38" s="78"/>
      <c r="AD38" s="78"/>
      <c r="AE38" s="78"/>
      <c r="AF38" s="78"/>
      <c r="AG38" s="78" t="s">
        <v>16</v>
      </c>
      <c r="AH38" s="78"/>
      <c r="AI38" s="79">
        <v>42183</v>
      </c>
      <c r="AJ38" s="79"/>
      <c r="AK38" s="78"/>
      <c r="AL38" s="3">
        <v>11</v>
      </c>
      <c r="AM38" s="78"/>
      <c r="AN38" s="78"/>
      <c r="AO38" s="78"/>
      <c r="AP38" s="78"/>
      <c r="AQ38" s="10"/>
    </row>
    <row r="39" spans="1:43" x14ac:dyDescent="0.25">
      <c r="T39" s="10">
        <v>7</v>
      </c>
      <c r="U39" s="10">
        <f t="shared" si="17"/>
        <v>48</v>
      </c>
      <c r="V39" s="10">
        <f t="shared" si="18"/>
        <v>48</v>
      </c>
      <c r="W39" s="78">
        <f t="shared" si="19"/>
        <v>48</v>
      </c>
      <c r="X39" s="78">
        <f t="shared" si="20"/>
        <v>48</v>
      </c>
      <c r="Y39" s="78">
        <f t="shared" si="21"/>
        <v>48</v>
      </c>
      <c r="Z39" s="78">
        <f t="shared" si="22"/>
        <v>48</v>
      </c>
      <c r="AA39" s="78"/>
      <c r="AB39" s="78"/>
      <c r="AC39" s="78"/>
      <c r="AD39" s="78"/>
      <c r="AE39" s="78"/>
      <c r="AF39" s="78"/>
      <c r="AG39" s="100">
        <f>IF(E1=AG32,AI32,IF(E1=AG33,AI33,IF(E1=AG34,AI34,IF(E1=AG35,AI35,IF(E1=AG36,AI36,IF(E1=AG37,AI37,IF(E1=AG38,AI38,AI32)))))))</f>
        <v>42177</v>
      </c>
      <c r="AH39" s="100"/>
      <c r="AI39" s="100"/>
      <c r="AJ39" s="100"/>
      <c r="AK39" s="100"/>
      <c r="AL39" s="3">
        <v>12</v>
      </c>
      <c r="AM39" s="78"/>
      <c r="AN39" s="78"/>
      <c r="AO39" s="78"/>
      <c r="AP39" s="78"/>
      <c r="AQ39" s="10"/>
    </row>
    <row r="40" spans="1:43" ht="13" x14ac:dyDescent="0.3">
      <c r="A40" s="4" t="s">
        <v>98</v>
      </c>
      <c r="T40" s="10">
        <v>8</v>
      </c>
      <c r="U40" s="10">
        <f t="shared" si="17"/>
        <v>48</v>
      </c>
      <c r="V40" s="10">
        <f t="shared" si="18"/>
        <v>48</v>
      </c>
      <c r="W40" s="78">
        <f t="shared" si="19"/>
        <v>48</v>
      </c>
      <c r="X40" s="78">
        <f t="shared" si="20"/>
        <v>48</v>
      </c>
      <c r="Y40" s="78">
        <f t="shared" si="21"/>
        <v>48</v>
      </c>
      <c r="Z40" s="78">
        <f t="shared" si="22"/>
        <v>48</v>
      </c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8"/>
      <c r="AO40" s="78"/>
      <c r="AP40" s="78"/>
      <c r="AQ40" s="10"/>
    </row>
    <row r="41" spans="1:43" x14ac:dyDescent="0.25">
      <c r="A41" s="3" t="s">
        <v>99</v>
      </c>
      <c r="T41" s="10"/>
      <c r="U41" s="10"/>
      <c r="V41" s="10"/>
      <c r="W41" s="78">
        <f t="shared" si="19"/>
        <v>48</v>
      </c>
      <c r="X41" s="78">
        <f t="shared" si="20"/>
        <v>48</v>
      </c>
      <c r="Y41" s="78">
        <f t="shared" si="21"/>
        <v>48</v>
      </c>
      <c r="Z41" s="78">
        <f t="shared" si="22"/>
        <v>48</v>
      </c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10"/>
    </row>
    <row r="42" spans="1:43" ht="13" x14ac:dyDescent="0.3">
      <c r="A42" s="3" t="s">
        <v>100</v>
      </c>
      <c r="O42" s="81">
        <v>0.29166666666666669</v>
      </c>
      <c r="P42" s="81">
        <v>0.33333333333333331</v>
      </c>
      <c r="Q42" s="3">
        <f>(P42-O42)*24</f>
        <v>0.99999999999999911</v>
      </c>
      <c r="T42" s="10"/>
      <c r="U42" s="10"/>
      <c r="V42" s="10"/>
      <c r="W42" s="78">
        <f t="shared" si="19"/>
        <v>48</v>
      </c>
      <c r="X42" s="78">
        <f t="shared" si="20"/>
        <v>48</v>
      </c>
      <c r="Y42" s="78">
        <f t="shared" si="21"/>
        <v>48</v>
      </c>
      <c r="Z42" s="78">
        <f t="shared" si="22"/>
        <v>48</v>
      </c>
      <c r="AA42" s="78"/>
      <c r="AB42" s="78"/>
      <c r="AC42" s="78"/>
      <c r="AD42" s="78"/>
      <c r="AE42" s="78"/>
      <c r="AF42" s="78"/>
      <c r="AG42" s="80" t="s">
        <v>101</v>
      </c>
      <c r="AH42" s="80"/>
      <c r="AI42" s="78"/>
      <c r="AJ42" s="78"/>
      <c r="AK42" s="78"/>
      <c r="AL42" s="80" t="s">
        <v>102</v>
      </c>
      <c r="AM42" s="78"/>
      <c r="AN42" s="78"/>
      <c r="AO42" s="78"/>
      <c r="AP42" s="78"/>
      <c r="AQ42" s="10"/>
    </row>
    <row r="43" spans="1:43" x14ac:dyDescent="0.25">
      <c r="T43" s="10"/>
      <c r="U43" s="10"/>
      <c r="V43" s="10"/>
      <c r="W43" s="78">
        <f t="shared" si="19"/>
        <v>48</v>
      </c>
      <c r="X43" s="78">
        <f t="shared" si="20"/>
        <v>48</v>
      </c>
      <c r="Y43" s="78">
        <f t="shared" si="21"/>
        <v>48</v>
      </c>
      <c r="Z43" s="78">
        <f t="shared" si="22"/>
        <v>48</v>
      </c>
      <c r="AA43" s="78"/>
      <c r="AB43" s="78"/>
      <c r="AC43" s="78"/>
      <c r="AD43" s="78"/>
      <c r="AE43" s="78"/>
      <c r="AF43" s="78"/>
      <c r="AG43" s="78">
        <v>33.6</v>
      </c>
      <c r="AH43" s="78"/>
      <c r="AI43" s="78"/>
      <c r="AJ43" s="78"/>
      <c r="AK43" s="78"/>
      <c r="AL43" s="78" t="s">
        <v>103</v>
      </c>
      <c r="AM43" s="78"/>
      <c r="AN43" s="78"/>
      <c r="AO43" s="78"/>
      <c r="AP43" s="78"/>
      <c r="AQ43" s="10"/>
    </row>
    <row r="44" spans="1:43" x14ac:dyDescent="0.25">
      <c r="A44" s="3" t="s">
        <v>104</v>
      </c>
      <c r="T44" s="10"/>
      <c r="U44" s="10"/>
      <c r="V44" s="10"/>
      <c r="W44" s="78">
        <f t="shared" si="19"/>
        <v>48</v>
      </c>
      <c r="X44" s="78">
        <f t="shared" si="20"/>
        <v>48</v>
      </c>
      <c r="Y44" s="78">
        <f t="shared" si="21"/>
        <v>48</v>
      </c>
      <c r="Z44" s="78">
        <f t="shared" si="22"/>
        <v>48</v>
      </c>
      <c r="AA44" s="78"/>
      <c r="AB44" s="78"/>
      <c r="AC44" s="78"/>
      <c r="AD44" s="78"/>
      <c r="AE44" s="78"/>
      <c r="AF44" s="78"/>
      <c r="AG44" s="78">
        <v>35.5</v>
      </c>
      <c r="AH44" s="78"/>
      <c r="AI44" s="78"/>
      <c r="AJ44" s="78"/>
      <c r="AK44" s="78"/>
      <c r="AL44" s="78" t="s">
        <v>105</v>
      </c>
      <c r="AM44" s="78"/>
      <c r="AN44" s="78"/>
      <c r="AO44" s="78"/>
      <c r="AP44" s="78"/>
      <c r="AQ44" s="10"/>
    </row>
    <row r="45" spans="1:43" x14ac:dyDescent="0.25">
      <c r="A45" s="1">
        <v>11</v>
      </c>
      <c r="B45" s="5">
        <f>COUNTIF($F$6:$F$13,"&lt;" &amp; A45)+COUNTIF($K$6:$K$13,"&lt;" &amp; A45)+COUNTIF($P$6:$P$13,"&lt;" &amp; A45)+COUNTIF($U$6:$U$13,"&lt;" &amp; A45)+COUNTIF($Z$6:$Z$13,"&lt;" &amp; A45)+COUNTIF($AE$6:$AE$13,"&lt;" &amp; A45)+COUNTIF($AJ$6:$AJ$13,"&lt;" &amp; A45)</f>
        <v>0</v>
      </c>
      <c r="T45" s="10"/>
      <c r="U45" s="10"/>
      <c r="V45" s="10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>
        <v>37.5</v>
      </c>
      <c r="AH45" s="78"/>
      <c r="AI45" s="78"/>
      <c r="AJ45" s="78"/>
      <c r="AK45" s="78"/>
      <c r="AL45" s="78"/>
      <c r="AM45" s="78"/>
      <c r="AN45" s="78"/>
      <c r="AO45" s="78"/>
      <c r="AP45" s="78"/>
      <c r="AQ45" s="10"/>
    </row>
    <row r="46" spans="1:43" x14ac:dyDescent="0.25">
      <c r="T46" s="10"/>
      <c r="U46" s="10"/>
      <c r="V46" s="10"/>
      <c r="W46" s="78"/>
      <c r="X46" s="78"/>
      <c r="Y46" s="78"/>
      <c r="Z46" s="78"/>
      <c r="AA46" s="78"/>
      <c r="AB46" s="78"/>
      <c r="AC46" s="78"/>
      <c r="AD46" s="78"/>
      <c r="AE46" s="78"/>
      <c r="AF46" s="78"/>
      <c r="AG46" s="78"/>
      <c r="AH46" s="78"/>
      <c r="AI46" s="78"/>
      <c r="AJ46" s="78"/>
      <c r="AK46" s="78"/>
      <c r="AL46" s="78"/>
      <c r="AM46" s="78"/>
      <c r="AN46" s="78"/>
      <c r="AO46" s="78"/>
      <c r="AP46" s="78"/>
      <c r="AQ46" s="10"/>
    </row>
    <row r="47" spans="1:43" x14ac:dyDescent="0.25">
      <c r="T47" s="10"/>
      <c r="U47" s="10"/>
      <c r="V47" s="10"/>
      <c r="W47" s="78"/>
      <c r="X47" s="78"/>
      <c r="Y47" s="78"/>
      <c r="Z47" s="78"/>
      <c r="AA47" s="78"/>
      <c r="AB47" s="78"/>
      <c r="AC47" s="78"/>
      <c r="AD47" s="78"/>
      <c r="AE47" s="78"/>
      <c r="AF47" s="78"/>
      <c r="AG47" s="78"/>
      <c r="AH47" s="78"/>
      <c r="AI47" s="78"/>
      <c r="AJ47" s="78"/>
      <c r="AK47" s="78"/>
      <c r="AL47" s="78"/>
      <c r="AM47" s="78"/>
      <c r="AN47" s="78"/>
      <c r="AO47" s="78"/>
      <c r="AP47" s="78"/>
      <c r="AQ47" s="10"/>
    </row>
    <row r="48" spans="1:43" x14ac:dyDescent="0.25">
      <c r="T48" s="10"/>
      <c r="U48" s="10"/>
      <c r="V48" s="10"/>
      <c r="W48" s="78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78"/>
      <c r="AL48" s="78"/>
      <c r="AM48" s="78"/>
      <c r="AN48" s="78"/>
      <c r="AO48" s="78"/>
      <c r="AP48" s="78"/>
      <c r="AQ48" s="10"/>
    </row>
    <row r="49" spans="1:43" ht="13" x14ac:dyDescent="0.3">
      <c r="A49" s="4" t="s">
        <v>106</v>
      </c>
      <c r="T49" s="10"/>
      <c r="U49" s="10"/>
      <c r="V49" s="10"/>
      <c r="W49" s="78"/>
      <c r="X49" s="78"/>
      <c r="Y49" s="78"/>
      <c r="Z49" s="78"/>
      <c r="AA49" s="78"/>
      <c r="AB49" s="80" t="s">
        <v>107</v>
      </c>
      <c r="AC49" s="80"/>
      <c r="AD49" s="78"/>
      <c r="AE49" s="78"/>
      <c r="AF49" s="78"/>
      <c r="AG49" s="78"/>
      <c r="AH49" s="78"/>
      <c r="AI49" s="78"/>
      <c r="AJ49" s="78"/>
      <c r="AK49" s="78"/>
      <c r="AL49" s="78"/>
      <c r="AM49" s="78"/>
      <c r="AN49" s="78"/>
      <c r="AO49" s="78"/>
      <c r="AP49" s="78"/>
      <c r="AQ49" s="10"/>
    </row>
    <row r="50" spans="1:43" x14ac:dyDescent="0.25">
      <c r="A50" s="3" t="s">
        <v>108</v>
      </c>
      <c r="T50" s="10"/>
      <c r="U50" s="10"/>
      <c r="V50" s="10"/>
      <c r="W50" s="78"/>
      <c r="X50" s="78"/>
      <c r="Y50" s="78"/>
      <c r="Z50" s="78"/>
      <c r="AA50" s="78"/>
      <c r="AB50" s="78" t="s">
        <v>109</v>
      </c>
      <c r="AC50" s="78"/>
      <c r="AD50" s="78"/>
      <c r="AE50" s="78"/>
      <c r="AF50" s="78"/>
      <c r="AG50" s="78"/>
      <c r="AH50" s="78"/>
      <c r="AI50" s="78"/>
      <c r="AJ50" s="78"/>
      <c r="AK50" s="78"/>
      <c r="AL50" s="78"/>
      <c r="AM50" s="78"/>
      <c r="AN50" s="78"/>
      <c r="AO50" s="78"/>
      <c r="AP50" s="78"/>
      <c r="AQ50" s="10"/>
    </row>
    <row r="51" spans="1:43" ht="13" x14ac:dyDescent="0.3">
      <c r="A51" s="4" t="s">
        <v>110</v>
      </c>
      <c r="T51" s="10"/>
      <c r="U51" s="10"/>
      <c r="V51" s="10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78"/>
      <c r="AJ51" s="78"/>
      <c r="AK51" s="78"/>
      <c r="AL51" s="78"/>
      <c r="AM51" s="78"/>
      <c r="AN51" s="78"/>
      <c r="AO51" s="78"/>
      <c r="AP51" s="78"/>
      <c r="AQ51" s="10"/>
    </row>
    <row r="52" spans="1:43" x14ac:dyDescent="0.25">
      <c r="A52" s="3" t="s">
        <v>111</v>
      </c>
      <c r="T52" s="10"/>
      <c r="U52" s="10"/>
      <c r="V52" s="10"/>
      <c r="W52" s="78"/>
      <c r="X52" s="78"/>
      <c r="Y52" s="78"/>
      <c r="Z52" s="78"/>
      <c r="AA52" s="78"/>
      <c r="AB52" s="78" t="s">
        <v>112</v>
      </c>
      <c r="AC52" s="78"/>
      <c r="AD52" s="78"/>
      <c r="AE52" s="78"/>
      <c r="AF52" s="78"/>
      <c r="AG52" s="78"/>
      <c r="AH52" s="78"/>
      <c r="AI52" s="78"/>
      <c r="AJ52" s="78"/>
      <c r="AK52" s="78"/>
      <c r="AL52" s="78"/>
      <c r="AM52" s="78"/>
      <c r="AN52" s="78"/>
      <c r="AO52" s="78"/>
      <c r="AP52" s="78"/>
      <c r="AQ52" s="10"/>
    </row>
    <row r="53" spans="1:43" x14ac:dyDescent="0.25">
      <c r="A53" s="3" t="s">
        <v>113</v>
      </c>
      <c r="T53" s="10"/>
      <c r="U53" s="10"/>
      <c r="V53" s="10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78"/>
      <c r="AJ53" s="78"/>
      <c r="AK53" s="78"/>
      <c r="AL53" s="78"/>
      <c r="AM53" s="78"/>
      <c r="AN53" s="78"/>
      <c r="AO53" s="78"/>
      <c r="AP53" s="78"/>
      <c r="AQ53" s="10"/>
    </row>
    <row r="54" spans="1:43" x14ac:dyDescent="0.25">
      <c r="A54" s="3" t="s">
        <v>114</v>
      </c>
      <c r="T54" s="10"/>
      <c r="U54" s="10"/>
      <c r="V54" s="10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78"/>
      <c r="AJ54" s="78"/>
      <c r="AK54" s="78"/>
      <c r="AL54" s="78"/>
      <c r="AM54" s="78"/>
      <c r="AN54" s="78"/>
      <c r="AO54" s="78"/>
      <c r="AP54" s="78"/>
      <c r="AQ54" s="10"/>
    </row>
    <row r="55" spans="1:43" x14ac:dyDescent="0.25">
      <c r="T55" s="10"/>
      <c r="U55" s="10"/>
      <c r="V55" s="10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78"/>
      <c r="AJ55" s="78"/>
      <c r="AK55" s="78"/>
      <c r="AL55" s="78"/>
      <c r="AM55" s="78"/>
      <c r="AN55" s="78"/>
      <c r="AO55" s="78"/>
      <c r="AP55" s="78"/>
      <c r="AQ55" s="10"/>
    </row>
    <row r="56" spans="1:43" ht="13" x14ac:dyDescent="0.3">
      <c r="A56" s="4" t="s">
        <v>115</v>
      </c>
      <c r="T56" s="10"/>
      <c r="U56" s="10"/>
      <c r="V56" s="10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78"/>
      <c r="AJ56" s="78"/>
      <c r="AK56" s="78"/>
      <c r="AL56" s="78"/>
      <c r="AM56" s="78"/>
      <c r="AN56" s="78"/>
      <c r="AO56" s="78"/>
      <c r="AP56" s="78"/>
      <c r="AQ56" s="10"/>
    </row>
    <row r="57" spans="1:43" x14ac:dyDescent="0.25">
      <c r="A57" s="3" t="s">
        <v>116</v>
      </c>
      <c r="T57" s="10"/>
      <c r="U57" s="10"/>
      <c r="V57" s="10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78"/>
      <c r="AJ57" s="78"/>
      <c r="AK57" s="78"/>
      <c r="AL57" s="78"/>
      <c r="AM57" s="78"/>
      <c r="AN57" s="78"/>
      <c r="AO57" s="78"/>
      <c r="AP57" s="78"/>
      <c r="AQ57" s="10"/>
    </row>
    <row r="58" spans="1:43" ht="13" x14ac:dyDescent="0.3">
      <c r="A58" s="4" t="s">
        <v>110</v>
      </c>
      <c r="T58" s="10"/>
      <c r="U58" s="10"/>
      <c r="V58" s="10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 t="s">
        <v>117</v>
      </c>
      <c r="AH58" s="78"/>
      <c r="AI58" s="78"/>
      <c r="AJ58" s="78"/>
      <c r="AK58" s="78"/>
      <c r="AL58" s="78"/>
      <c r="AM58" s="78"/>
      <c r="AN58" s="78"/>
      <c r="AO58" s="78"/>
      <c r="AP58" s="78"/>
      <c r="AQ58" s="10"/>
    </row>
    <row r="59" spans="1:43" x14ac:dyDescent="0.25">
      <c r="A59" s="3" t="s">
        <v>111</v>
      </c>
      <c r="T59" s="10"/>
      <c r="U59" s="10"/>
      <c r="V59" s="10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>
        <v>0</v>
      </c>
      <c r="AH59" s="78">
        <v>1</v>
      </c>
      <c r="AI59" s="78">
        <v>2</v>
      </c>
      <c r="AJ59" s="78">
        <v>3</v>
      </c>
      <c r="AK59" s="78">
        <v>4</v>
      </c>
      <c r="AL59" s="78">
        <v>5</v>
      </c>
      <c r="AM59" s="78">
        <v>6</v>
      </c>
      <c r="AN59" s="78"/>
      <c r="AO59" s="78"/>
      <c r="AP59" s="78"/>
      <c r="AQ59" s="10"/>
    </row>
    <row r="60" spans="1:43" x14ac:dyDescent="0.25">
      <c r="A60" s="3" t="s">
        <v>113</v>
      </c>
      <c r="T60" s="10"/>
      <c r="U60" s="10"/>
      <c r="V60" s="10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>
        <v>7</v>
      </c>
      <c r="AH60" s="78">
        <v>8</v>
      </c>
      <c r="AI60" s="78">
        <v>9</v>
      </c>
      <c r="AJ60" s="78">
        <v>10</v>
      </c>
      <c r="AK60" s="78">
        <v>11</v>
      </c>
      <c r="AL60" s="78">
        <v>12</v>
      </c>
      <c r="AM60" s="78">
        <v>13</v>
      </c>
      <c r="AN60" s="78"/>
      <c r="AO60" s="78"/>
      <c r="AP60" s="78"/>
      <c r="AQ60" s="10"/>
    </row>
    <row r="61" spans="1:43" x14ac:dyDescent="0.25">
      <c r="T61" s="10"/>
      <c r="U61" s="10"/>
      <c r="V61" s="10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>
        <v>14</v>
      </c>
      <c r="AH61" s="78">
        <v>15</v>
      </c>
      <c r="AI61" s="78">
        <v>16</v>
      </c>
      <c r="AJ61" s="78">
        <v>17</v>
      </c>
      <c r="AK61" s="78">
        <v>18</v>
      </c>
      <c r="AL61" s="78">
        <v>19</v>
      </c>
      <c r="AM61" s="78">
        <v>20</v>
      </c>
      <c r="AN61" s="78"/>
      <c r="AO61" s="78"/>
      <c r="AP61" s="78"/>
      <c r="AQ61" s="10"/>
    </row>
    <row r="62" spans="1:43" ht="13" x14ac:dyDescent="0.3">
      <c r="A62" s="4" t="s">
        <v>118</v>
      </c>
      <c r="T62" s="10"/>
      <c r="U62" s="10"/>
      <c r="V62" s="10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>
        <v>21</v>
      </c>
      <c r="AH62" s="78">
        <v>22</v>
      </c>
      <c r="AI62" s="78">
        <v>23</v>
      </c>
      <c r="AJ62" s="78">
        <v>24</v>
      </c>
      <c r="AK62" s="78">
        <v>25</v>
      </c>
      <c r="AL62" s="78">
        <v>26</v>
      </c>
      <c r="AM62" s="78">
        <v>27</v>
      </c>
      <c r="AN62" s="78"/>
      <c r="AO62" s="78"/>
      <c r="AP62" s="78"/>
      <c r="AQ62" s="10"/>
    </row>
    <row r="63" spans="1:43" x14ac:dyDescent="0.25">
      <c r="A63" s="3" t="s">
        <v>119</v>
      </c>
      <c r="T63" s="10"/>
      <c r="U63" s="10"/>
      <c r="V63" s="10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>
        <v>28</v>
      </c>
      <c r="AH63" s="78">
        <v>29</v>
      </c>
      <c r="AI63" s="78">
        <v>30</v>
      </c>
      <c r="AJ63" s="78">
        <v>31</v>
      </c>
      <c r="AK63" s="78">
        <v>32</v>
      </c>
      <c r="AL63" s="78">
        <v>33</v>
      </c>
      <c r="AM63" s="78">
        <v>34</v>
      </c>
      <c r="AN63" s="78"/>
      <c r="AO63" s="78"/>
      <c r="AP63" s="78"/>
      <c r="AQ63" s="10"/>
    </row>
    <row r="64" spans="1:43" x14ac:dyDescent="0.25">
      <c r="A64" s="3" t="s">
        <v>120</v>
      </c>
      <c r="T64" s="10"/>
      <c r="U64" s="10"/>
      <c r="V64" s="10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>
        <v>35</v>
      </c>
      <c r="AH64" s="78">
        <v>36</v>
      </c>
      <c r="AI64" s="78">
        <v>37</v>
      </c>
      <c r="AJ64" s="78">
        <v>38</v>
      </c>
      <c r="AK64" s="78">
        <v>39</v>
      </c>
      <c r="AL64" s="78">
        <v>40</v>
      </c>
      <c r="AM64" s="78">
        <v>41</v>
      </c>
      <c r="AN64" s="78"/>
      <c r="AO64" s="78"/>
      <c r="AP64" s="78"/>
      <c r="AQ64" s="10"/>
    </row>
    <row r="65" spans="1:43" x14ac:dyDescent="0.25">
      <c r="T65" s="10"/>
      <c r="U65" s="10"/>
      <c r="V65" s="10"/>
      <c r="W65" s="78"/>
      <c r="X65" s="78"/>
      <c r="Y65" s="78"/>
      <c r="Z65" s="78"/>
      <c r="AA65" s="78"/>
      <c r="AB65" s="78"/>
      <c r="AC65" s="78"/>
      <c r="AD65" s="78"/>
      <c r="AE65" s="78"/>
      <c r="AF65" s="78"/>
      <c r="AG65" s="78">
        <v>42</v>
      </c>
      <c r="AH65" s="78">
        <v>43</v>
      </c>
      <c r="AI65" s="78">
        <v>44</v>
      </c>
      <c r="AJ65" s="78">
        <v>45</v>
      </c>
      <c r="AK65" s="78">
        <v>46</v>
      </c>
      <c r="AL65" s="78">
        <v>47</v>
      </c>
      <c r="AM65" s="78">
        <v>48</v>
      </c>
      <c r="AN65" s="78"/>
      <c r="AO65" s="78"/>
      <c r="AP65" s="78"/>
      <c r="AQ65" s="10"/>
    </row>
    <row r="66" spans="1:43" ht="13" x14ac:dyDescent="0.3">
      <c r="A66" s="3" t="s">
        <v>121</v>
      </c>
      <c r="B66" s="4"/>
      <c r="T66" s="10"/>
      <c r="U66" s="10"/>
      <c r="V66" s="10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>
        <v>49</v>
      </c>
      <c r="AH66" s="78">
        <v>50</v>
      </c>
      <c r="AI66" s="78">
        <v>51</v>
      </c>
      <c r="AJ66" s="78">
        <v>52</v>
      </c>
      <c r="AK66" s="78">
        <v>53</v>
      </c>
      <c r="AL66" s="78">
        <v>54</v>
      </c>
      <c r="AM66" s="78">
        <v>55</v>
      </c>
      <c r="AN66" s="78"/>
      <c r="AO66" s="78"/>
      <c r="AP66" s="78"/>
      <c r="AQ66" s="10"/>
    </row>
    <row r="67" spans="1:43" ht="13" x14ac:dyDescent="0.3">
      <c r="A67" s="1">
        <v>9</v>
      </c>
      <c r="B67" s="5">
        <f>COUNTIF($E$6:$E$13,"&gt;" &amp; A67)+COUNTIF($J$6:$J$13,"&gt;" &amp; A67)+COUNTIF($O$6:$O$13,"&gt;" &amp; A67)+COUNTIF($T$6:$T$13,"&gt;" &amp; A67)+COUNTIF($Y$6:$Y$13,"&gt;" &amp; A67)+COUNTIF($AD$6:$AD$13,"&gt;" &amp; A67)+COUNTIF($AI$6:$AI$13,"&gt;" &amp; A67)</f>
        <v>0</v>
      </c>
      <c r="C67" s="3" t="s">
        <v>122</v>
      </c>
      <c r="E67" s="3" t="s">
        <v>123</v>
      </c>
      <c r="H67" s="1" t="s">
        <v>124</v>
      </c>
      <c r="L67" s="3" t="s">
        <v>125</v>
      </c>
      <c r="T67" s="10"/>
      <c r="U67" s="10"/>
      <c r="V67" s="10"/>
      <c r="W67" s="78"/>
      <c r="X67" s="78"/>
      <c r="Y67" s="78"/>
      <c r="Z67" s="78"/>
      <c r="AA67" s="78"/>
      <c r="AB67" s="78"/>
      <c r="AC67" s="78"/>
      <c r="AD67" s="78"/>
      <c r="AE67" s="78"/>
      <c r="AF67" s="78"/>
      <c r="AG67" s="78">
        <v>56</v>
      </c>
      <c r="AH67" s="78">
        <v>57</v>
      </c>
      <c r="AI67" s="78">
        <v>58</v>
      </c>
      <c r="AJ67" s="78">
        <v>59</v>
      </c>
      <c r="AK67" s="78">
        <v>60</v>
      </c>
      <c r="AL67" s="78">
        <v>61</v>
      </c>
      <c r="AM67" s="78">
        <v>62</v>
      </c>
      <c r="AN67" s="78"/>
      <c r="AO67" s="78"/>
      <c r="AP67" s="78"/>
      <c r="AQ67" s="10"/>
    </row>
    <row r="68" spans="1:43" x14ac:dyDescent="0.25">
      <c r="T68" s="10"/>
      <c r="U68" s="10"/>
      <c r="V68" s="10"/>
      <c r="W68" s="78"/>
      <c r="X68" s="78"/>
      <c r="Y68" s="78"/>
      <c r="Z68" s="78"/>
      <c r="AA68" s="78"/>
      <c r="AB68" s="78"/>
      <c r="AC68" s="78"/>
      <c r="AD68" s="78"/>
      <c r="AE68" s="78"/>
      <c r="AF68" s="78"/>
      <c r="AG68" s="78">
        <v>63</v>
      </c>
      <c r="AH68" s="78">
        <v>64</v>
      </c>
      <c r="AI68" s="78">
        <v>65</v>
      </c>
      <c r="AJ68" s="78">
        <v>66</v>
      </c>
      <c r="AK68" s="78">
        <v>67</v>
      </c>
      <c r="AL68" s="78">
        <v>68</v>
      </c>
      <c r="AM68" s="78">
        <v>69</v>
      </c>
      <c r="AN68" s="78"/>
      <c r="AO68" s="78"/>
      <c r="AP68" s="78"/>
      <c r="AQ68" s="10"/>
    </row>
    <row r="69" spans="1:43" x14ac:dyDescent="0.25">
      <c r="A69" s="3" t="s">
        <v>126</v>
      </c>
      <c r="T69" s="10"/>
      <c r="U69" s="10"/>
      <c r="V69" s="10"/>
      <c r="W69" s="78"/>
      <c r="X69" s="78"/>
      <c r="Y69" s="78"/>
      <c r="Z69" s="78"/>
      <c r="AA69" s="78"/>
      <c r="AB69" s="78"/>
      <c r="AC69" s="78"/>
      <c r="AD69" s="78"/>
      <c r="AE69" s="78"/>
      <c r="AF69" s="78"/>
      <c r="AG69" s="78">
        <v>70</v>
      </c>
      <c r="AH69" s="78">
        <v>71</v>
      </c>
      <c r="AI69" s="78">
        <v>72</v>
      </c>
      <c r="AJ69" s="78">
        <v>73</v>
      </c>
      <c r="AK69" s="78">
        <v>74</v>
      </c>
      <c r="AL69" s="78">
        <v>75</v>
      </c>
      <c r="AM69" s="78">
        <v>76</v>
      </c>
      <c r="AN69" s="78"/>
      <c r="AO69" s="78"/>
      <c r="AP69" s="78"/>
      <c r="AQ69" s="10"/>
    </row>
    <row r="70" spans="1:43" x14ac:dyDescent="0.25">
      <c r="A70" s="1">
        <v>20</v>
      </c>
      <c r="B70" s="5">
        <f>COUNTIF($AK$6:$AK$13,"&gt;" &amp; A70)</f>
        <v>0</v>
      </c>
      <c r="C70" s="3" t="s">
        <v>127</v>
      </c>
      <c r="E70" s="3" t="s">
        <v>128</v>
      </c>
      <c r="H70" s="1" t="s">
        <v>124</v>
      </c>
      <c r="T70" s="10"/>
      <c r="U70" s="10"/>
      <c r="V70" s="10"/>
      <c r="W70" s="78"/>
      <c r="X70" s="78"/>
      <c r="Y70" s="78"/>
      <c r="Z70" s="78"/>
      <c r="AA70" s="78"/>
      <c r="AB70" s="78"/>
      <c r="AC70" s="78"/>
      <c r="AD70" s="78"/>
      <c r="AE70" s="78"/>
      <c r="AF70" s="78"/>
      <c r="AG70" s="78">
        <v>77</v>
      </c>
      <c r="AH70" s="78">
        <v>78</v>
      </c>
      <c r="AI70" s="78">
        <v>79</v>
      </c>
      <c r="AJ70" s="78">
        <v>80</v>
      </c>
      <c r="AK70" s="78">
        <v>81</v>
      </c>
      <c r="AL70" s="78">
        <v>82</v>
      </c>
      <c r="AM70" s="78">
        <v>83</v>
      </c>
      <c r="AN70" s="78"/>
      <c r="AO70" s="78"/>
      <c r="AP70" s="78"/>
      <c r="AQ70" s="10"/>
    </row>
    <row r="71" spans="1:43" x14ac:dyDescent="0.25">
      <c r="W71" s="78"/>
      <c r="X71" s="78"/>
      <c r="Y71" s="78"/>
      <c r="Z71" s="78"/>
      <c r="AA71" s="78"/>
      <c r="AB71" s="78"/>
      <c r="AC71" s="78"/>
      <c r="AD71" s="78"/>
      <c r="AE71" s="78"/>
      <c r="AF71" s="78"/>
      <c r="AG71" s="78">
        <v>84</v>
      </c>
      <c r="AH71" s="78">
        <v>85</v>
      </c>
      <c r="AI71" s="78">
        <v>86</v>
      </c>
      <c r="AJ71" s="78">
        <v>87</v>
      </c>
      <c r="AK71" s="78">
        <v>88</v>
      </c>
      <c r="AL71" s="78">
        <v>89</v>
      </c>
      <c r="AM71" s="78">
        <v>90</v>
      </c>
      <c r="AN71" s="78"/>
      <c r="AO71" s="78"/>
      <c r="AP71" s="78"/>
    </row>
    <row r="72" spans="1:43" x14ac:dyDescent="0.25">
      <c r="W72" s="78"/>
      <c r="X72" s="78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  <c r="AL72" s="78"/>
      <c r="AM72" s="78"/>
      <c r="AN72" s="78"/>
      <c r="AO72" s="78"/>
      <c r="AP72" s="78"/>
    </row>
    <row r="73" spans="1:43" x14ac:dyDescent="0.25">
      <c r="W73" s="78"/>
      <c r="X73" s="78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8"/>
      <c r="AK73" s="78"/>
      <c r="AL73" s="78"/>
      <c r="AM73" s="78"/>
      <c r="AN73" s="78"/>
      <c r="AO73" s="78"/>
      <c r="AP73" s="78"/>
    </row>
    <row r="74" spans="1:43" x14ac:dyDescent="0.25">
      <c r="W74" s="78"/>
      <c r="X74" s="78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78"/>
      <c r="AO74" s="78"/>
      <c r="AP74" s="78"/>
    </row>
    <row r="75" spans="1:43" x14ac:dyDescent="0.25">
      <c r="W75" s="78"/>
      <c r="X75" s="78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  <c r="AK75" s="78"/>
      <c r="AL75" s="78"/>
      <c r="AM75" s="78"/>
      <c r="AN75" s="78"/>
      <c r="AO75" s="78"/>
      <c r="AP75" s="78"/>
    </row>
    <row r="76" spans="1:43" x14ac:dyDescent="0.25">
      <c r="W76" s="78"/>
      <c r="X76" s="78"/>
      <c r="Y76" s="78"/>
      <c r="Z76" s="78"/>
      <c r="AA76" s="78"/>
      <c r="AB76" s="78"/>
      <c r="AC76" s="78"/>
      <c r="AD76" s="78"/>
      <c r="AE76" s="78"/>
      <c r="AF76" s="78"/>
      <c r="AG76" s="78"/>
      <c r="AH76" s="78"/>
      <c r="AI76" s="78"/>
      <c r="AJ76" s="78"/>
      <c r="AK76" s="78"/>
      <c r="AL76" s="78"/>
      <c r="AM76" s="78"/>
      <c r="AN76" s="78"/>
      <c r="AO76" s="78"/>
      <c r="AP76" s="78"/>
    </row>
    <row r="77" spans="1:43" x14ac:dyDescent="0.25">
      <c r="W77" s="78"/>
      <c r="X77" s="78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78"/>
      <c r="AK77" s="78"/>
      <c r="AL77" s="78"/>
      <c r="AM77" s="78"/>
      <c r="AN77" s="78"/>
      <c r="AO77" s="78"/>
      <c r="AP77" s="78"/>
    </row>
    <row r="78" spans="1:43" x14ac:dyDescent="0.25">
      <c r="W78" s="78"/>
      <c r="X78" s="78"/>
      <c r="Y78" s="78"/>
      <c r="Z78" s="78"/>
      <c r="AA78" s="78"/>
      <c r="AB78" s="78"/>
      <c r="AC78" s="78"/>
      <c r="AD78" s="78"/>
      <c r="AE78" s="78"/>
      <c r="AF78" s="78"/>
      <c r="AG78" s="78"/>
      <c r="AH78" s="78"/>
      <c r="AI78" s="78"/>
      <c r="AJ78" s="78"/>
      <c r="AK78" s="78"/>
      <c r="AL78" s="78"/>
      <c r="AM78" s="78"/>
      <c r="AN78" s="78"/>
      <c r="AO78" s="78"/>
      <c r="AP78" s="78"/>
    </row>
    <row r="79" spans="1:43" x14ac:dyDescent="0.25">
      <c r="W79" s="78"/>
      <c r="X79" s="78"/>
      <c r="Y79" s="78"/>
      <c r="Z79" s="78"/>
      <c r="AA79" s="78"/>
      <c r="AB79" s="78"/>
      <c r="AC79" s="78"/>
      <c r="AD79" s="78"/>
      <c r="AE79" s="78"/>
      <c r="AF79" s="78"/>
      <c r="AG79" s="78"/>
      <c r="AH79" s="78"/>
      <c r="AI79" s="78"/>
      <c r="AJ79" s="78"/>
      <c r="AK79" s="78"/>
      <c r="AL79" s="78"/>
      <c r="AM79" s="78"/>
      <c r="AN79" s="78"/>
      <c r="AO79" s="78"/>
      <c r="AP79" s="78"/>
    </row>
    <row r="80" spans="1:43" x14ac:dyDescent="0.25">
      <c r="W80" s="78"/>
      <c r="X80" s="78"/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  <c r="AJ80" s="78"/>
      <c r="AK80" s="78"/>
      <c r="AL80" s="78"/>
      <c r="AM80" s="78"/>
      <c r="AN80" s="78"/>
      <c r="AO80" s="78"/>
      <c r="AP80" s="78"/>
    </row>
    <row r="81" spans="1:42" x14ac:dyDescent="0.25">
      <c r="W81" s="78"/>
      <c r="X81" s="78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  <c r="AJ81" s="78"/>
      <c r="AK81" s="78"/>
      <c r="AL81" s="78"/>
      <c r="AM81" s="78"/>
      <c r="AN81" s="78"/>
      <c r="AO81" s="78"/>
      <c r="AP81" s="78"/>
    </row>
    <row r="82" spans="1:42" x14ac:dyDescent="0.25">
      <c r="W82" s="78"/>
      <c r="X82" s="78"/>
      <c r="Y82" s="78"/>
      <c r="Z82" s="78"/>
      <c r="AA82" s="78"/>
      <c r="AB82" s="78"/>
      <c r="AC82" s="78"/>
      <c r="AD82" s="78"/>
      <c r="AE82" s="78"/>
      <c r="AF82" s="78"/>
      <c r="AG82" s="78"/>
      <c r="AH82" s="78"/>
      <c r="AI82" s="78"/>
      <c r="AJ82" s="78"/>
      <c r="AK82" s="78"/>
      <c r="AL82" s="78"/>
      <c r="AM82" s="78"/>
      <c r="AN82" s="78"/>
      <c r="AO82" s="78"/>
      <c r="AP82" s="78"/>
    </row>
    <row r="83" spans="1:42" x14ac:dyDescent="0.25">
      <c r="W83" s="78"/>
      <c r="X83" s="78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</row>
    <row r="84" spans="1:42" x14ac:dyDescent="0.25"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</row>
    <row r="85" spans="1:42" x14ac:dyDescent="0.25"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</row>
    <row r="86" spans="1:42" x14ac:dyDescent="0.25"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8"/>
      <c r="AO86" s="78"/>
      <c r="AP86" s="78"/>
    </row>
    <row r="87" spans="1:42" x14ac:dyDescent="0.25">
      <c r="W87" s="78"/>
      <c r="X87" s="78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  <c r="AN87" s="78"/>
      <c r="AO87" s="78"/>
      <c r="AP87" s="78"/>
    </row>
    <row r="95" spans="1:42" ht="13" x14ac:dyDescent="0.3">
      <c r="A95" s="4"/>
    </row>
  </sheetData>
  <sheetProtection algorithmName="SHA-512" hashValue="h0hoemDb2aahe5OZowq7bK7Ka3ibwMc7Fr/IbiFZbF0wCGJZJnEEcjXUmFb52ouFVOT3LMCRNi4oRnR3Mn7c0Q==" saltValue="nUTxrkOd1CdQbseqdA+iqw==" spinCount="100000" sheet="1" objects="1" scenarios="1"/>
  <mergeCells count="27">
    <mergeCell ref="A1:C1"/>
    <mergeCell ref="H1:L1"/>
    <mergeCell ref="A2:C2"/>
    <mergeCell ref="A3:C3"/>
    <mergeCell ref="B4:F4"/>
    <mergeCell ref="G4:J4"/>
    <mergeCell ref="L4:O4"/>
    <mergeCell ref="I2:J2"/>
    <mergeCell ref="Q4:T4"/>
    <mergeCell ref="V4:Y4"/>
    <mergeCell ref="AA4:AD4"/>
    <mergeCell ref="AF4:AI4"/>
    <mergeCell ref="AG39:AK39"/>
    <mergeCell ref="A28:C28"/>
    <mergeCell ref="A29:C29"/>
    <mergeCell ref="A30:C30"/>
    <mergeCell ref="D32:E32"/>
    <mergeCell ref="H32:I32"/>
    <mergeCell ref="A37:C37"/>
    <mergeCell ref="D31:E31"/>
    <mergeCell ref="H31:I31"/>
    <mergeCell ref="A36:E36"/>
    <mergeCell ref="N32:O32"/>
    <mergeCell ref="A33:C33"/>
    <mergeCell ref="G33:H33"/>
    <mergeCell ref="A34:B34"/>
    <mergeCell ref="N31:O31"/>
  </mergeCells>
  <conditionalFormatting sqref="A6:A17">
    <cfRule type="cellIs" dxfId="46" priority="363" operator="equal">
      <formula>0</formula>
    </cfRule>
  </conditionalFormatting>
  <conditionalFormatting sqref="A37">
    <cfRule type="cellIs" dxfId="45" priority="243" operator="notEqual">
      <formula>$E$2</formula>
    </cfRule>
    <cfRule type="cellIs" dxfId="44" priority="244" operator="equal">
      <formula>$E$2</formula>
    </cfRule>
  </conditionalFormatting>
  <conditionalFormatting sqref="A32:D32 F32:H32 C34">
    <cfRule type="cellIs" dxfId="43" priority="241" operator="notEqual">
      <formula>$E$3</formula>
    </cfRule>
    <cfRule type="cellIs" dxfId="42" priority="242" operator="equal">
      <formula>$E$3</formula>
    </cfRule>
  </conditionalFormatting>
  <conditionalFormatting sqref="B6:D17">
    <cfRule type="expression" dxfId="41" priority="112">
      <formula>$A6=0</formula>
    </cfRule>
  </conditionalFormatting>
  <conditionalFormatting sqref="E6:E17">
    <cfRule type="expression" dxfId="40" priority="116">
      <formula>AND($H$67="ja",E6&gt;$A$67)</formula>
    </cfRule>
    <cfRule type="cellIs" dxfId="39" priority="117" operator="greaterThanOrEqual">
      <formula>0</formula>
    </cfRule>
  </conditionalFormatting>
  <conditionalFormatting sqref="F6:F17">
    <cfRule type="cellIs" dxfId="38" priority="31" operator="lessThan">
      <formula>$A$45</formula>
    </cfRule>
    <cfRule type="cellIs" dxfId="37" priority="32" operator="equal">
      <formula>0</formula>
    </cfRule>
    <cfRule type="cellIs" dxfId="36" priority="33" operator="notEqual">
      <formula>0</formula>
    </cfRule>
  </conditionalFormatting>
  <conditionalFormatting sqref="G6:I17">
    <cfRule type="expression" dxfId="35" priority="52">
      <formula>$A6=0</formula>
    </cfRule>
  </conditionalFormatting>
  <conditionalFormatting sqref="J6:J17">
    <cfRule type="expression" dxfId="34" priority="104">
      <formula>AND($H$67="ja",J6&gt;$A$67)</formula>
    </cfRule>
    <cfRule type="cellIs" dxfId="33" priority="105" operator="greaterThanOrEqual">
      <formula>0</formula>
    </cfRule>
  </conditionalFormatting>
  <conditionalFormatting sqref="J32:N32">
    <cfRule type="cellIs" dxfId="32" priority="239" operator="notEqual">
      <formula>$E$3</formula>
    </cfRule>
    <cfRule type="cellIs" dxfId="31" priority="240" operator="equal">
      <formula>$E$3</formula>
    </cfRule>
  </conditionalFormatting>
  <conditionalFormatting sqref="K6:K17">
    <cfRule type="cellIs" dxfId="30" priority="28" operator="lessThan">
      <formula>$A$45</formula>
    </cfRule>
    <cfRule type="cellIs" dxfId="29" priority="29" operator="equal">
      <formula>0</formula>
    </cfRule>
    <cfRule type="cellIs" dxfId="28" priority="30" operator="notEqual">
      <formula>0</formula>
    </cfRule>
  </conditionalFormatting>
  <conditionalFormatting sqref="L6:N17">
    <cfRule type="expression" dxfId="27" priority="48">
      <formula>$A6=0</formula>
    </cfRule>
  </conditionalFormatting>
  <conditionalFormatting sqref="O6:O17">
    <cfRule type="cellIs" dxfId="26" priority="97" operator="greaterThanOrEqual">
      <formula>0</formula>
    </cfRule>
    <cfRule type="expression" dxfId="25" priority="96">
      <formula>AND($H$67="ja",O6&gt;$A$67)</formula>
    </cfRule>
  </conditionalFormatting>
  <conditionalFormatting sqref="P6:P17">
    <cfRule type="cellIs" dxfId="24" priority="22" operator="lessThan">
      <formula>$A$45</formula>
    </cfRule>
    <cfRule type="cellIs" dxfId="23" priority="23" operator="equal">
      <formula>0</formula>
    </cfRule>
    <cfRule type="cellIs" dxfId="22" priority="24" operator="notEqual">
      <formula>0</formula>
    </cfRule>
  </conditionalFormatting>
  <conditionalFormatting sqref="Q6:S17">
    <cfRule type="expression" dxfId="21" priority="47">
      <formula>$A6=0</formula>
    </cfRule>
  </conditionalFormatting>
  <conditionalFormatting sqref="T6:T17">
    <cfRule type="cellIs" dxfId="20" priority="89" operator="greaterThanOrEqual">
      <formula>0</formula>
    </cfRule>
    <cfRule type="expression" dxfId="19" priority="88">
      <formula>AND($H$67="ja",T6&gt;$A$67)</formula>
    </cfRule>
  </conditionalFormatting>
  <conditionalFormatting sqref="U6:U17">
    <cfRule type="cellIs" dxfId="18" priority="17" operator="equal">
      <formula>0</formula>
    </cfRule>
    <cfRule type="cellIs" dxfId="17" priority="16" operator="lessThan">
      <formula>$A$45</formula>
    </cfRule>
    <cfRule type="cellIs" dxfId="16" priority="18" operator="notEqual">
      <formula>0</formula>
    </cfRule>
  </conditionalFormatting>
  <conditionalFormatting sqref="V6:X17">
    <cfRule type="expression" dxfId="15" priority="46">
      <formula>$A6=0</formula>
    </cfRule>
  </conditionalFormatting>
  <conditionalFormatting sqref="Y6:Y17 AD6:AD17 AI6:AI17">
    <cfRule type="expression" dxfId="14" priority="59">
      <formula>AND($H$67="ja",Y6&gt;$A$67)</formula>
    </cfRule>
    <cfRule type="cellIs" dxfId="13" priority="60" operator="greaterThanOrEqual">
      <formula>0</formula>
    </cfRule>
  </conditionalFormatting>
  <conditionalFormatting sqref="Z6:Z17">
    <cfRule type="cellIs" dxfId="12" priority="11" operator="equal">
      <formula>0</formula>
    </cfRule>
    <cfRule type="cellIs" dxfId="11" priority="10" operator="lessThan">
      <formula>$A$45</formula>
    </cfRule>
    <cfRule type="cellIs" dxfId="10" priority="12" operator="notEqual">
      <formula>0</formula>
    </cfRule>
  </conditionalFormatting>
  <conditionalFormatting sqref="AA6:AC17">
    <cfRule type="expression" dxfId="9" priority="43">
      <formula>$A6=0</formula>
    </cfRule>
  </conditionalFormatting>
  <conditionalFormatting sqref="AE6:AE17">
    <cfRule type="cellIs" dxfId="8" priority="5" operator="equal">
      <formula>0</formula>
    </cfRule>
    <cfRule type="cellIs" dxfId="7" priority="4" operator="lessThan">
      <formula>$A$45</formula>
    </cfRule>
    <cfRule type="cellIs" dxfId="6" priority="6" operator="notEqual">
      <formula>0</formula>
    </cfRule>
  </conditionalFormatting>
  <conditionalFormatting sqref="AF6:AH17">
    <cfRule type="expression" dxfId="5" priority="34">
      <formula>$A6=0</formula>
    </cfRule>
  </conditionalFormatting>
  <conditionalFormatting sqref="AJ6:AJ17">
    <cfRule type="cellIs" dxfId="4" priority="3" operator="notEqual">
      <formula>0</formula>
    </cfRule>
    <cfRule type="cellIs" dxfId="3" priority="2" operator="equal">
      <formula>0</formula>
    </cfRule>
    <cfRule type="cellIs" dxfId="2" priority="1" operator="lessThan">
      <formula>$A$45</formula>
    </cfRule>
  </conditionalFormatting>
  <conditionalFormatting sqref="AK6:AK17">
    <cfRule type="expression" dxfId="1" priority="58">
      <formula>AND($H$70="ja",AK6&gt;$A$70)</formula>
    </cfRule>
    <cfRule type="cellIs" dxfId="0" priority="61" operator="greaterThanOrEqual">
      <formula>0</formula>
    </cfRule>
  </conditionalFormatting>
  <dataValidations count="2">
    <dataValidation type="list" showInputMessage="1" showErrorMessage="1" promptTitle="Velg Turnus startdag" prompt="Velg hvilken dag turnusen starte å telle ifra. (Typisk Mandag)" sqref="E1" xr:uid="{00000000-0002-0000-1A00-000000000000}">
      <formula1>Ukedager</formula1>
    </dataValidation>
    <dataValidation type="list" allowBlank="1" showInputMessage="1" showErrorMessage="1" sqref="H67 H70" xr:uid="{00000000-0002-0000-1A00-000001000000}">
      <formula1>Ja_og_nei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Vaktplan</vt:lpstr>
      <vt:lpstr>Ansatt A</vt:lpstr>
      <vt:lpstr>Ansatt B</vt:lpstr>
      <vt:lpstr>Ansatt C</vt:lpstr>
      <vt:lpstr>Ansatt D</vt:lpstr>
      <vt:lpstr>Ansatt E</vt:lpstr>
      <vt:lpstr>Ansatt F</vt:lpstr>
      <vt:lpstr>Ansatt G</vt:lpstr>
      <vt:lpstr>Ansatt H</vt:lpstr>
      <vt:lpstr>Ansatt I</vt:lpstr>
      <vt:lpstr>Ansatt J</vt:lpstr>
      <vt:lpstr>Ansatt K</vt:lpstr>
      <vt:lpstr>Ansatt L</vt:lpstr>
      <vt:lpstr>Ansatt M</vt:lpstr>
      <vt:lpstr>Ansatt N</vt:lpstr>
      <vt:lpstr>Ansatt O</vt:lpstr>
      <vt:lpstr>Ansatt P</vt:lpstr>
      <vt:lpstr>Ansatt Q</vt:lpstr>
      <vt:lpstr>Ansatt R</vt:lpstr>
      <vt:lpstr>Ansatt S</vt:lpstr>
      <vt:lpstr>Ansatt T</vt:lpstr>
      <vt:lpstr>Ansatt U</vt:lpstr>
      <vt:lpstr>Ansatt V</vt:lpstr>
      <vt:lpstr>Ansatt W</vt:lpstr>
      <vt:lpstr>Ansatt X</vt:lpstr>
      <vt:lpstr>Ansatt Y</vt:lpstr>
      <vt:lpstr>Ansatt Z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 Erik Revheim</dc:creator>
  <cp:keywords/>
  <dc:description/>
  <cp:lastModifiedBy>Tom Erik Revheim</cp:lastModifiedBy>
  <cp:revision/>
  <dcterms:created xsi:type="dcterms:W3CDTF">2015-06-19T06:31:41Z</dcterms:created>
  <dcterms:modified xsi:type="dcterms:W3CDTF">2026-04-07T09:38:58Z</dcterms:modified>
  <cp:category/>
  <cp:contentStatus/>
</cp:coreProperties>
</file>